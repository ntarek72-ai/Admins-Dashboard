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er Line" sheetId="4" state="visible" r:id="rId4"/>
    <sheet xmlns:r="http://schemas.openxmlformats.org/officeDocument/2006/relationships" name="Per Invoice" sheetId="5" state="visible" r:id="rId5"/>
    <sheet xmlns:r="http://schemas.openxmlformats.org/officeDocument/2006/relationships" name="ORIENT" sheetId="6" state="visible" r:id="rId6"/>
    <sheet xmlns:r="http://schemas.openxmlformats.org/officeDocument/2006/relationships" name="3 &amp; 12(60)" sheetId="7" state="visible" r:id="rId7"/>
    <sheet xmlns:r="http://schemas.openxmlformats.org/officeDocument/2006/relationships" name="9 &amp; 16(20)" sheetId="8" state="visible" r:id="rId8"/>
    <sheet xmlns:r="http://schemas.openxmlformats.org/officeDocument/2006/relationships" name="Extra 1" sheetId="9" state="visible" r:id="rId9"/>
    <sheet xmlns:r="http://schemas.openxmlformats.org/officeDocument/2006/relationships" name="Extra 2" sheetId="10" state="visible" r:id="rId10"/>
    <sheet xmlns:r="http://schemas.openxmlformats.org/officeDocument/2006/relationships" name="Extra 3" sheetId="11" state="visible" r:id="rId11"/>
    <sheet xmlns:r="http://schemas.openxmlformats.org/officeDocument/2006/relationships" name="Extra 4" sheetId="12" state="visible" r:id="rId12"/>
    <sheet xmlns:r="http://schemas.openxmlformats.org/officeDocument/2006/relationships" name="Extra 5" sheetId="13" state="visible" r:id="rId13"/>
  </sheets>
  <definedNames>
    <definedName name="_xlnm._FilterDatabase" localSheetId="3" hidden="1">'Per Line'!$A$1:$Y$1501</definedName>
    <definedName name="_xlnm._FilterDatabase" localSheetId="4" hidden="1">'Per Invoice'!$A$1:$Y$401</definedName>
    <definedName name="_xlnm._FilterDatabase" localSheetId="5" hidden="1">'ORIENT'!$A$1:$X$401</definedName>
    <definedName name="_xlnm._FilterDatabase" localSheetId="6" hidden="1">'3 &amp; 12(60)'!$A$1:$X$401</definedName>
    <definedName name="_xlnm._FilterDatabase" localSheetId="7" hidden="1">'9 &amp; 16(20)'!$A$1:$X$401</definedName>
    <definedName name="_xlnm._FilterDatabase" localSheetId="8" hidden="1">'Extra 1'!$A$1:$X$401</definedName>
    <definedName name="_xlnm._FilterDatabase" localSheetId="9" hidden="1">'Extra 2'!$A$1:$X$401</definedName>
    <definedName name="_xlnm._FilterDatabase" localSheetId="10" hidden="1">'Extra 3'!$A$1:$X$401</definedName>
    <definedName name="_xlnm._FilterDatabase" localSheetId="11" hidden="1">'Extra 4'!$A$1:$X$401</definedName>
    <definedName name="_xlnm._FilterDatabase" localSheetId="12" hidden="1">'Extra 5'!$A$1:$X$401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####"/>
    <numFmt numFmtId="165" formatCode="dd/mm/yyyy hh:mm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>
      <color rgb="FF0000FF"/>
    </font>
    <font>
      <color rgb="FF808080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left"/>
    </xf>
    <xf numFmtId="0" fontId="1" fillId="3" borderId="0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NEXT CARE (Walk In)</t>
        </is>
      </c>
    </row>
    <row r="3">
      <c r="A3" s="2" t="inlineStr">
        <is>
          <t>Monthly steps</t>
        </is>
      </c>
    </row>
    <row r="4">
      <c r="A4" s="3" t="inlineStr">
        <is>
          <t>1. Open the 'Per Line' tab. Delete the old data in the BLUE columns only (row 2 down). Never delete the green or grey columns.</t>
        </is>
      </c>
    </row>
    <row r="5">
      <c r="A5" s="3" t="inlineStr">
        <is>
          <t>2. Paste the new month's data as VALUES starting at A2, into the blue columns: A-E, G-J, N-U (same order as the system export).</t>
        </is>
      </c>
    </row>
    <row r="6">
      <c r="A6" s="3" t="inlineStr">
        <is>
          <t>3. Green columns (F, K, L, M) and the grey helper columns (V-Y) calculate automatically - do not paste over them.</t>
        </is>
      </c>
    </row>
    <row r="7">
      <c r="A7" s="3" t="inlineStr">
        <is>
          <t>4. 'Per Invoice' fills itself from 'Per Line' (one row per POS Reference, split into IMP / Local). No pivot table, no refresh.</t>
        </is>
      </c>
    </row>
    <row r="8">
      <c r="A8" s="3" t="inlineStr">
        <is>
          <t>5. The columns you type yourself in 'Per Invoice' (blue headers): A 'Invoice', G 'App', H 'Seg', I 'Payer', J 'NC payment'. Everything else is formula. Type them AFTER pasting the month data (they follow the row, not the order).</t>
        </is>
      </c>
    </row>
    <row r="9">
      <c r="A9" s="3" t="inlineStr">
        <is>
          <t>6. The tabs, the Arabic 'Template ...' sheets and 'Summary' fill themselves from 'Per Invoice'. Column 'Site Tab (##)' decides which tab each invoice goes to (rule and limit are in Settings).</t>
        </is>
      </c>
    </row>
    <row r="10">
      <c r="A10" s="3" t="inlineStr">
        <is>
          <t>7. Open 'Settings' and check STATUS says OK (Per Line = Per Invoice, and every invoice has a payer that is listed in Settings).</t>
        </is>
      </c>
    </row>
    <row r="12">
      <c r="A12" s="2" t="inlineStr">
        <is>
          <t>Colour legend</t>
        </is>
      </c>
    </row>
    <row r="13">
      <c r="A13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5">
      <c r="A15" s="2" t="inlineStr">
        <is>
          <t>Calculation rules (taken from the September 2026 sheet)</t>
        </is>
      </c>
    </row>
    <row r="16">
      <c r="A16" s="3" t="inlineStr">
        <is>
          <t>Co val = Order Co Payment x Subtotal / 100.   Discount = Total x Rebates / 100.   Subtotal = Total - Discount.   Net = Subtotal - Co val.   (Total = 'Total Delivered')</t>
        </is>
      </c>
    </row>
    <row r="17">
      <c r="A17" s="3" t="inlineStr">
        <is>
          <t>Rebates per line = Local rate (16%) if Local is TRUE, otherwise Imported rate (9%). Rates are set in 'Settings'.</t>
        </is>
      </c>
    </row>
    <row r="19">
      <c r="A19" s="3" t="inlineStr">
        <is>
          <t>Per Invoice: IMP = sum of Total of non-local lines; Local = sum of Total of local lines. Grand Total = IMP + Local. Discount = IMP val + Local val. Subtotal = Grand Total - Discount. Co val = Co Payment x Subtotal / 100. Net = Subtotal - Co val.</t>
        </is>
      </c>
    </row>
    <row r="21">
      <c r="A21" s="3" t="inlineStr">
        <is>
          <t>Capacity: up to 1,500 lines and 400 invoices per month. A line with an empty POS Reference is ignored.</t>
        </is>
      </c>
    </row>
    <row r="22">
      <c r="A22" s="3" t="inlineStr">
        <is>
          <t>Rebates % on each line is typed in the export (Payment Term decides it: 9 &amp; 16 or 3 &amp; 12). The Imported / Local % in 'Per Invoice' follow the 'NC payment' you type (Settings C6 / C7, G6 / G7).</t>
        </is>
      </c>
    </row>
    <row r="23">
      <c r="A23" s="3" t="inlineStr">
        <is>
          <t>Type Seg and NC payment (blue) in 'Per Invoice': the tab of each invoice is the Seg when it is ORIENT / Allianz, otherwise the NC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5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  <col width="40" customWidth="1" min="6" max="6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NEXT CARE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Next Care (all corporates)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Walk In</t>
        </is>
      </c>
      <c r="D5" t="inlineStr">
        <is>
          <t>Informational only</t>
        </is>
      </c>
      <c r="F5" s="5" t="inlineStr">
        <is>
          <t>Rates when Payment Term contains 3&amp;12</t>
        </is>
      </c>
    </row>
    <row r="6">
      <c r="B6" t="inlineStr">
        <is>
          <t>Local products rebate %</t>
        </is>
      </c>
      <c r="C6" s="6" t="n">
        <v>0.16</v>
      </c>
      <c r="D6" t="inlineStr">
        <is>
          <t>Source: Next Care sheet (Rebates typed on every line: 16 / 12 for Local, 9 / 3 for Imported).</t>
        </is>
      </c>
      <c r="F6" t="inlineStr">
        <is>
          <t>Local products rebate % (3&amp;12)</t>
        </is>
      </c>
      <c r="G6" s="6" t="n">
        <v>0.12</v>
      </c>
      <c r="H6" t="inlineStr">
        <is>
          <t>All other Payment Terms use the rates in C6 / C7.</t>
        </is>
      </c>
    </row>
    <row r="7">
      <c r="B7" t="inlineStr">
        <is>
          <t>Imported (IMP) products rebate %</t>
        </is>
      </c>
      <c r="C7" s="6" t="n">
        <v>0.09</v>
      </c>
      <c r="D7" t="inlineStr">
        <is>
          <t>Source: Next Care sheet.</t>
        </is>
      </c>
      <c r="F7" t="inlineStr">
        <is>
          <t>Imported (IMP) products rebate % (3&amp;12)</t>
        </is>
      </c>
      <c r="G7" s="6" t="n">
        <v>0.03</v>
      </c>
    </row>
    <row r="9">
      <c r="B9" s="5" t="inlineStr">
        <is>
          <t>Month totals / reconciliation</t>
        </is>
      </c>
    </row>
    <row r="10">
      <c r="B10" t="inlineStr">
        <is>
          <t>Lines loaded</t>
        </is>
      </c>
      <c r="C10">
        <f>COUNTA('Per Line'!$A$2:$A$1501)</f>
        <v/>
      </c>
    </row>
    <row r="11">
      <c r="B11" t="inlineStr">
        <is>
          <t>Invoices (unique Order #)</t>
        </is>
      </c>
      <c r="C11">
        <f>MAX('Per Line'!$W$2:$W$1501)</f>
        <v/>
      </c>
    </row>
    <row r="12">
      <c r="B12" t="inlineStr">
        <is>
          <t>Invoices shown in Per Invoice</t>
        </is>
      </c>
      <c r="C12">
        <f>SUMPRODUCT(--('Per Invoice'!$B$2:$B$401&lt;&gt;""))</f>
        <v/>
      </c>
    </row>
    <row r="13">
      <c r="B13" t="inlineStr">
        <is>
          <t>Grand Total - Per Line (Product Total)</t>
        </is>
      </c>
      <c r="C13" s="7">
        <f>SUM('Per Line'!$N$2:$N$1501)</f>
        <v/>
      </c>
    </row>
    <row r="14">
      <c r="B14" t="inlineStr">
        <is>
          <t>Grand Total - Per Invoice</t>
        </is>
      </c>
      <c r="C14" s="7">
        <f>SUM('Per Invoice'!$V$2:$V$401)</f>
        <v/>
      </c>
    </row>
    <row r="15">
      <c r="B15" t="inlineStr">
        <is>
          <t>Discount - Per Line</t>
        </is>
      </c>
      <c r="C15" s="7">
        <f>SUM('Per Line'!$K$2:$K$1501)</f>
        <v/>
      </c>
    </row>
    <row r="16">
      <c r="B16" t="inlineStr">
        <is>
          <t>Discount - Per Invoice</t>
        </is>
      </c>
      <c r="C16" s="7">
        <f>SUM('Per Invoice'!$T$2:$T$401)</f>
        <v/>
      </c>
    </row>
    <row r="17">
      <c r="B17" t="inlineStr">
        <is>
          <t>Co val - Per Line</t>
        </is>
      </c>
      <c r="C17" s="7">
        <f>SUM('Per Line'!$F$2:$F$1501)</f>
        <v/>
      </c>
    </row>
    <row r="18">
      <c r="B18" t="inlineStr">
        <is>
          <t>Co val - Per Invoice</t>
        </is>
      </c>
      <c r="C18" s="7">
        <f>SUM('Per Invoice'!$M$2:$M$401)</f>
        <v/>
      </c>
    </row>
    <row r="19">
      <c r="B19" t="inlineStr">
        <is>
          <t>Net - Per Line</t>
        </is>
      </c>
      <c r="C19" s="7">
        <f>SUM('Per Line'!$M$2:$M$1501)</f>
        <v/>
      </c>
    </row>
    <row r="20">
      <c r="B20" t="inlineStr">
        <is>
          <t>Net - Per Invoice</t>
        </is>
      </c>
      <c r="C20" s="7">
        <f>SUM('Per Invoice'!$W$2:$W$401)</f>
        <v/>
      </c>
    </row>
    <row r="21">
      <c r="B21" t="inlineStr">
        <is>
          <t>Max Limit adjustment (Co val, Per Invoice only)</t>
        </is>
      </c>
      <c r="C21" s="7" t="n">
        <v>0</v>
      </c>
      <c r="D21" t="inlineStr">
        <is>
          <t>This company's Per Invoice has no Max Limit rule.</t>
        </is>
      </c>
    </row>
    <row r="23">
      <c r="B23" s="5" t="inlineStr">
        <is>
          <t>STATUS</t>
        </is>
      </c>
      <c r="C23" s="5">
        <f>IF(C10=0,"No data loaded",IF(COUNTA('Per Line'!$A:$A)-1&gt;1500,"TOO MANY LINES - extend template",IF(C11&gt;400,"TOO MANY INVOICES - extend template",IF(AND(ROUND(C13-C14,2)=0,ROUND(C15-C16,2)=0,ROUND(C17+C21-C18,2)=0,ROUND(C19-C21-C20,2)=0,C11=C12,C35=0,MAX(D26:D33)&lt;=400),"OK","CHECK - Per Line and Per Invoice do not match"))))</f>
        <v/>
      </c>
      <c r="D23" t="inlineStr">
        <is>
          <t>Must say OK after you paste the month data.</t>
        </is>
      </c>
    </row>
    <row r="25">
      <c r="B25" s="5" t="inlineStr">
        <is>
          <t>Site tabs</t>
        </is>
      </c>
      <c r="C25" s="5" t="inlineStr">
        <is>
          <t>Site name exactly as in the Site Tab (##) column</t>
        </is>
      </c>
      <c r="D25" s="5" t="inlineStr">
        <is>
          <t>Invoices (formula)</t>
        </is>
      </c>
    </row>
    <row r="26">
      <c r="B26" t="inlineStr">
        <is>
          <t>ORIENT</t>
        </is>
      </c>
      <c r="C26" s="8" t="inlineStr">
        <is>
          <t>ORIENT</t>
        </is>
      </c>
      <c r="D26" s="9">
        <f>IF(C26="",0,COUNTIF('Per Invoice'!$C$2:$C$401,C26))</f>
        <v/>
      </c>
    </row>
    <row r="27">
      <c r="B27" t="inlineStr">
        <is>
          <t>3 &amp; 12(60)</t>
        </is>
      </c>
      <c r="C27" s="8" t="inlineStr">
        <is>
          <t>3 &amp; 12(60)</t>
        </is>
      </c>
      <c r="D27" s="9">
        <f>IF(C27="",0,COUNTIF('Per Invoice'!$C$2:$C$401,C27))</f>
        <v/>
      </c>
    </row>
    <row r="28">
      <c r="B28" t="inlineStr">
        <is>
          <t>9 &amp; 16(20)</t>
        </is>
      </c>
      <c r="C28" s="8" t="inlineStr">
        <is>
          <t>9 &amp; 16(20)</t>
        </is>
      </c>
      <c r="D28" s="9">
        <f>IF(C28="",0,COUNTIF('Per Invoice'!$C$2:$C$401,C28))</f>
        <v/>
      </c>
    </row>
    <row r="29">
      <c r="B29" t="inlineStr">
        <is>
          <t>Extra 1</t>
        </is>
      </c>
      <c r="C29" s="8" t="n"/>
      <c r="D29" s="9">
        <f>IF(C29="",0,COUNTIF('Per Invoice'!$C$2:$C$401,C29))</f>
        <v/>
      </c>
    </row>
    <row r="30">
      <c r="B30" t="inlineStr">
        <is>
          <t>Extra 2</t>
        </is>
      </c>
      <c r="C30" s="8" t="n"/>
      <c r="D30" s="9">
        <f>IF(C30="",0,COUNTIF('Per Invoice'!$C$2:$C$401,C30))</f>
        <v/>
      </c>
    </row>
    <row r="31">
      <c r="B31" t="inlineStr">
        <is>
          <t>Extra 3</t>
        </is>
      </c>
      <c r="C31" s="8" t="n"/>
      <c r="D31" s="9">
        <f>IF(C31="",0,COUNTIF('Per Invoice'!$C$2:$C$401,C31))</f>
        <v/>
      </c>
    </row>
    <row r="32">
      <c r="B32" t="inlineStr">
        <is>
          <t>Extra 4</t>
        </is>
      </c>
      <c r="C32" s="8" t="n"/>
      <c r="D32" s="9">
        <f>IF(C32="",0,COUNTIF('Per Invoice'!$C$2:$C$401,C32))</f>
        <v/>
      </c>
    </row>
    <row r="33">
      <c r="B33" t="inlineStr">
        <is>
          <t>Extra 5</t>
        </is>
      </c>
      <c r="C33" s="8" t="n"/>
      <c r="D33" s="9">
        <f>IF(C33="",0,COUNTIF('Per Invoice'!$C$2:$C$401,C33))</f>
        <v/>
      </c>
    </row>
    <row r="35">
      <c r="B35" t="inlineStr">
        <is>
          <t>Invoices not in any site tab (must be 0)</t>
        </is>
      </c>
      <c r="C35">
        <f>C11-SUM(D26:D33)</f>
        <v/>
      </c>
      <c r="D35" t="inlineStr">
        <is>
          <t>If not 0: a new site appeared. Type its exact name in one of the empty yellow cells above (Extra 1 ... Extra n); the tab Extra n then shows it. Each tab holds up to 400 invoices.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0" t="inlineStr">
        <is>
          <t>##</t>
        </is>
      </c>
      <c r="B1" s="10" t="inlineStr">
        <is>
          <t>Count of Pos Reference</t>
        </is>
      </c>
      <c r="C1" s="10" t="inlineStr">
        <is>
          <t>Sum of Grand Total</t>
        </is>
      </c>
      <c r="D1" s="10" t="inlineStr">
        <is>
          <t>Sum of Co val</t>
        </is>
      </c>
      <c r="E1" s="10" t="inlineStr">
        <is>
          <t>Sum of Discount</t>
        </is>
      </c>
      <c r="F1" s="10" t="inlineStr">
        <is>
          <t>Sum of Subtotal</t>
        </is>
      </c>
      <c r="G1" s="10" t="inlineStr">
        <is>
          <t>Sum of Net</t>
        </is>
      </c>
    </row>
    <row r="2">
      <c r="A2">
        <f>IF(Settings!$C$26="","",Settings!$C$26)</f>
        <v/>
      </c>
      <c r="B2">
        <f>IF($A2="","",COUNTIF('Per Invoice'!$C$2:$C$401,$A2))</f>
        <v/>
      </c>
      <c r="C2" s="7">
        <f>IF($A2="","",SUMIFS('Per Invoice'!$V$2:$V$401,'Per Invoice'!$C$2:$C$401,$A2))</f>
        <v/>
      </c>
      <c r="D2" s="7">
        <f>IF($A2="","",SUMIFS('Per Invoice'!$M$2:$M$401,'Per Invoice'!$C$2:$C$401,$A2))</f>
        <v/>
      </c>
      <c r="E2" s="7">
        <f>IF($A2="","",SUMIFS('Per Invoice'!$T$2:$T$401,'Per Invoice'!$C$2:$C$401,$A2))</f>
        <v/>
      </c>
      <c r="F2" s="7">
        <f>IF($A2="","",SUMIFS('Per Invoice'!$U$2:$U$401,'Per Invoice'!$C$2:$C$401,$A2))</f>
        <v/>
      </c>
      <c r="G2" s="7">
        <f>IF($A2="","",SUMIFS('Per Invoice'!$W$2:$W$401,'Per Invoice'!$C$2:$C$401,$A2))</f>
        <v/>
      </c>
    </row>
    <row r="3">
      <c r="A3">
        <f>IF(Settings!$C$27="","",Settings!$C$27)</f>
        <v/>
      </c>
      <c r="B3">
        <f>IF($A3="","",COUNTIF('Per Invoice'!$C$2:$C$401,$A3))</f>
        <v/>
      </c>
      <c r="C3" s="7">
        <f>IF($A3="","",SUMIFS('Per Invoice'!$V$2:$V$401,'Per Invoice'!$C$2:$C$401,$A3))</f>
        <v/>
      </c>
      <c r="D3" s="7">
        <f>IF($A3="","",SUMIFS('Per Invoice'!$M$2:$M$401,'Per Invoice'!$C$2:$C$401,$A3))</f>
        <v/>
      </c>
      <c r="E3" s="7">
        <f>IF($A3="","",SUMIFS('Per Invoice'!$T$2:$T$401,'Per Invoice'!$C$2:$C$401,$A3))</f>
        <v/>
      </c>
      <c r="F3" s="7">
        <f>IF($A3="","",SUMIFS('Per Invoice'!$U$2:$U$401,'Per Invoice'!$C$2:$C$401,$A3))</f>
        <v/>
      </c>
      <c r="G3" s="7">
        <f>IF($A3="","",SUMIFS('Per Invoice'!$W$2:$W$401,'Per Invoice'!$C$2:$C$401,$A3))</f>
        <v/>
      </c>
    </row>
    <row r="4">
      <c r="A4">
        <f>IF(Settings!$C$28="","",Settings!$C$28)</f>
        <v/>
      </c>
      <c r="B4">
        <f>IF($A4="","",COUNTIF('Per Invoice'!$C$2:$C$401,$A4))</f>
        <v/>
      </c>
      <c r="C4" s="7">
        <f>IF($A4="","",SUMIFS('Per Invoice'!$V$2:$V$401,'Per Invoice'!$C$2:$C$401,$A4))</f>
        <v/>
      </c>
      <c r="D4" s="7">
        <f>IF($A4="","",SUMIFS('Per Invoice'!$M$2:$M$401,'Per Invoice'!$C$2:$C$401,$A4))</f>
        <v/>
      </c>
      <c r="E4" s="7">
        <f>IF($A4="","",SUMIFS('Per Invoice'!$T$2:$T$401,'Per Invoice'!$C$2:$C$401,$A4))</f>
        <v/>
      </c>
      <c r="F4" s="7">
        <f>IF($A4="","",SUMIFS('Per Invoice'!$U$2:$U$401,'Per Invoice'!$C$2:$C$401,$A4))</f>
        <v/>
      </c>
      <c r="G4" s="7">
        <f>IF($A4="","",SUMIFS('Per Invoice'!$W$2:$W$401,'Per Invoice'!$C$2:$C$401,$A4))</f>
        <v/>
      </c>
    </row>
    <row r="5">
      <c r="A5">
        <f>IF(Settings!$C$29="","",Settings!$C$29)</f>
        <v/>
      </c>
      <c r="B5">
        <f>IF($A5="","",COUNTIF('Per Invoice'!$C$2:$C$401,$A5))</f>
        <v/>
      </c>
      <c r="C5" s="7">
        <f>IF($A5="","",SUMIFS('Per Invoice'!$V$2:$V$401,'Per Invoice'!$C$2:$C$401,$A5))</f>
        <v/>
      </c>
      <c r="D5" s="7">
        <f>IF($A5="","",SUMIFS('Per Invoice'!$M$2:$M$401,'Per Invoice'!$C$2:$C$401,$A5))</f>
        <v/>
      </c>
      <c r="E5" s="7">
        <f>IF($A5="","",SUMIFS('Per Invoice'!$T$2:$T$401,'Per Invoice'!$C$2:$C$401,$A5))</f>
        <v/>
      </c>
      <c r="F5" s="7">
        <f>IF($A5="","",SUMIFS('Per Invoice'!$U$2:$U$401,'Per Invoice'!$C$2:$C$401,$A5))</f>
        <v/>
      </c>
      <c r="G5" s="7">
        <f>IF($A5="","",SUMIFS('Per Invoice'!$W$2:$W$401,'Per Invoice'!$C$2:$C$401,$A5))</f>
        <v/>
      </c>
    </row>
    <row r="6">
      <c r="A6">
        <f>IF(Settings!$C$30="","",Settings!$C$30)</f>
        <v/>
      </c>
      <c r="B6">
        <f>IF($A6="","",COUNTIF('Per Invoice'!$C$2:$C$401,$A6))</f>
        <v/>
      </c>
      <c r="C6" s="7">
        <f>IF($A6="","",SUMIFS('Per Invoice'!$V$2:$V$401,'Per Invoice'!$C$2:$C$401,$A6))</f>
        <v/>
      </c>
      <c r="D6" s="7">
        <f>IF($A6="","",SUMIFS('Per Invoice'!$M$2:$M$401,'Per Invoice'!$C$2:$C$401,$A6))</f>
        <v/>
      </c>
      <c r="E6" s="7">
        <f>IF($A6="","",SUMIFS('Per Invoice'!$T$2:$T$401,'Per Invoice'!$C$2:$C$401,$A6))</f>
        <v/>
      </c>
      <c r="F6" s="7">
        <f>IF($A6="","",SUMIFS('Per Invoice'!$U$2:$U$401,'Per Invoice'!$C$2:$C$401,$A6))</f>
        <v/>
      </c>
      <c r="G6" s="7">
        <f>IF($A6="","",SUMIFS('Per Invoice'!$W$2:$W$401,'Per Invoice'!$C$2:$C$401,$A6))</f>
        <v/>
      </c>
    </row>
    <row r="7">
      <c r="A7">
        <f>IF(Settings!$C$31="","",Settings!$C$31)</f>
        <v/>
      </c>
      <c r="B7">
        <f>IF($A7="","",COUNTIF('Per Invoice'!$C$2:$C$401,$A7))</f>
        <v/>
      </c>
      <c r="C7" s="7">
        <f>IF($A7="","",SUMIFS('Per Invoice'!$V$2:$V$401,'Per Invoice'!$C$2:$C$401,$A7))</f>
        <v/>
      </c>
      <c r="D7" s="7">
        <f>IF($A7="","",SUMIFS('Per Invoice'!$M$2:$M$401,'Per Invoice'!$C$2:$C$401,$A7))</f>
        <v/>
      </c>
      <c r="E7" s="7">
        <f>IF($A7="","",SUMIFS('Per Invoice'!$T$2:$T$401,'Per Invoice'!$C$2:$C$401,$A7))</f>
        <v/>
      </c>
      <c r="F7" s="7">
        <f>IF($A7="","",SUMIFS('Per Invoice'!$U$2:$U$401,'Per Invoice'!$C$2:$C$401,$A7))</f>
        <v/>
      </c>
      <c r="G7" s="7">
        <f>IF($A7="","",SUMIFS('Per Invoice'!$W$2:$W$401,'Per Invoice'!$C$2:$C$401,$A7))</f>
        <v/>
      </c>
    </row>
    <row r="8">
      <c r="A8">
        <f>IF(Settings!$C$32="","",Settings!$C$32)</f>
        <v/>
      </c>
      <c r="B8">
        <f>IF($A8="","",COUNTIF('Per Invoice'!$C$2:$C$401,$A8))</f>
        <v/>
      </c>
      <c r="C8" s="7">
        <f>IF($A8="","",SUMIFS('Per Invoice'!$V$2:$V$401,'Per Invoice'!$C$2:$C$401,$A8))</f>
        <v/>
      </c>
      <c r="D8" s="7">
        <f>IF($A8="","",SUMIFS('Per Invoice'!$M$2:$M$401,'Per Invoice'!$C$2:$C$401,$A8))</f>
        <v/>
      </c>
      <c r="E8" s="7">
        <f>IF($A8="","",SUMIFS('Per Invoice'!$T$2:$T$401,'Per Invoice'!$C$2:$C$401,$A8))</f>
        <v/>
      </c>
      <c r="F8" s="7">
        <f>IF($A8="","",SUMIFS('Per Invoice'!$U$2:$U$401,'Per Invoice'!$C$2:$C$401,$A8))</f>
        <v/>
      </c>
      <c r="G8" s="7">
        <f>IF($A8="","",SUMIFS('Per Invoice'!$W$2:$W$401,'Per Invoice'!$C$2:$C$401,$A8))</f>
        <v/>
      </c>
    </row>
    <row r="9">
      <c r="A9">
        <f>IF(Settings!$C$33="","",Settings!$C$33)</f>
        <v/>
      </c>
      <c r="B9">
        <f>IF($A9="","",COUNTIF('Per Invoice'!$C$2:$C$401,$A9))</f>
        <v/>
      </c>
      <c r="C9" s="7">
        <f>IF($A9="","",SUMIFS('Per Invoice'!$V$2:$V$401,'Per Invoice'!$C$2:$C$401,$A9))</f>
        <v/>
      </c>
      <c r="D9" s="7">
        <f>IF($A9="","",SUMIFS('Per Invoice'!$M$2:$M$401,'Per Invoice'!$C$2:$C$401,$A9))</f>
        <v/>
      </c>
      <c r="E9" s="7">
        <f>IF($A9="","",SUMIFS('Per Invoice'!$T$2:$T$401,'Per Invoice'!$C$2:$C$401,$A9))</f>
        <v/>
      </c>
      <c r="F9" s="7">
        <f>IF($A9="","",SUMIFS('Per Invoice'!$U$2:$U$401,'Per Invoice'!$C$2:$C$401,$A9))</f>
        <v/>
      </c>
      <c r="G9" s="7">
        <f>IF($A9="","",SUMIFS('Per Invoice'!$W$2:$W$401,'Per Invoice'!$C$2:$C$401,$A9))</f>
        <v/>
      </c>
    </row>
    <row r="10">
      <c r="A10" s="5" t="inlineStr">
        <is>
          <t>Grand Total</t>
        </is>
      </c>
      <c r="B10" s="5">
        <f>SUM(B2:B9)</f>
        <v/>
      </c>
      <c r="C10" s="11">
        <f>SUM(C2:C9)</f>
        <v/>
      </c>
      <c r="D10" s="11">
        <f>SUM(D2:D9)</f>
        <v/>
      </c>
      <c r="E10" s="11">
        <f>SUM(E2:E9)</f>
        <v/>
      </c>
      <c r="F10" s="11">
        <f>SUM(F2:F9)</f>
        <v/>
      </c>
      <c r="G10" s="11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13" customWidth="1" min="4" max="4"/>
    <col width="12" customWidth="1" min="5" max="5"/>
    <col width="11" customWidth="1" min="6" max="6"/>
    <col width="12" customWidth="1" min="7" max="7"/>
    <col width="40" customWidth="1" min="8" max="8"/>
    <col width="12" customWidth="1" min="9" max="9"/>
    <col width="12" customWidth="1" min="10" max="10"/>
    <col width="11" customWidth="1" min="11" max="11"/>
    <col width="11" customWidth="1" min="12" max="12"/>
    <col width="11" customWidth="1" min="13" max="13"/>
    <col width="12" customWidth="1" min="14" max="14"/>
    <col width="12" customWidth="1" min="15" max="15"/>
    <col width="12" customWidth="1" min="16" max="16"/>
    <col width="13" customWidth="1" min="17" max="17"/>
    <col width="17" customWidth="1" min="18" max="18"/>
    <col width="28" customWidth="1" min="19" max="19"/>
    <col width="12" customWidth="1" min="20" max="20"/>
    <col width="12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32" customHeight="1">
      <c r="A1" s="12" t="inlineStr">
        <is>
          <t>Pos Reference</t>
        </is>
      </c>
      <c r="B1" s="12" t="inlineStr">
        <is>
          <t>Insurance Company</t>
        </is>
      </c>
      <c r="C1" s="12" t="inlineStr">
        <is>
          <t>Name</t>
        </is>
      </c>
      <c r="D1" s="12" t="inlineStr">
        <is>
          <t>Card Number</t>
        </is>
      </c>
      <c r="E1" s="12" t="inlineStr">
        <is>
          <t>Co Payment %</t>
        </is>
      </c>
      <c r="F1" s="10" t="inlineStr">
        <is>
          <t>Co val</t>
        </is>
      </c>
      <c r="G1" s="12" t="inlineStr">
        <is>
          <t>Heisenberg id</t>
        </is>
      </c>
      <c r="H1" s="12" t="inlineStr">
        <is>
          <t>Product</t>
        </is>
      </c>
      <c r="I1" s="12" t="inlineStr">
        <is>
          <t>Delivered Qty</t>
        </is>
      </c>
      <c r="J1" s="12" t="inlineStr">
        <is>
          <t>Delivered Price</t>
        </is>
      </c>
      <c r="K1" s="10" t="inlineStr">
        <is>
          <t>Discount</t>
        </is>
      </c>
      <c r="L1" s="10" t="inlineStr">
        <is>
          <t>Subtotal</t>
        </is>
      </c>
      <c r="M1" s="10" t="inlineStr">
        <is>
          <t>Net</t>
        </is>
      </c>
      <c r="N1" s="12" t="inlineStr">
        <is>
          <t>Total Delivered</t>
        </is>
      </c>
      <c r="O1" s="12" t="inlineStr">
        <is>
          <t>Order Amount Total</t>
        </is>
      </c>
      <c r="P1" s="12" t="inlineStr">
        <is>
          <t>Payment Amount</t>
        </is>
      </c>
      <c r="Q1" s="12" t="inlineStr">
        <is>
          <t>Payment Type</t>
        </is>
      </c>
      <c r="R1" s="12" t="inlineStr">
        <is>
          <t>Create Date</t>
        </is>
      </c>
      <c r="S1" s="12" t="inlineStr">
        <is>
          <t>Order Reference</t>
        </is>
      </c>
      <c r="T1" s="12" t="inlineStr">
        <is>
          <t>Product Template - Product Tmpl → Is Local</t>
        </is>
      </c>
      <c r="U1" s="12" t="inlineStr">
        <is>
          <t>Rebates</t>
        </is>
      </c>
      <c r="V1" s="13" t="inlineStr">
        <is>
          <t>Order 1st Row (helper)</t>
        </is>
      </c>
      <c r="W1" s="13" t="inlineStr">
        <is>
          <t>Invoice # (helper)</t>
        </is>
      </c>
      <c r="X1" s="13" t="inlineStr">
        <is>
          <t>Is Local (helper)</t>
        </is>
      </c>
      <c r="Y1" s="13" t="inlineStr">
        <is>
          <t>Sort Key (helper)</t>
        </is>
      </c>
    </row>
    <row r="2">
      <c r="F2" s="7">
        <f>IF($A2="","",E2*L2/100)</f>
        <v/>
      </c>
      <c r="J2" s="7" t="n"/>
      <c r="K2" s="7">
        <f>IF($A2="","",N2*U2/100)</f>
        <v/>
      </c>
      <c r="L2" s="7">
        <f>IF($A2="","",N2-K2)</f>
        <v/>
      </c>
      <c r="M2" s="7">
        <f>IF($A2="","",L2-F2)</f>
        <v/>
      </c>
      <c r="N2" s="7" t="n"/>
      <c r="O2" s="7" t="n"/>
      <c r="P2" s="7" t="n"/>
      <c r="R2" s="14" t="n"/>
      <c r="V2">
        <f>IF($A2="","",IF(COUNTIF($A$2:$A2,$A2)=1,1,0))</f>
        <v/>
      </c>
      <c r="W2">
        <f>IF($V2=1,SUMPRODUCT(--($Y$2:$Y$1501&lt;$Y2))+1,"")</f>
        <v/>
      </c>
      <c r="X2">
        <f>IF($A2="","",IF(OR($T2=TRUE(),$T2="TRUE"),1,0))</f>
        <v/>
      </c>
      <c r="Y2">
        <f>IF($V2=1,IFERROR(IF(VALUE($A2)&lt;100000000,VALUE($A2),1000000000),IFERROR(IF(VALUE(MID($A2,2,20))&lt;100000000,VALUE(MID($A2,2,20)),1000000000),1000000000))+ROW()/100000,"")</f>
        <v/>
      </c>
    </row>
    <row r="3">
      <c r="F3" s="7">
        <f>IF($A3="","",E3*L3/100)</f>
        <v/>
      </c>
      <c r="J3" s="7" t="n"/>
      <c r="K3" s="7">
        <f>IF($A3="","",N3*U3/100)</f>
        <v/>
      </c>
      <c r="L3" s="7">
        <f>IF($A3="","",N3-K3)</f>
        <v/>
      </c>
      <c r="M3" s="7">
        <f>IF($A3="","",L3-F3)</f>
        <v/>
      </c>
      <c r="N3" s="7" t="n"/>
      <c r="O3" s="7" t="n"/>
      <c r="P3" s="7" t="n"/>
      <c r="R3" s="14" t="n"/>
      <c r="V3">
        <f>IF($A3="","",IF(COUNTIF($A$2:$A3,$A3)=1,1,0))</f>
        <v/>
      </c>
      <c r="W3">
        <f>IF($V3=1,SUMPRODUCT(--($Y$2:$Y$1501&lt;$Y3))+1,"")</f>
        <v/>
      </c>
      <c r="X3">
        <f>IF($A3="","",IF(OR($T3=TRUE(),$T3="TRUE"),1,0))</f>
        <v/>
      </c>
      <c r="Y3">
        <f>IF($V3=1,IFERROR(IF(VALUE($A3)&lt;100000000,VALUE($A3),1000000000),IFERROR(IF(VALUE(MID($A3,2,20))&lt;100000000,VALUE(MID($A3,2,20)),1000000000),1000000000))+ROW()/100000,"")</f>
        <v/>
      </c>
    </row>
    <row r="4">
      <c r="F4" s="7">
        <f>IF($A4="","",E4*L4/100)</f>
        <v/>
      </c>
      <c r="J4" s="7" t="n"/>
      <c r="K4" s="7">
        <f>IF($A4="","",N4*U4/100)</f>
        <v/>
      </c>
      <c r="L4" s="7">
        <f>IF($A4="","",N4-K4)</f>
        <v/>
      </c>
      <c r="M4" s="7">
        <f>IF($A4="","",L4-F4)</f>
        <v/>
      </c>
      <c r="N4" s="7" t="n"/>
      <c r="O4" s="7" t="n"/>
      <c r="P4" s="7" t="n"/>
      <c r="R4" s="14" t="n"/>
      <c r="V4">
        <f>IF($A4="","",IF(COUNTIF($A$2:$A4,$A4)=1,1,0))</f>
        <v/>
      </c>
      <c r="W4">
        <f>IF($V4=1,SUMPRODUCT(--($Y$2:$Y$1501&lt;$Y4))+1,"")</f>
        <v/>
      </c>
      <c r="X4">
        <f>IF($A4="","",IF(OR($T4=TRUE(),$T4="TRUE"),1,0))</f>
        <v/>
      </c>
      <c r="Y4">
        <f>IF($V4=1,IFERROR(IF(VALUE($A4)&lt;100000000,VALUE($A4),1000000000),IFERROR(IF(VALUE(MID($A4,2,20))&lt;100000000,VALUE(MID($A4,2,20)),1000000000),1000000000))+ROW()/100000,"")</f>
        <v/>
      </c>
    </row>
    <row r="5">
      <c r="F5" s="7">
        <f>IF($A5="","",E5*L5/100)</f>
        <v/>
      </c>
      <c r="J5" s="7" t="n"/>
      <c r="K5" s="7">
        <f>IF($A5="","",N5*U5/100)</f>
        <v/>
      </c>
      <c r="L5" s="7">
        <f>IF($A5="","",N5-K5)</f>
        <v/>
      </c>
      <c r="M5" s="7">
        <f>IF($A5="","",L5-F5)</f>
        <v/>
      </c>
      <c r="N5" s="7" t="n"/>
      <c r="O5" s="7" t="n"/>
      <c r="P5" s="7" t="n"/>
      <c r="R5" s="14" t="n"/>
      <c r="V5">
        <f>IF($A5="","",IF(COUNTIF($A$2:$A5,$A5)=1,1,0))</f>
        <v/>
      </c>
      <c r="W5">
        <f>IF($V5=1,SUMPRODUCT(--($Y$2:$Y$1501&lt;$Y5))+1,"")</f>
        <v/>
      </c>
      <c r="X5">
        <f>IF($A5="","",IF(OR($T5=TRUE(),$T5="TRUE"),1,0))</f>
        <v/>
      </c>
      <c r="Y5">
        <f>IF($V5=1,IFERROR(IF(VALUE($A5)&lt;100000000,VALUE($A5),1000000000),IFERROR(IF(VALUE(MID($A5,2,20))&lt;100000000,VALUE(MID($A5,2,20)),1000000000),1000000000))+ROW()/100000,"")</f>
        <v/>
      </c>
    </row>
    <row r="6">
      <c r="F6" s="7">
        <f>IF($A6="","",E6*L6/100)</f>
        <v/>
      </c>
      <c r="J6" s="7" t="n"/>
      <c r="K6" s="7">
        <f>IF($A6="","",N6*U6/100)</f>
        <v/>
      </c>
      <c r="L6" s="7">
        <f>IF($A6="","",N6-K6)</f>
        <v/>
      </c>
      <c r="M6" s="7">
        <f>IF($A6="","",L6-F6)</f>
        <v/>
      </c>
      <c r="N6" s="7" t="n"/>
      <c r="O6" s="7" t="n"/>
      <c r="P6" s="7" t="n"/>
      <c r="R6" s="14" t="n"/>
      <c r="V6">
        <f>IF($A6="","",IF(COUNTIF($A$2:$A6,$A6)=1,1,0))</f>
        <v/>
      </c>
      <c r="W6">
        <f>IF($V6=1,SUMPRODUCT(--($Y$2:$Y$1501&lt;$Y6))+1,"")</f>
        <v/>
      </c>
      <c r="X6">
        <f>IF($A6="","",IF(OR($T6=TRUE(),$T6="TRUE"),1,0))</f>
        <v/>
      </c>
      <c r="Y6">
        <f>IF($V6=1,IFERROR(IF(VALUE($A6)&lt;100000000,VALUE($A6),1000000000),IFERROR(IF(VALUE(MID($A6,2,20))&lt;100000000,VALUE(MID($A6,2,20)),1000000000),1000000000))+ROW()/100000,"")</f>
        <v/>
      </c>
    </row>
    <row r="7">
      <c r="F7" s="7">
        <f>IF($A7="","",E7*L7/100)</f>
        <v/>
      </c>
      <c r="J7" s="7" t="n"/>
      <c r="K7" s="7">
        <f>IF($A7="","",N7*U7/100)</f>
        <v/>
      </c>
      <c r="L7" s="7">
        <f>IF($A7="","",N7-K7)</f>
        <v/>
      </c>
      <c r="M7" s="7">
        <f>IF($A7="","",L7-F7)</f>
        <v/>
      </c>
      <c r="N7" s="7" t="n"/>
      <c r="O7" s="7" t="n"/>
      <c r="P7" s="7" t="n"/>
      <c r="R7" s="14" t="n"/>
      <c r="V7">
        <f>IF($A7="","",IF(COUNTIF($A$2:$A7,$A7)=1,1,0))</f>
        <v/>
      </c>
      <c r="W7">
        <f>IF($V7=1,SUMPRODUCT(--($Y$2:$Y$1501&lt;$Y7))+1,"")</f>
        <v/>
      </c>
      <c r="X7">
        <f>IF($A7="","",IF(OR($T7=TRUE(),$T7="TRUE"),1,0))</f>
        <v/>
      </c>
      <c r="Y7">
        <f>IF($V7=1,IFERROR(IF(VALUE($A7)&lt;100000000,VALUE($A7),1000000000),IFERROR(IF(VALUE(MID($A7,2,20))&lt;100000000,VALUE(MID($A7,2,20)),1000000000),1000000000))+ROW()/100000,"")</f>
        <v/>
      </c>
    </row>
    <row r="8">
      <c r="F8" s="7">
        <f>IF($A8="","",E8*L8/100)</f>
        <v/>
      </c>
      <c r="J8" s="7" t="n"/>
      <c r="K8" s="7">
        <f>IF($A8="","",N8*U8/100)</f>
        <v/>
      </c>
      <c r="L8" s="7">
        <f>IF($A8="","",N8-K8)</f>
        <v/>
      </c>
      <c r="M8" s="7">
        <f>IF($A8="","",L8-F8)</f>
        <v/>
      </c>
      <c r="N8" s="7" t="n"/>
      <c r="O8" s="7" t="n"/>
      <c r="P8" s="7" t="n"/>
      <c r="R8" s="14" t="n"/>
      <c r="V8">
        <f>IF($A8="","",IF(COUNTIF($A$2:$A8,$A8)=1,1,0))</f>
        <v/>
      </c>
      <c r="W8">
        <f>IF($V8=1,SUMPRODUCT(--($Y$2:$Y$1501&lt;$Y8))+1,"")</f>
        <v/>
      </c>
      <c r="X8">
        <f>IF($A8="","",IF(OR($T8=TRUE(),$T8="TRUE"),1,0))</f>
        <v/>
      </c>
      <c r="Y8">
        <f>IF($V8=1,IFERROR(IF(VALUE($A8)&lt;100000000,VALUE($A8),1000000000),IFERROR(IF(VALUE(MID($A8,2,20))&lt;100000000,VALUE(MID($A8,2,20)),1000000000),1000000000))+ROW()/100000,"")</f>
        <v/>
      </c>
    </row>
    <row r="9">
      <c r="F9" s="7">
        <f>IF($A9="","",E9*L9/100)</f>
        <v/>
      </c>
      <c r="J9" s="7" t="n"/>
      <c r="K9" s="7">
        <f>IF($A9="","",N9*U9/100)</f>
        <v/>
      </c>
      <c r="L9" s="7">
        <f>IF($A9="","",N9-K9)</f>
        <v/>
      </c>
      <c r="M9" s="7">
        <f>IF($A9="","",L9-F9)</f>
        <v/>
      </c>
      <c r="N9" s="7" t="n"/>
      <c r="O9" s="7" t="n"/>
      <c r="P9" s="7" t="n"/>
      <c r="R9" s="14" t="n"/>
      <c r="V9">
        <f>IF($A9="","",IF(COUNTIF($A$2:$A9,$A9)=1,1,0))</f>
        <v/>
      </c>
      <c r="W9">
        <f>IF($V9=1,SUMPRODUCT(--($Y$2:$Y$1501&lt;$Y9))+1,"")</f>
        <v/>
      </c>
      <c r="X9">
        <f>IF($A9="","",IF(OR($T9=TRUE(),$T9="TRUE"),1,0))</f>
        <v/>
      </c>
      <c r="Y9">
        <f>IF($V9=1,IFERROR(IF(VALUE($A9)&lt;100000000,VALUE($A9),1000000000),IFERROR(IF(VALUE(MID($A9,2,20))&lt;100000000,VALUE(MID($A9,2,20)),1000000000),1000000000))+ROW()/100000,"")</f>
        <v/>
      </c>
    </row>
    <row r="10">
      <c r="F10" s="7">
        <f>IF($A10="","",E10*L10/100)</f>
        <v/>
      </c>
      <c r="J10" s="7" t="n"/>
      <c r="K10" s="7">
        <f>IF($A10="","",N10*U10/100)</f>
        <v/>
      </c>
      <c r="L10" s="7">
        <f>IF($A10="","",N10-K10)</f>
        <v/>
      </c>
      <c r="M10" s="7">
        <f>IF($A10="","",L10-F10)</f>
        <v/>
      </c>
      <c r="N10" s="7" t="n"/>
      <c r="O10" s="7" t="n"/>
      <c r="P10" s="7" t="n"/>
      <c r="R10" s="14" t="n"/>
      <c r="V10">
        <f>IF($A10="","",IF(COUNTIF($A$2:$A10,$A10)=1,1,0))</f>
        <v/>
      </c>
      <c r="W10">
        <f>IF($V10=1,SUMPRODUCT(--($Y$2:$Y$1501&lt;$Y10))+1,"")</f>
        <v/>
      </c>
      <c r="X10">
        <f>IF($A10="","",IF(OR($T10=TRUE(),$T10="TRUE"),1,0))</f>
        <v/>
      </c>
      <c r="Y10">
        <f>IF($V10=1,IFERROR(IF(VALUE($A10)&lt;100000000,VALUE($A10),1000000000),IFERROR(IF(VALUE(MID($A10,2,20))&lt;100000000,VALUE(MID($A10,2,20)),1000000000),1000000000))+ROW()/100000,"")</f>
        <v/>
      </c>
    </row>
    <row r="11">
      <c r="F11" s="7">
        <f>IF($A11="","",E11*L11/100)</f>
        <v/>
      </c>
      <c r="J11" s="7" t="n"/>
      <c r="K11" s="7">
        <f>IF($A11="","",N11*U11/100)</f>
        <v/>
      </c>
      <c r="L11" s="7">
        <f>IF($A11="","",N11-K11)</f>
        <v/>
      </c>
      <c r="M11" s="7">
        <f>IF($A11="","",L11-F11)</f>
        <v/>
      </c>
      <c r="N11" s="7" t="n"/>
      <c r="O11" s="7" t="n"/>
      <c r="P11" s="7" t="n"/>
      <c r="R11" s="14" t="n"/>
      <c r="V11">
        <f>IF($A11="","",IF(COUNTIF($A$2:$A11,$A11)=1,1,0))</f>
        <v/>
      </c>
      <c r="W11">
        <f>IF($V11=1,SUMPRODUCT(--($Y$2:$Y$1501&lt;$Y11))+1,"")</f>
        <v/>
      </c>
      <c r="X11">
        <f>IF($A11="","",IF(OR($T11=TRUE(),$T11="TRUE"),1,0))</f>
        <v/>
      </c>
      <c r="Y11">
        <f>IF($V11=1,IFERROR(IF(VALUE($A11)&lt;100000000,VALUE($A11),1000000000),IFERROR(IF(VALUE(MID($A11,2,20))&lt;100000000,VALUE(MID($A11,2,20)),1000000000),1000000000))+ROW()/100000,"")</f>
        <v/>
      </c>
    </row>
    <row r="12">
      <c r="F12" s="7">
        <f>IF($A12="","",E12*L12/100)</f>
        <v/>
      </c>
      <c r="J12" s="7" t="n"/>
      <c r="K12" s="7">
        <f>IF($A12="","",N12*U12/100)</f>
        <v/>
      </c>
      <c r="L12" s="7">
        <f>IF($A12="","",N12-K12)</f>
        <v/>
      </c>
      <c r="M12" s="7">
        <f>IF($A12="","",L12-F12)</f>
        <v/>
      </c>
      <c r="N12" s="7" t="n"/>
      <c r="O12" s="7" t="n"/>
      <c r="P12" s="7" t="n"/>
      <c r="R12" s="14" t="n"/>
      <c r="V12">
        <f>IF($A12="","",IF(COUNTIF($A$2:$A12,$A12)=1,1,0))</f>
        <v/>
      </c>
      <c r="W12">
        <f>IF($V12=1,SUMPRODUCT(--($Y$2:$Y$1501&lt;$Y12))+1,"")</f>
        <v/>
      </c>
      <c r="X12">
        <f>IF($A12="","",IF(OR($T12=TRUE(),$T12="TRUE"),1,0))</f>
        <v/>
      </c>
      <c r="Y12">
        <f>IF($V12=1,IFERROR(IF(VALUE($A12)&lt;100000000,VALUE($A12),1000000000),IFERROR(IF(VALUE(MID($A12,2,20))&lt;100000000,VALUE(MID($A12,2,20)),1000000000),1000000000))+ROW()/100000,"")</f>
        <v/>
      </c>
    </row>
    <row r="13">
      <c r="F13" s="7">
        <f>IF($A13="","",E13*L13/100)</f>
        <v/>
      </c>
      <c r="J13" s="7" t="n"/>
      <c r="K13" s="7">
        <f>IF($A13="","",N13*U13/100)</f>
        <v/>
      </c>
      <c r="L13" s="7">
        <f>IF($A13="","",N13-K13)</f>
        <v/>
      </c>
      <c r="M13" s="7">
        <f>IF($A13="","",L13-F13)</f>
        <v/>
      </c>
      <c r="N13" s="7" t="n"/>
      <c r="O13" s="7" t="n"/>
      <c r="P13" s="7" t="n"/>
      <c r="R13" s="14" t="n"/>
      <c r="V13">
        <f>IF($A13="","",IF(COUNTIF($A$2:$A13,$A13)=1,1,0))</f>
        <v/>
      </c>
      <c r="W13">
        <f>IF($V13=1,SUMPRODUCT(--($Y$2:$Y$1501&lt;$Y13))+1,"")</f>
        <v/>
      </c>
      <c r="X13">
        <f>IF($A13="","",IF(OR($T13=TRUE(),$T13="TRUE"),1,0))</f>
        <v/>
      </c>
      <c r="Y13">
        <f>IF($V13=1,IFERROR(IF(VALUE($A13)&lt;100000000,VALUE($A13),1000000000),IFERROR(IF(VALUE(MID($A13,2,20))&lt;100000000,VALUE(MID($A13,2,20)),1000000000),1000000000))+ROW()/100000,"")</f>
        <v/>
      </c>
    </row>
    <row r="14">
      <c r="F14" s="7">
        <f>IF($A14="","",E14*L14/100)</f>
        <v/>
      </c>
      <c r="J14" s="7" t="n"/>
      <c r="K14" s="7">
        <f>IF($A14="","",N14*U14/100)</f>
        <v/>
      </c>
      <c r="L14" s="7">
        <f>IF($A14="","",N14-K14)</f>
        <v/>
      </c>
      <c r="M14" s="7">
        <f>IF($A14="","",L14-F14)</f>
        <v/>
      </c>
      <c r="N14" s="7" t="n"/>
      <c r="O14" s="7" t="n"/>
      <c r="P14" s="7" t="n"/>
      <c r="R14" s="14" t="n"/>
      <c r="V14">
        <f>IF($A14="","",IF(COUNTIF($A$2:$A14,$A14)=1,1,0))</f>
        <v/>
      </c>
      <c r="W14">
        <f>IF($V14=1,SUMPRODUCT(--($Y$2:$Y$1501&lt;$Y14))+1,"")</f>
        <v/>
      </c>
      <c r="X14">
        <f>IF($A14="","",IF(OR($T14=TRUE(),$T14="TRUE"),1,0))</f>
        <v/>
      </c>
      <c r="Y14">
        <f>IF($V14=1,IFERROR(IF(VALUE($A14)&lt;100000000,VALUE($A14),1000000000),IFERROR(IF(VALUE(MID($A14,2,20))&lt;100000000,VALUE(MID($A14,2,20)),1000000000),1000000000))+ROW()/100000,"")</f>
        <v/>
      </c>
    </row>
    <row r="15">
      <c r="F15" s="7">
        <f>IF($A15="","",E15*L15/100)</f>
        <v/>
      </c>
      <c r="J15" s="7" t="n"/>
      <c r="K15" s="7">
        <f>IF($A15="","",N15*U15/100)</f>
        <v/>
      </c>
      <c r="L15" s="7">
        <f>IF($A15="","",N15-K15)</f>
        <v/>
      </c>
      <c r="M15" s="7">
        <f>IF($A15="","",L15-F15)</f>
        <v/>
      </c>
      <c r="N15" s="7" t="n"/>
      <c r="O15" s="7" t="n"/>
      <c r="P15" s="7" t="n"/>
      <c r="R15" s="14" t="n"/>
      <c r="V15">
        <f>IF($A15="","",IF(COUNTIF($A$2:$A15,$A15)=1,1,0))</f>
        <v/>
      </c>
      <c r="W15">
        <f>IF($V15=1,SUMPRODUCT(--($Y$2:$Y$1501&lt;$Y15))+1,"")</f>
        <v/>
      </c>
      <c r="X15">
        <f>IF($A15="","",IF(OR($T15=TRUE(),$T15="TRUE"),1,0))</f>
        <v/>
      </c>
      <c r="Y15">
        <f>IF($V15=1,IFERROR(IF(VALUE($A15)&lt;100000000,VALUE($A15),1000000000),IFERROR(IF(VALUE(MID($A15,2,20))&lt;100000000,VALUE(MID($A15,2,20)),1000000000),1000000000))+ROW()/100000,"")</f>
        <v/>
      </c>
    </row>
    <row r="16">
      <c r="F16" s="7">
        <f>IF($A16="","",E16*L16/100)</f>
        <v/>
      </c>
      <c r="J16" s="7" t="n"/>
      <c r="K16" s="7">
        <f>IF($A16="","",N16*U16/100)</f>
        <v/>
      </c>
      <c r="L16" s="7">
        <f>IF($A16="","",N16-K16)</f>
        <v/>
      </c>
      <c r="M16" s="7">
        <f>IF($A16="","",L16-F16)</f>
        <v/>
      </c>
      <c r="N16" s="7" t="n"/>
      <c r="O16" s="7" t="n"/>
      <c r="P16" s="7" t="n"/>
      <c r="R16" s="14" t="n"/>
      <c r="V16">
        <f>IF($A16="","",IF(COUNTIF($A$2:$A16,$A16)=1,1,0))</f>
        <v/>
      </c>
      <c r="W16">
        <f>IF($V16=1,SUMPRODUCT(--($Y$2:$Y$1501&lt;$Y16))+1,"")</f>
        <v/>
      </c>
      <c r="X16">
        <f>IF($A16="","",IF(OR($T16=TRUE(),$T16="TRUE"),1,0))</f>
        <v/>
      </c>
      <c r="Y16">
        <f>IF($V16=1,IFERROR(IF(VALUE($A16)&lt;100000000,VALUE($A16),1000000000),IFERROR(IF(VALUE(MID($A16,2,20))&lt;100000000,VALUE(MID($A16,2,20)),1000000000),1000000000))+ROW()/100000,"")</f>
        <v/>
      </c>
    </row>
    <row r="17">
      <c r="F17" s="7">
        <f>IF($A17="","",E17*L17/100)</f>
        <v/>
      </c>
      <c r="J17" s="7" t="n"/>
      <c r="K17" s="7">
        <f>IF($A17="","",N17*U17/100)</f>
        <v/>
      </c>
      <c r="L17" s="7">
        <f>IF($A17="","",N17-K17)</f>
        <v/>
      </c>
      <c r="M17" s="7">
        <f>IF($A17="","",L17-F17)</f>
        <v/>
      </c>
      <c r="N17" s="7" t="n"/>
      <c r="O17" s="7" t="n"/>
      <c r="P17" s="7" t="n"/>
      <c r="R17" s="14" t="n"/>
      <c r="V17">
        <f>IF($A17="","",IF(COUNTIF($A$2:$A17,$A17)=1,1,0))</f>
        <v/>
      </c>
      <c r="W17">
        <f>IF($V17=1,SUMPRODUCT(--($Y$2:$Y$1501&lt;$Y17))+1,"")</f>
        <v/>
      </c>
      <c r="X17">
        <f>IF($A17="","",IF(OR($T17=TRUE(),$T17="TRUE"),1,0))</f>
        <v/>
      </c>
      <c r="Y17">
        <f>IF($V17=1,IFERROR(IF(VALUE($A17)&lt;100000000,VALUE($A17),1000000000),IFERROR(IF(VALUE(MID($A17,2,20))&lt;100000000,VALUE(MID($A17,2,20)),1000000000),1000000000))+ROW()/100000,"")</f>
        <v/>
      </c>
    </row>
    <row r="18">
      <c r="F18" s="7">
        <f>IF($A18="","",E18*L18/100)</f>
        <v/>
      </c>
      <c r="J18" s="7" t="n"/>
      <c r="K18" s="7">
        <f>IF($A18="","",N18*U18/100)</f>
        <v/>
      </c>
      <c r="L18" s="7">
        <f>IF($A18="","",N18-K18)</f>
        <v/>
      </c>
      <c r="M18" s="7">
        <f>IF($A18="","",L18-F18)</f>
        <v/>
      </c>
      <c r="N18" s="7" t="n"/>
      <c r="O18" s="7" t="n"/>
      <c r="P18" s="7" t="n"/>
      <c r="R18" s="14" t="n"/>
      <c r="V18">
        <f>IF($A18="","",IF(COUNTIF($A$2:$A18,$A18)=1,1,0))</f>
        <v/>
      </c>
      <c r="W18">
        <f>IF($V18=1,SUMPRODUCT(--($Y$2:$Y$1501&lt;$Y18))+1,"")</f>
        <v/>
      </c>
      <c r="X18">
        <f>IF($A18="","",IF(OR($T18=TRUE(),$T18="TRUE"),1,0))</f>
        <v/>
      </c>
      <c r="Y18">
        <f>IF($V18=1,IFERROR(IF(VALUE($A18)&lt;100000000,VALUE($A18),1000000000),IFERROR(IF(VALUE(MID($A18,2,20))&lt;100000000,VALUE(MID($A18,2,20)),1000000000),1000000000))+ROW()/100000,"")</f>
        <v/>
      </c>
    </row>
    <row r="19">
      <c r="F19" s="7">
        <f>IF($A19="","",E19*L19/100)</f>
        <v/>
      </c>
      <c r="J19" s="7" t="n"/>
      <c r="K19" s="7">
        <f>IF($A19="","",N19*U19/100)</f>
        <v/>
      </c>
      <c r="L19" s="7">
        <f>IF($A19="","",N19-K19)</f>
        <v/>
      </c>
      <c r="M19" s="7">
        <f>IF($A19="","",L19-F19)</f>
        <v/>
      </c>
      <c r="N19" s="7" t="n"/>
      <c r="O19" s="7" t="n"/>
      <c r="P19" s="7" t="n"/>
      <c r="R19" s="14" t="n"/>
      <c r="V19">
        <f>IF($A19="","",IF(COUNTIF($A$2:$A19,$A19)=1,1,0))</f>
        <v/>
      </c>
      <c r="W19">
        <f>IF($V19=1,SUMPRODUCT(--($Y$2:$Y$1501&lt;$Y19))+1,"")</f>
        <v/>
      </c>
      <c r="X19">
        <f>IF($A19="","",IF(OR($T19=TRUE(),$T19="TRUE"),1,0))</f>
        <v/>
      </c>
      <c r="Y19">
        <f>IF($V19=1,IFERROR(IF(VALUE($A19)&lt;100000000,VALUE($A19),1000000000),IFERROR(IF(VALUE(MID($A19,2,20))&lt;100000000,VALUE(MID($A19,2,20)),1000000000),1000000000))+ROW()/100000,"")</f>
        <v/>
      </c>
    </row>
    <row r="20">
      <c r="F20" s="7">
        <f>IF($A20="","",E20*L20/100)</f>
        <v/>
      </c>
      <c r="J20" s="7" t="n"/>
      <c r="K20" s="7">
        <f>IF($A20="","",N20*U20/100)</f>
        <v/>
      </c>
      <c r="L20" s="7">
        <f>IF($A20="","",N20-K20)</f>
        <v/>
      </c>
      <c r="M20" s="7">
        <f>IF($A20="","",L20-F20)</f>
        <v/>
      </c>
      <c r="N20" s="7" t="n"/>
      <c r="O20" s="7" t="n"/>
      <c r="P20" s="7" t="n"/>
      <c r="R20" s="14" t="n"/>
      <c r="V20">
        <f>IF($A20="","",IF(COUNTIF($A$2:$A20,$A20)=1,1,0))</f>
        <v/>
      </c>
      <c r="W20">
        <f>IF($V20=1,SUMPRODUCT(--($Y$2:$Y$1501&lt;$Y20))+1,"")</f>
        <v/>
      </c>
      <c r="X20">
        <f>IF($A20="","",IF(OR($T20=TRUE(),$T20="TRUE"),1,0))</f>
        <v/>
      </c>
      <c r="Y20">
        <f>IF($V20=1,IFERROR(IF(VALUE($A20)&lt;100000000,VALUE($A20),1000000000),IFERROR(IF(VALUE(MID($A20,2,20))&lt;100000000,VALUE(MID($A20,2,20)),1000000000),1000000000))+ROW()/100000,"")</f>
        <v/>
      </c>
    </row>
    <row r="21">
      <c r="F21" s="7">
        <f>IF($A21="","",E21*L21/100)</f>
        <v/>
      </c>
      <c r="J21" s="7" t="n"/>
      <c r="K21" s="7">
        <f>IF($A21="","",N21*U21/100)</f>
        <v/>
      </c>
      <c r="L21" s="7">
        <f>IF($A21="","",N21-K21)</f>
        <v/>
      </c>
      <c r="M21" s="7">
        <f>IF($A21="","",L21-F21)</f>
        <v/>
      </c>
      <c r="N21" s="7" t="n"/>
      <c r="O21" s="7" t="n"/>
      <c r="P21" s="7" t="n"/>
      <c r="R21" s="14" t="n"/>
      <c r="V21">
        <f>IF($A21="","",IF(COUNTIF($A$2:$A21,$A21)=1,1,0))</f>
        <v/>
      </c>
      <c r="W21">
        <f>IF($V21=1,SUMPRODUCT(--($Y$2:$Y$1501&lt;$Y21))+1,"")</f>
        <v/>
      </c>
      <c r="X21">
        <f>IF($A21="","",IF(OR($T21=TRUE(),$T21="TRUE"),1,0))</f>
        <v/>
      </c>
      <c r="Y21">
        <f>IF($V21=1,IFERROR(IF(VALUE($A21)&lt;100000000,VALUE($A21),1000000000),IFERROR(IF(VALUE(MID($A21,2,20))&lt;100000000,VALUE(MID($A21,2,20)),1000000000),1000000000))+ROW()/100000,"")</f>
        <v/>
      </c>
    </row>
    <row r="22">
      <c r="F22" s="7">
        <f>IF($A22="","",E22*L22/100)</f>
        <v/>
      </c>
      <c r="J22" s="7" t="n"/>
      <c r="K22" s="7">
        <f>IF($A22="","",N22*U22/100)</f>
        <v/>
      </c>
      <c r="L22" s="7">
        <f>IF($A22="","",N22-K22)</f>
        <v/>
      </c>
      <c r="M22" s="7">
        <f>IF($A22="","",L22-F22)</f>
        <v/>
      </c>
      <c r="N22" s="7" t="n"/>
      <c r="O22" s="7" t="n"/>
      <c r="P22" s="7" t="n"/>
      <c r="R22" s="14" t="n"/>
      <c r="V22">
        <f>IF($A22="","",IF(COUNTIF($A$2:$A22,$A22)=1,1,0))</f>
        <v/>
      </c>
      <c r="W22">
        <f>IF($V22=1,SUMPRODUCT(--($Y$2:$Y$1501&lt;$Y22))+1,"")</f>
        <v/>
      </c>
      <c r="X22">
        <f>IF($A22="","",IF(OR($T22=TRUE(),$T22="TRUE"),1,0))</f>
        <v/>
      </c>
      <c r="Y22">
        <f>IF($V22=1,IFERROR(IF(VALUE($A22)&lt;100000000,VALUE($A22),1000000000),IFERROR(IF(VALUE(MID($A22,2,20))&lt;100000000,VALUE(MID($A22,2,20)),1000000000),1000000000))+ROW()/100000,"")</f>
        <v/>
      </c>
    </row>
    <row r="23">
      <c r="F23" s="7">
        <f>IF($A23="","",E23*L23/100)</f>
        <v/>
      </c>
      <c r="J23" s="7" t="n"/>
      <c r="K23" s="7">
        <f>IF($A23="","",N23*U23/100)</f>
        <v/>
      </c>
      <c r="L23" s="7">
        <f>IF($A23="","",N23-K23)</f>
        <v/>
      </c>
      <c r="M23" s="7">
        <f>IF($A23="","",L23-F23)</f>
        <v/>
      </c>
      <c r="N23" s="7" t="n"/>
      <c r="O23" s="7" t="n"/>
      <c r="P23" s="7" t="n"/>
      <c r="R23" s="14" t="n"/>
      <c r="V23">
        <f>IF($A23="","",IF(COUNTIF($A$2:$A23,$A23)=1,1,0))</f>
        <v/>
      </c>
      <c r="W23">
        <f>IF($V23=1,SUMPRODUCT(--($Y$2:$Y$1501&lt;$Y23))+1,"")</f>
        <v/>
      </c>
      <c r="X23">
        <f>IF($A23="","",IF(OR($T23=TRUE(),$T23="TRUE"),1,0))</f>
        <v/>
      </c>
      <c r="Y23">
        <f>IF($V23=1,IFERROR(IF(VALUE($A23)&lt;100000000,VALUE($A23),1000000000),IFERROR(IF(VALUE(MID($A23,2,20))&lt;100000000,VALUE(MID($A23,2,20)),1000000000),1000000000))+ROW()/100000,"")</f>
        <v/>
      </c>
    </row>
    <row r="24">
      <c r="F24" s="7">
        <f>IF($A24="","",E24*L24/100)</f>
        <v/>
      </c>
      <c r="J24" s="7" t="n"/>
      <c r="K24" s="7">
        <f>IF($A24="","",N24*U24/100)</f>
        <v/>
      </c>
      <c r="L24" s="7">
        <f>IF($A24="","",N24-K24)</f>
        <v/>
      </c>
      <c r="M24" s="7">
        <f>IF($A24="","",L24-F24)</f>
        <v/>
      </c>
      <c r="N24" s="7" t="n"/>
      <c r="O24" s="7" t="n"/>
      <c r="P24" s="7" t="n"/>
      <c r="R24" s="14" t="n"/>
      <c r="V24">
        <f>IF($A24="","",IF(COUNTIF($A$2:$A24,$A24)=1,1,0))</f>
        <v/>
      </c>
      <c r="W24">
        <f>IF($V24=1,SUMPRODUCT(--($Y$2:$Y$1501&lt;$Y24))+1,"")</f>
        <v/>
      </c>
      <c r="X24">
        <f>IF($A24="","",IF(OR($T24=TRUE(),$T24="TRUE"),1,0))</f>
        <v/>
      </c>
      <c r="Y24">
        <f>IF($V24=1,IFERROR(IF(VALUE($A24)&lt;100000000,VALUE($A24),1000000000),IFERROR(IF(VALUE(MID($A24,2,20))&lt;100000000,VALUE(MID($A24,2,20)),1000000000),1000000000))+ROW()/100000,"")</f>
        <v/>
      </c>
    </row>
    <row r="25">
      <c r="F25" s="7">
        <f>IF($A25="","",E25*L25/100)</f>
        <v/>
      </c>
      <c r="J25" s="7" t="n"/>
      <c r="K25" s="7">
        <f>IF($A25="","",N25*U25/100)</f>
        <v/>
      </c>
      <c r="L25" s="7">
        <f>IF($A25="","",N25-K25)</f>
        <v/>
      </c>
      <c r="M25" s="7">
        <f>IF($A25="","",L25-F25)</f>
        <v/>
      </c>
      <c r="N25" s="7" t="n"/>
      <c r="O25" s="7" t="n"/>
      <c r="P25" s="7" t="n"/>
      <c r="R25" s="14" t="n"/>
      <c r="V25">
        <f>IF($A25="","",IF(COUNTIF($A$2:$A25,$A25)=1,1,0))</f>
        <v/>
      </c>
      <c r="W25">
        <f>IF($V25=1,SUMPRODUCT(--($Y$2:$Y$1501&lt;$Y25))+1,"")</f>
        <v/>
      </c>
      <c r="X25">
        <f>IF($A25="","",IF(OR($T25=TRUE(),$T25="TRUE"),1,0))</f>
        <v/>
      </c>
      <c r="Y25">
        <f>IF($V25=1,IFERROR(IF(VALUE($A25)&lt;100000000,VALUE($A25),1000000000),IFERROR(IF(VALUE(MID($A25,2,20))&lt;100000000,VALUE(MID($A25,2,20)),1000000000),1000000000))+ROW()/100000,"")</f>
        <v/>
      </c>
    </row>
    <row r="26">
      <c r="F26" s="7">
        <f>IF($A26="","",E26*L26/100)</f>
        <v/>
      </c>
      <c r="J26" s="7" t="n"/>
      <c r="K26" s="7">
        <f>IF($A26="","",N26*U26/100)</f>
        <v/>
      </c>
      <c r="L26" s="7">
        <f>IF($A26="","",N26-K26)</f>
        <v/>
      </c>
      <c r="M26" s="7">
        <f>IF($A26="","",L26-F26)</f>
        <v/>
      </c>
      <c r="N26" s="7" t="n"/>
      <c r="O26" s="7" t="n"/>
      <c r="P26" s="7" t="n"/>
      <c r="R26" s="14" t="n"/>
      <c r="V26">
        <f>IF($A26="","",IF(COUNTIF($A$2:$A26,$A26)=1,1,0))</f>
        <v/>
      </c>
      <c r="W26">
        <f>IF($V26=1,SUMPRODUCT(--($Y$2:$Y$1501&lt;$Y26))+1,"")</f>
        <v/>
      </c>
      <c r="X26">
        <f>IF($A26="","",IF(OR($T26=TRUE(),$T26="TRUE"),1,0))</f>
        <v/>
      </c>
      <c r="Y26">
        <f>IF($V26=1,IFERROR(IF(VALUE($A26)&lt;100000000,VALUE($A26),1000000000),IFERROR(IF(VALUE(MID($A26,2,20))&lt;100000000,VALUE(MID($A26,2,20)),1000000000),1000000000))+ROW()/100000,"")</f>
        <v/>
      </c>
    </row>
    <row r="27">
      <c r="F27" s="7">
        <f>IF($A27="","",E27*L27/100)</f>
        <v/>
      </c>
      <c r="J27" s="7" t="n"/>
      <c r="K27" s="7">
        <f>IF($A27="","",N27*U27/100)</f>
        <v/>
      </c>
      <c r="L27" s="7">
        <f>IF($A27="","",N27-K27)</f>
        <v/>
      </c>
      <c r="M27" s="7">
        <f>IF($A27="","",L27-F27)</f>
        <v/>
      </c>
      <c r="N27" s="7" t="n"/>
      <c r="O27" s="7" t="n"/>
      <c r="P27" s="7" t="n"/>
      <c r="R27" s="14" t="n"/>
      <c r="V27">
        <f>IF($A27="","",IF(COUNTIF($A$2:$A27,$A27)=1,1,0))</f>
        <v/>
      </c>
      <c r="W27">
        <f>IF($V27=1,SUMPRODUCT(--($Y$2:$Y$1501&lt;$Y27))+1,"")</f>
        <v/>
      </c>
      <c r="X27">
        <f>IF($A27="","",IF(OR($T27=TRUE(),$T27="TRUE"),1,0))</f>
        <v/>
      </c>
      <c r="Y27">
        <f>IF($V27=1,IFERROR(IF(VALUE($A27)&lt;100000000,VALUE($A27),1000000000),IFERROR(IF(VALUE(MID($A27,2,20))&lt;100000000,VALUE(MID($A27,2,20)),1000000000),1000000000))+ROW()/100000,"")</f>
        <v/>
      </c>
    </row>
    <row r="28">
      <c r="F28" s="7">
        <f>IF($A28="","",E28*L28/100)</f>
        <v/>
      </c>
      <c r="J28" s="7" t="n"/>
      <c r="K28" s="7">
        <f>IF($A28="","",N28*U28/100)</f>
        <v/>
      </c>
      <c r="L28" s="7">
        <f>IF($A28="","",N28-K28)</f>
        <v/>
      </c>
      <c r="M28" s="7">
        <f>IF($A28="","",L28-F28)</f>
        <v/>
      </c>
      <c r="N28" s="7" t="n"/>
      <c r="O28" s="7" t="n"/>
      <c r="P28" s="7" t="n"/>
      <c r="R28" s="14" t="n"/>
      <c r="V28">
        <f>IF($A28="","",IF(COUNTIF($A$2:$A28,$A28)=1,1,0))</f>
        <v/>
      </c>
      <c r="W28">
        <f>IF($V28=1,SUMPRODUCT(--($Y$2:$Y$1501&lt;$Y28))+1,"")</f>
        <v/>
      </c>
      <c r="X28">
        <f>IF($A28="","",IF(OR($T28=TRUE(),$T28="TRUE"),1,0))</f>
        <v/>
      </c>
      <c r="Y28">
        <f>IF($V28=1,IFERROR(IF(VALUE($A28)&lt;100000000,VALUE($A28),1000000000),IFERROR(IF(VALUE(MID($A28,2,20))&lt;100000000,VALUE(MID($A28,2,20)),1000000000),1000000000))+ROW()/100000,"")</f>
        <v/>
      </c>
    </row>
    <row r="29">
      <c r="F29" s="7">
        <f>IF($A29="","",E29*L29/100)</f>
        <v/>
      </c>
      <c r="J29" s="7" t="n"/>
      <c r="K29" s="7">
        <f>IF($A29="","",N29*U29/100)</f>
        <v/>
      </c>
      <c r="L29" s="7">
        <f>IF($A29="","",N29-K29)</f>
        <v/>
      </c>
      <c r="M29" s="7">
        <f>IF($A29="","",L29-F29)</f>
        <v/>
      </c>
      <c r="N29" s="7" t="n"/>
      <c r="O29" s="7" t="n"/>
      <c r="P29" s="7" t="n"/>
      <c r="R29" s="14" t="n"/>
      <c r="V29">
        <f>IF($A29="","",IF(COUNTIF($A$2:$A29,$A29)=1,1,0))</f>
        <v/>
      </c>
      <c r="W29">
        <f>IF($V29=1,SUMPRODUCT(--($Y$2:$Y$1501&lt;$Y29))+1,"")</f>
        <v/>
      </c>
      <c r="X29">
        <f>IF($A29="","",IF(OR($T29=TRUE(),$T29="TRUE"),1,0))</f>
        <v/>
      </c>
      <c r="Y29">
        <f>IF($V29=1,IFERROR(IF(VALUE($A29)&lt;100000000,VALUE($A29),1000000000),IFERROR(IF(VALUE(MID($A29,2,20))&lt;100000000,VALUE(MID($A29,2,20)),1000000000),1000000000))+ROW()/100000,"")</f>
        <v/>
      </c>
    </row>
    <row r="30">
      <c r="F30" s="7">
        <f>IF($A30="","",E30*L30/100)</f>
        <v/>
      </c>
      <c r="J30" s="7" t="n"/>
      <c r="K30" s="7">
        <f>IF($A30="","",N30*U30/100)</f>
        <v/>
      </c>
      <c r="L30" s="7">
        <f>IF($A30="","",N30-K30)</f>
        <v/>
      </c>
      <c r="M30" s="7">
        <f>IF($A30="","",L30-F30)</f>
        <v/>
      </c>
      <c r="N30" s="7" t="n"/>
      <c r="O30" s="7" t="n"/>
      <c r="P30" s="7" t="n"/>
      <c r="R30" s="14" t="n"/>
      <c r="V30">
        <f>IF($A30="","",IF(COUNTIF($A$2:$A30,$A30)=1,1,0))</f>
        <v/>
      </c>
      <c r="W30">
        <f>IF($V30=1,SUMPRODUCT(--($Y$2:$Y$1501&lt;$Y30))+1,"")</f>
        <v/>
      </c>
      <c r="X30">
        <f>IF($A30="","",IF(OR($T30=TRUE(),$T30="TRUE"),1,0))</f>
        <v/>
      </c>
      <c r="Y30">
        <f>IF($V30=1,IFERROR(IF(VALUE($A30)&lt;100000000,VALUE($A30),1000000000),IFERROR(IF(VALUE(MID($A30,2,20))&lt;100000000,VALUE(MID($A30,2,20)),1000000000),1000000000))+ROW()/100000,"")</f>
        <v/>
      </c>
    </row>
    <row r="31">
      <c r="F31" s="7">
        <f>IF($A31="","",E31*L31/100)</f>
        <v/>
      </c>
      <c r="J31" s="7" t="n"/>
      <c r="K31" s="7">
        <f>IF($A31="","",N31*U31/100)</f>
        <v/>
      </c>
      <c r="L31" s="7">
        <f>IF($A31="","",N31-K31)</f>
        <v/>
      </c>
      <c r="M31" s="7">
        <f>IF($A31="","",L31-F31)</f>
        <v/>
      </c>
      <c r="N31" s="7" t="n"/>
      <c r="O31" s="7" t="n"/>
      <c r="P31" s="7" t="n"/>
      <c r="R31" s="14" t="n"/>
      <c r="V31">
        <f>IF($A31="","",IF(COUNTIF($A$2:$A31,$A31)=1,1,0))</f>
        <v/>
      </c>
      <c r="W31">
        <f>IF($V31=1,SUMPRODUCT(--($Y$2:$Y$1501&lt;$Y31))+1,"")</f>
        <v/>
      </c>
      <c r="X31">
        <f>IF($A31="","",IF(OR($T31=TRUE(),$T31="TRUE"),1,0))</f>
        <v/>
      </c>
      <c r="Y31">
        <f>IF($V31=1,IFERROR(IF(VALUE($A31)&lt;100000000,VALUE($A31),1000000000),IFERROR(IF(VALUE(MID($A31,2,20))&lt;100000000,VALUE(MID($A31,2,20)),1000000000),1000000000))+ROW()/100000,"")</f>
        <v/>
      </c>
    </row>
    <row r="32">
      <c r="F32" s="7">
        <f>IF($A32="","",E32*L32/100)</f>
        <v/>
      </c>
      <c r="J32" s="7" t="n"/>
      <c r="K32" s="7">
        <f>IF($A32="","",N32*U32/100)</f>
        <v/>
      </c>
      <c r="L32" s="7">
        <f>IF($A32="","",N32-K32)</f>
        <v/>
      </c>
      <c r="M32" s="7">
        <f>IF($A32="","",L32-F32)</f>
        <v/>
      </c>
      <c r="N32" s="7" t="n"/>
      <c r="O32" s="7" t="n"/>
      <c r="P32" s="7" t="n"/>
      <c r="R32" s="14" t="n"/>
      <c r="V32">
        <f>IF($A32="","",IF(COUNTIF($A$2:$A32,$A32)=1,1,0))</f>
        <v/>
      </c>
      <c r="W32">
        <f>IF($V32=1,SUMPRODUCT(--($Y$2:$Y$1501&lt;$Y32))+1,"")</f>
        <v/>
      </c>
      <c r="X32">
        <f>IF($A32="","",IF(OR($T32=TRUE(),$T32="TRUE"),1,0))</f>
        <v/>
      </c>
      <c r="Y32">
        <f>IF($V32=1,IFERROR(IF(VALUE($A32)&lt;100000000,VALUE($A32),1000000000),IFERROR(IF(VALUE(MID($A32,2,20))&lt;100000000,VALUE(MID($A32,2,20)),1000000000),1000000000))+ROW()/100000,"")</f>
        <v/>
      </c>
    </row>
    <row r="33">
      <c r="F33" s="7">
        <f>IF($A33="","",E33*L33/100)</f>
        <v/>
      </c>
      <c r="J33" s="7" t="n"/>
      <c r="K33" s="7">
        <f>IF($A33="","",N33*U33/100)</f>
        <v/>
      </c>
      <c r="L33" s="7">
        <f>IF($A33="","",N33-K33)</f>
        <v/>
      </c>
      <c r="M33" s="7">
        <f>IF($A33="","",L33-F33)</f>
        <v/>
      </c>
      <c r="N33" s="7" t="n"/>
      <c r="O33" s="7" t="n"/>
      <c r="P33" s="7" t="n"/>
      <c r="R33" s="14" t="n"/>
      <c r="V33">
        <f>IF($A33="","",IF(COUNTIF($A$2:$A33,$A33)=1,1,0))</f>
        <v/>
      </c>
      <c r="W33">
        <f>IF($V33=1,SUMPRODUCT(--($Y$2:$Y$1501&lt;$Y33))+1,"")</f>
        <v/>
      </c>
      <c r="X33">
        <f>IF($A33="","",IF(OR($T33=TRUE(),$T33="TRUE"),1,0))</f>
        <v/>
      </c>
      <c r="Y33">
        <f>IF($V33=1,IFERROR(IF(VALUE($A33)&lt;100000000,VALUE($A33),1000000000),IFERROR(IF(VALUE(MID($A33,2,20))&lt;100000000,VALUE(MID($A33,2,20)),1000000000),1000000000))+ROW()/100000,"")</f>
        <v/>
      </c>
    </row>
    <row r="34">
      <c r="F34" s="7">
        <f>IF($A34="","",E34*L34/100)</f>
        <v/>
      </c>
      <c r="J34" s="7" t="n"/>
      <c r="K34" s="7">
        <f>IF($A34="","",N34*U34/100)</f>
        <v/>
      </c>
      <c r="L34" s="7">
        <f>IF($A34="","",N34-K34)</f>
        <v/>
      </c>
      <c r="M34" s="7">
        <f>IF($A34="","",L34-F34)</f>
        <v/>
      </c>
      <c r="N34" s="7" t="n"/>
      <c r="O34" s="7" t="n"/>
      <c r="P34" s="7" t="n"/>
      <c r="R34" s="14" t="n"/>
      <c r="V34">
        <f>IF($A34="","",IF(COUNTIF($A$2:$A34,$A34)=1,1,0))</f>
        <v/>
      </c>
      <c r="W34">
        <f>IF($V34=1,SUMPRODUCT(--($Y$2:$Y$1501&lt;$Y34))+1,"")</f>
        <v/>
      </c>
      <c r="X34">
        <f>IF($A34="","",IF(OR($T34=TRUE(),$T34="TRUE"),1,0))</f>
        <v/>
      </c>
      <c r="Y34">
        <f>IF($V34=1,IFERROR(IF(VALUE($A34)&lt;100000000,VALUE($A34),1000000000),IFERROR(IF(VALUE(MID($A34,2,20))&lt;100000000,VALUE(MID($A34,2,20)),1000000000),1000000000))+ROW()/100000,"")</f>
        <v/>
      </c>
    </row>
    <row r="35">
      <c r="F35" s="7">
        <f>IF($A35="","",E35*L35/100)</f>
        <v/>
      </c>
      <c r="J35" s="7" t="n"/>
      <c r="K35" s="7">
        <f>IF($A35="","",N35*U35/100)</f>
        <v/>
      </c>
      <c r="L35" s="7">
        <f>IF($A35="","",N35-K35)</f>
        <v/>
      </c>
      <c r="M35" s="7">
        <f>IF($A35="","",L35-F35)</f>
        <v/>
      </c>
      <c r="N35" s="7" t="n"/>
      <c r="O35" s="7" t="n"/>
      <c r="P35" s="7" t="n"/>
      <c r="R35" s="14" t="n"/>
      <c r="V35">
        <f>IF($A35="","",IF(COUNTIF($A$2:$A35,$A35)=1,1,0))</f>
        <v/>
      </c>
      <c r="W35">
        <f>IF($V35=1,SUMPRODUCT(--($Y$2:$Y$1501&lt;$Y35))+1,"")</f>
        <v/>
      </c>
      <c r="X35">
        <f>IF($A35="","",IF(OR($T35=TRUE(),$T35="TRUE"),1,0))</f>
        <v/>
      </c>
      <c r="Y35">
        <f>IF($V35=1,IFERROR(IF(VALUE($A35)&lt;100000000,VALUE($A35),1000000000),IFERROR(IF(VALUE(MID($A35,2,20))&lt;100000000,VALUE(MID($A35,2,20)),1000000000),1000000000))+ROW()/100000,"")</f>
        <v/>
      </c>
    </row>
    <row r="36">
      <c r="F36" s="7">
        <f>IF($A36="","",E36*L36/100)</f>
        <v/>
      </c>
      <c r="J36" s="7" t="n"/>
      <c r="K36" s="7">
        <f>IF($A36="","",N36*U36/100)</f>
        <v/>
      </c>
      <c r="L36" s="7">
        <f>IF($A36="","",N36-K36)</f>
        <v/>
      </c>
      <c r="M36" s="7">
        <f>IF($A36="","",L36-F36)</f>
        <v/>
      </c>
      <c r="N36" s="7" t="n"/>
      <c r="O36" s="7" t="n"/>
      <c r="P36" s="7" t="n"/>
      <c r="R36" s="14" t="n"/>
      <c r="V36">
        <f>IF($A36="","",IF(COUNTIF($A$2:$A36,$A36)=1,1,0))</f>
        <v/>
      </c>
      <c r="W36">
        <f>IF($V36=1,SUMPRODUCT(--($Y$2:$Y$1501&lt;$Y36))+1,"")</f>
        <v/>
      </c>
      <c r="X36">
        <f>IF($A36="","",IF(OR($T36=TRUE(),$T36="TRUE"),1,0))</f>
        <v/>
      </c>
      <c r="Y36">
        <f>IF($V36=1,IFERROR(IF(VALUE($A36)&lt;100000000,VALUE($A36),1000000000),IFERROR(IF(VALUE(MID($A36,2,20))&lt;100000000,VALUE(MID($A36,2,20)),1000000000),1000000000))+ROW()/100000,"")</f>
        <v/>
      </c>
    </row>
    <row r="37">
      <c r="F37" s="7">
        <f>IF($A37="","",E37*L37/100)</f>
        <v/>
      </c>
      <c r="J37" s="7" t="n"/>
      <c r="K37" s="7">
        <f>IF($A37="","",N37*U37/100)</f>
        <v/>
      </c>
      <c r="L37" s="7">
        <f>IF($A37="","",N37-K37)</f>
        <v/>
      </c>
      <c r="M37" s="7">
        <f>IF($A37="","",L37-F37)</f>
        <v/>
      </c>
      <c r="N37" s="7" t="n"/>
      <c r="O37" s="7" t="n"/>
      <c r="P37" s="7" t="n"/>
      <c r="R37" s="14" t="n"/>
      <c r="V37">
        <f>IF($A37="","",IF(COUNTIF($A$2:$A37,$A37)=1,1,0))</f>
        <v/>
      </c>
      <c r="W37">
        <f>IF($V37=1,SUMPRODUCT(--($Y$2:$Y$1501&lt;$Y37))+1,"")</f>
        <v/>
      </c>
      <c r="X37">
        <f>IF($A37="","",IF(OR($T37=TRUE(),$T37="TRUE"),1,0))</f>
        <v/>
      </c>
      <c r="Y37">
        <f>IF($V37=1,IFERROR(IF(VALUE($A37)&lt;100000000,VALUE($A37),1000000000),IFERROR(IF(VALUE(MID($A37,2,20))&lt;100000000,VALUE(MID($A37,2,20)),1000000000),1000000000))+ROW()/100000,"")</f>
        <v/>
      </c>
    </row>
    <row r="38">
      <c r="F38" s="7">
        <f>IF($A38="","",E38*L38/100)</f>
        <v/>
      </c>
      <c r="J38" s="7" t="n"/>
      <c r="K38" s="7">
        <f>IF($A38="","",N38*U38/100)</f>
        <v/>
      </c>
      <c r="L38" s="7">
        <f>IF($A38="","",N38-K38)</f>
        <v/>
      </c>
      <c r="M38" s="7">
        <f>IF($A38="","",L38-F38)</f>
        <v/>
      </c>
      <c r="N38" s="7" t="n"/>
      <c r="O38" s="7" t="n"/>
      <c r="P38" s="7" t="n"/>
      <c r="R38" s="14" t="n"/>
      <c r="V38">
        <f>IF($A38="","",IF(COUNTIF($A$2:$A38,$A38)=1,1,0))</f>
        <v/>
      </c>
      <c r="W38">
        <f>IF($V38=1,SUMPRODUCT(--($Y$2:$Y$1501&lt;$Y38))+1,"")</f>
        <v/>
      </c>
      <c r="X38">
        <f>IF($A38="","",IF(OR($T38=TRUE(),$T38="TRUE"),1,0))</f>
        <v/>
      </c>
      <c r="Y38">
        <f>IF($V38=1,IFERROR(IF(VALUE($A38)&lt;100000000,VALUE($A38),1000000000),IFERROR(IF(VALUE(MID($A38,2,20))&lt;100000000,VALUE(MID($A38,2,20)),1000000000),1000000000))+ROW()/100000,"")</f>
        <v/>
      </c>
    </row>
    <row r="39">
      <c r="F39" s="7">
        <f>IF($A39="","",E39*L39/100)</f>
        <v/>
      </c>
      <c r="J39" s="7" t="n"/>
      <c r="K39" s="7">
        <f>IF($A39="","",N39*U39/100)</f>
        <v/>
      </c>
      <c r="L39" s="7">
        <f>IF($A39="","",N39-K39)</f>
        <v/>
      </c>
      <c r="M39" s="7">
        <f>IF($A39="","",L39-F39)</f>
        <v/>
      </c>
      <c r="N39" s="7" t="n"/>
      <c r="O39" s="7" t="n"/>
      <c r="P39" s="7" t="n"/>
      <c r="R39" s="14" t="n"/>
      <c r="V39">
        <f>IF($A39="","",IF(COUNTIF($A$2:$A39,$A39)=1,1,0))</f>
        <v/>
      </c>
      <c r="W39">
        <f>IF($V39=1,SUMPRODUCT(--($Y$2:$Y$1501&lt;$Y39))+1,"")</f>
        <v/>
      </c>
      <c r="X39">
        <f>IF($A39="","",IF(OR($T39=TRUE(),$T39="TRUE"),1,0))</f>
        <v/>
      </c>
      <c r="Y39">
        <f>IF($V39=1,IFERROR(IF(VALUE($A39)&lt;100000000,VALUE($A39),1000000000),IFERROR(IF(VALUE(MID($A39,2,20))&lt;100000000,VALUE(MID($A39,2,20)),1000000000),1000000000))+ROW()/100000,"")</f>
        <v/>
      </c>
    </row>
    <row r="40">
      <c r="F40" s="7">
        <f>IF($A40="","",E40*L40/100)</f>
        <v/>
      </c>
      <c r="J40" s="7" t="n"/>
      <c r="K40" s="7">
        <f>IF($A40="","",N40*U40/100)</f>
        <v/>
      </c>
      <c r="L40" s="7">
        <f>IF($A40="","",N40-K40)</f>
        <v/>
      </c>
      <c r="M40" s="7">
        <f>IF($A40="","",L40-F40)</f>
        <v/>
      </c>
      <c r="N40" s="7" t="n"/>
      <c r="O40" s="7" t="n"/>
      <c r="P40" s="7" t="n"/>
      <c r="R40" s="14" t="n"/>
      <c r="V40">
        <f>IF($A40="","",IF(COUNTIF($A$2:$A40,$A40)=1,1,0))</f>
        <v/>
      </c>
      <c r="W40">
        <f>IF($V40=1,SUMPRODUCT(--($Y$2:$Y$1501&lt;$Y40))+1,"")</f>
        <v/>
      </c>
      <c r="X40">
        <f>IF($A40="","",IF(OR($T40=TRUE(),$T40="TRUE"),1,0))</f>
        <v/>
      </c>
      <c r="Y40">
        <f>IF($V40=1,IFERROR(IF(VALUE($A40)&lt;100000000,VALUE($A40),1000000000),IFERROR(IF(VALUE(MID($A40,2,20))&lt;100000000,VALUE(MID($A40,2,20)),1000000000),1000000000))+ROW()/100000,"")</f>
        <v/>
      </c>
    </row>
    <row r="41">
      <c r="F41" s="7">
        <f>IF($A41="","",E41*L41/100)</f>
        <v/>
      </c>
      <c r="J41" s="7" t="n"/>
      <c r="K41" s="7">
        <f>IF($A41="","",N41*U41/100)</f>
        <v/>
      </c>
      <c r="L41" s="7">
        <f>IF($A41="","",N41-K41)</f>
        <v/>
      </c>
      <c r="M41" s="7">
        <f>IF($A41="","",L41-F41)</f>
        <v/>
      </c>
      <c r="N41" s="7" t="n"/>
      <c r="O41" s="7" t="n"/>
      <c r="P41" s="7" t="n"/>
      <c r="R41" s="14" t="n"/>
      <c r="V41">
        <f>IF($A41="","",IF(COUNTIF($A$2:$A41,$A41)=1,1,0))</f>
        <v/>
      </c>
      <c r="W41">
        <f>IF($V41=1,SUMPRODUCT(--($Y$2:$Y$1501&lt;$Y41))+1,"")</f>
        <v/>
      </c>
      <c r="X41">
        <f>IF($A41="","",IF(OR($T41=TRUE(),$T41="TRUE"),1,0))</f>
        <v/>
      </c>
      <c r="Y41">
        <f>IF($V41=1,IFERROR(IF(VALUE($A41)&lt;100000000,VALUE($A41),1000000000),IFERROR(IF(VALUE(MID($A41,2,20))&lt;100000000,VALUE(MID($A41,2,20)),1000000000),1000000000))+ROW()/100000,"")</f>
        <v/>
      </c>
    </row>
    <row r="42">
      <c r="F42" s="7">
        <f>IF($A42="","",E42*L42/100)</f>
        <v/>
      </c>
      <c r="J42" s="7" t="n"/>
      <c r="K42" s="7">
        <f>IF($A42="","",N42*U42/100)</f>
        <v/>
      </c>
      <c r="L42" s="7">
        <f>IF($A42="","",N42-K42)</f>
        <v/>
      </c>
      <c r="M42" s="7">
        <f>IF($A42="","",L42-F42)</f>
        <v/>
      </c>
      <c r="N42" s="7" t="n"/>
      <c r="O42" s="7" t="n"/>
      <c r="P42" s="7" t="n"/>
      <c r="R42" s="14" t="n"/>
      <c r="V42">
        <f>IF($A42="","",IF(COUNTIF($A$2:$A42,$A42)=1,1,0))</f>
        <v/>
      </c>
      <c r="W42">
        <f>IF($V42=1,SUMPRODUCT(--($Y$2:$Y$1501&lt;$Y42))+1,"")</f>
        <v/>
      </c>
      <c r="X42">
        <f>IF($A42="","",IF(OR($T42=TRUE(),$T42="TRUE"),1,0))</f>
        <v/>
      </c>
      <c r="Y42">
        <f>IF($V42=1,IFERROR(IF(VALUE($A42)&lt;100000000,VALUE($A42),1000000000),IFERROR(IF(VALUE(MID($A42,2,20))&lt;100000000,VALUE(MID($A42,2,20)),1000000000),1000000000))+ROW()/100000,"")</f>
        <v/>
      </c>
    </row>
    <row r="43">
      <c r="F43" s="7">
        <f>IF($A43="","",E43*L43/100)</f>
        <v/>
      </c>
      <c r="J43" s="7" t="n"/>
      <c r="K43" s="7">
        <f>IF($A43="","",N43*U43/100)</f>
        <v/>
      </c>
      <c r="L43" s="7">
        <f>IF($A43="","",N43-K43)</f>
        <v/>
      </c>
      <c r="M43" s="7">
        <f>IF($A43="","",L43-F43)</f>
        <v/>
      </c>
      <c r="N43" s="7" t="n"/>
      <c r="O43" s="7" t="n"/>
      <c r="P43" s="7" t="n"/>
      <c r="R43" s="14" t="n"/>
      <c r="V43">
        <f>IF($A43="","",IF(COUNTIF($A$2:$A43,$A43)=1,1,0))</f>
        <v/>
      </c>
      <c r="W43">
        <f>IF($V43=1,SUMPRODUCT(--($Y$2:$Y$1501&lt;$Y43))+1,"")</f>
        <v/>
      </c>
      <c r="X43">
        <f>IF($A43="","",IF(OR($T43=TRUE(),$T43="TRUE"),1,0))</f>
        <v/>
      </c>
      <c r="Y43">
        <f>IF($V43=1,IFERROR(IF(VALUE($A43)&lt;100000000,VALUE($A43),1000000000),IFERROR(IF(VALUE(MID($A43,2,20))&lt;100000000,VALUE(MID($A43,2,20)),1000000000),1000000000))+ROW()/100000,"")</f>
        <v/>
      </c>
    </row>
    <row r="44">
      <c r="F44" s="7">
        <f>IF($A44="","",E44*L44/100)</f>
        <v/>
      </c>
      <c r="J44" s="7" t="n"/>
      <c r="K44" s="7">
        <f>IF($A44="","",N44*U44/100)</f>
        <v/>
      </c>
      <c r="L44" s="7">
        <f>IF($A44="","",N44-K44)</f>
        <v/>
      </c>
      <c r="M44" s="7">
        <f>IF($A44="","",L44-F44)</f>
        <v/>
      </c>
      <c r="N44" s="7" t="n"/>
      <c r="O44" s="7" t="n"/>
      <c r="P44" s="7" t="n"/>
      <c r="R44" s="14" t="n"/>
      <c r="V44">
        <f>IF($A44="","",IF(COUNTIF($A$2:$A44,$A44)=1,1,0))</f>
        <v/>
      </c>
      <c r="W44">
        <f>IF($V44=1,SUMPRODUCT(--($Y$2:$Y$1501&lt;$Y44))+1,"")</f>
        <v/>
      </c>
      <c r="X44">
        <f>IF($A44="","",IF(OR($T44=TRUE(),$T44="TRUE"),1,0))</f>
        <v/>
      </c>
      <c r="Y44">
        <f>IF($V44=1,IFERROR(IF(VALUE($A44)&lt;100000000,VALUE($A44),1000000000),IFERROR(IF(VALUE(MID($A44,2,20))&lt;100000000,VALUE(MID($A44,2,20)),1000000000),1000000000))+ROW()/100000,"")</f>
        <v/>
      </c>
    </row>
    <row r="45">
      <c r="F45" s="7">
        <f>IF($A45="","",E45*L45/100)</f>
        <v/>
      </c>
      <c r="J45" s="7" t="n"/>
      <c r="K45" s="7">
        <f>IF($A45="","",N45*U45/100)</f>
        <v/>
      </c>
      <c r="L45" s="7">
        <f>IF($A45="","",N45-K45)</f>
        <v/>
      </c>
      <c r="M45" s="7">
        <f>IF($A45="","",L45-F45)</f>
        <v/>
      </c>
      <c r="N45" s="7" t="n"/>
      <c r="O45" s="7" t="n"/>
      <c r="P45" s="7" t="n"/>
      <c r="R45" s="14" t="n"/>
      <c r="V45">
        <f>IF($A45="","",IF(COUNTIF($A$2:$A45,$A45)=1,1,0))</f>
        <v/>
      </c>
      <c r="W45">
        <f>IF($V45=1,SUMPRODUCT(--($Y$2:$Y$1501&lt;$Y45))+1,"")</f>
        <v/>
      </c>
      <c r="X45">
        <f>IF($A45="","",IF(OR($T45=TRUE(),$T45="TRUE"),1,0))</f>
        <v/>
      </c>
      <c r="Y45">
        <f>IF($V45=1,IFERROR(IF(VALUE($A45)&lt;100000000,VALUE($A45),1000000000),IFERROR(IF(VALUE(MID($A45,2,20))&lt;100000000,VALUE(MID($A45,2,20)),1000000000),1000000000))+ROW()/100000,"")</f>
        <v/>
      </c>
    </row>
    <row r="46">
      <c r="F46" s="7">
        <f>IF($A46="","",E46*L46/100)</f>
        <v/>
      </c>
      <c r="J46" s="7" t="n"/>
      <c r="K46" s="7">
        <f>IF($A46="","",N46*U46/100)</f>
        <v/>
      </c>
      <c r="L46" s="7">
        <f>IF($A46="","",N46-K46)</f>
        <v/>
      </c>
      <c r="M46" s="7">
        <f>IF($A46="","",L46-F46)</f>
        <v/>
      </c>
      <c r="N46" s="7" t="n"/>
      <c r="O46" s="7" t="n"/>
      <c r="P46" s="7" t="n"/>
      <c r="R46" s="14" t="n"/>
      <c r="V46">
        <f>IF($A46="","",IF(COUNTIF($A$2:$A46,$A46)=1,1,0))</f>
        <v/>
      </c>
      <c r="W46">
        <f>IF($V46=1,SUMPRODUCT(--($Y$2:$Y$1501&lt;$Y46))+1,"")</f>
        <v/>
      </c>
      <c r="X46">
        <f>IF($A46="","",IF(OR($T46=TRUE(),$T46="TRUE"),1,0))</f>
        <v/>
      </c>
      <c r="Y46">
        <f>IF($V46=1,IFERROR(IF(VALUE($A46)&lt;100000000,VALUE($A46),1000000000),IFERROR(IF(VALUE(MID($A46,2,20))&lt;100000000,VALUE(MID($A46,2,20)),1000000000),1000000000))+ROW()/100000,"")</f>
        <v/>
      </c>
    </row>
    <row r="47">
      <c r="F47" s="7">
        <f>IF($A47="","",E47*L47/100)</f>
        <v/>
      </c>
      <c r="J47" s="7" t="n"/>
      <c r="K47" s="7">
        <f>IF($A47="","",N47*U47/100)</f>
        <v/>
      </c>
      <c r="L47" s="7">
        <f>IF($A47="","",N47-K47)</f>
        <v/>
      </c>
      <c r="M47" s="7">
        <f>IF($A47="","",L47-F47)</f>
        <v/>
      </c>
      <c r="N47" s="7" t="n"/>
      <c r="O47" s="7" t="n"/>
      <c r="P47" s="7" t="n"/>
      <c r="R47" s="14" t="n"/>
      <c r="V47">
        <f>IF($A47="","",IF(COUNTIF($A$2:$A47,$A47)=1,1,0))</f>
        <v/>
      </c>
      <c r="W47">
        <f>IF($V47=1,SUMPRODUCT(--($Y$2:$Y$1501&lt;$Y47))+1,"")</f>
        <v/>
      </c>
      <c r="X47">
        <f>IF($A47="","",IF(OR($T47=TRUE(),$T47="TRUE"),1,0))</f>
        <v/>
      </c>
      <c r="Y47">
        <f>IF($V47=1,IFERROR(IF(VALUE($A47)&lt;100000000,VALUE($A47),1000000000),IFERROR(IF(VALUE(MID($A47,2,20))&lt;100000000,VALUE(MID($A47,2,20)),1000000000),1000000000))+ROW()/100000,"")</f>
        <v/>
      </c>
    </row>
    <row r="48">
      <c r="F48" s="7">
        <f>IF($A48="","",E48*L48/100)</f>
        <v/>
      </c>
      <c r="J48" s="7" t="n"/>
      <c r="K48" s="7">
        <f>IF($A48="","",N48*U48/100)</f>
        <v/>
      </c>
      <c r="L48" s="7">
        <f>IF($A48="","",N48-K48)</f>
        <v/>
      </c>
      <c r="M48" s="7">
        <f>IF($A48="","",L48-F48)</f>
        <v/>
      </c>
      <c r="N48" s="7" t="n"/>
      <c r="O48" s="7" t="n"/>
      <c r="P48" s="7" t="n"/>
      <c r="R48" s="14" t="n"/>
      <c r="V48">
        <f>IF($A48="","",IF(COUNTIF($A$2:$A48,$A48)=1,1,0))</f>
        <v/>
      </c>
      <c r="W48">
        <f>IF($V48=1,SUMPRODUCT(--($Y$2:$Y$1501&lt;$Y48))+1,"")</f>
        <v/>
      </c>
      <c r="X48">
        <f>IF($A48="","",IF(OR($T48=TRUE(),$T48="TRUE"),1,0))</f>
        <v/>
      </c>
      <c r="Y48">
        <f>IF($V48=1,IFERROR(IF(VALUE($A48)&lt;100000000,VALUE($A48),1000000000),IFERROR(IF(VALUE(MID($A48,2,20))&lt;100000000,VALUE(MID($A48,2,20)),1000000000),1000000000))+ROW()/100000,"")</f>
        <v/>
      </c>
    </row>
    <row r="49">
      <c r="F49" s="7">
        <f>IF($A49="","",E49*L49/100)</f>
        <v/>
      </c>
      <c r="J49" s="7" t="n"/>
      <c r="K49" s="7">
        <f>IF($A49="","",N49*U49/100)</f>
        <v/>
      </c>
      <c r="L49" s="7">
        <f>IF($A49="","",N49-K49)</f>
        <v/>
      </c>
      <c r="M49" s="7">
        <f>IF($A49="","",L49-F49)</f>
        <v/>
      </c>
      <c r="N49" s="7" t="n"/>
      <c r="O49" s="7" t="n"/>
      <c r="P49" s="7" t="n"/>
      <c r="R49" s="14" t="n"/>
      <c r="V49">
        <f>IF($A49="","",IF(COUNTIF($A$2:$A49,$A49)=1,1,0))</f>
        <v/>
      </c>
      <c r="W49">
        <f>IF($V49=1,SUMPRODUCT(--($Y$2:$Y$1501&lt;$Y49))+1,"")</f>
        <v/>
      </c>
      <c r="X49">
        <f>IF($A49="","",IF(OR($T49=TRUE(),$T49="TRUE"),1,0))</f>
        <v/>
      </c>
      <c r="Y49">
        <f>IF($V49=1,IFERROR(IF(VALUE($A49)&lt;100000000,VALUE($A49),1000000000),IFERROR(IF(VALUE(MID($A49,2,20))&lt;100000000,VALUE(MID($A49,2,20)),1000000000),1000000000))+ROW()/100000,"")</f>
        <v/>
      </c>
    </row>
    <row r="50">
      <c r="F50" s="7">
        <f>IF($A50="","",E50*L50/100)</f>
        <v/>
      </c>
      <c r="J50" s="7" t="n"/>
      <c r="K50" s="7">
        <f>IF($A50="","",N50*U50/100)</f>
        <v/>
      </c>
      <c r="L50" s="7">
        <f>IF($A50="","",N50-K50)</f>
        <v/>
      </c>
      <c r="M50" s="7">
        <f>IF($A50="","",L50-F50)</f>
        <v/>
      </c>
      <c r="N50" s="7" t="n"/>
      <c r="O50" s="7" t="n"/>
      <c r="P50" s="7" t="n"/>
      <c r="R50" s="14" t="n"/>
      <c r="V50">
        <f>IF($A50="","",IF(COUNTIF($A$2:$A50,$A50)=1,1,0))</f>
        <v/>
      </c>
      <c r="W50">
        <f>IF($V50=1,SUMPRODUCT(--($Y$2:$Y$1501&lt;$Y50))+1,"")</f>
        <v/>
      </c>
      <c r="X50">
        <f>IF($A50="","",IF(OR($T50=TRUE(),$T50="TRUE"),1,0))</f>
        <v/>
      </c>
      <c r="Y50">
        <f>IF($V50=1,IFERROR(IF(VALUE($A50)&lt;100000000,VALUE($A50),1000000000),IFERROR(IF(VALUE(MID($A50,2,20))&lt;100000000,VALUE(MID($A50,2,20)),1000000000),1000000000))+ROW()/100000,"")</f>
        <v/>
      </c>
    </row>
    <row r="51">
      <c r="F51" s="7">
        <f>IF($A51="","",E51*L51/100)</f>
        <v/>
      </c>
      <c r="J51" s="7" t="n"/>
      <c r="K51" s="7">
        <f>IF($A51="","",N51*U51/100)</f>
        <v/>
      </c>
      <c r="L51" s="7">
        <f>IF($A51="","",N51-K51)</f>
        <v/>
      </c>
      <c r="M51" s="7">
        <f>IF($A51="","",L51-F51)</f>
        <v/>
      </c>
      <c r="N51" s="7" t="n"/>
      <c r="O51" s="7" t="n"/>
      <c r="P51" s="7" t="n"/>
      <c r="R51" s="14" t="n"/>
      <c r="V51">
        <f>IF($A51="","",IF(COUNTIF($A$2:$A51,$A51)=1,1,0))</f>
        <v/>
      </c>
      <c r="W51">
        <f>IF($V51=1,SUMPRODUCT(--($Y$2:$Y$1501&lt;$Y51))+1,"")</f>
        <v/>
      </c>
      <c r="X51">
        <f>IF($A51="","",IF(OR($T51=TRUE(),$T51="TRUE"),1,0))</f>
        <v/>
      </c>
      <c r="Y51">
        <f>IF($V51=1,IFERROR(IF(VALUE($A51)&lt;100000000,VALUE($A51),1000000000),IFERROR(IF(VALUE(MID($A51,2,20))&lt;100000000,VALUE(MID($A51,2,20)),1000000000),1000000000))+ROW()/100000,"")</f>
        <v/>
      </c>
    </row>
    <row r="52">
      <c r="F52" s="7">
        <f>IF($A52="","",E52*L52/100)</f>
        <v/>
      </c>
      <c r="J52" s="7" t="n"/>
      <c r="K52" s="7">
        <f>IF($A52="","",N52*U52/100)</f>
        <v/>
      </c>
      <c r="L52" s="7">
        <f>IF($A52="","",N52-K52)</f>
        <v/>
      </c>
      <c r="M52" s="7">
        <f>IF($A52="","",L52-F52)</f>
        <v/>
      </c>
      <c r="N52" s="7" t="n"/>
      <c r="O52" s="7" t="n"/>
      <c r="P52" s="7" t="n"/>
      <c r="R52" s="14" t="n"/>
      <c r="V52">
        <f>IF($A52="","",IF(COUNTIF($A$2:$A52,$A52)=1,1,0))</f>
        <v/>
      </c>
      <c r="W52">
        <f>IF($V52=1,SUMPRODUCT(--($Y$2:$Y$1501&lt;$Y52))+1,"")</f>
        <v/>
      </c>
      <c r="X52">
        <f>IF($A52="","",IF(OR($T52=TRUE(),$T52="TRUE"),1,0))</f>
        <v/>
      </c>
      <c r="Y52">
        <f>IF($V52=1,IFERROR(IF(VALUE($A52)&lt;100000000,VALUE($A52),1000000000),IFERROR(IF(VALUE(MID($A52,2,20))&lt;100000000,VALUE(MID($A52,2,20)),1000000000),1000000000))+ROW()/100000,"")</f>
        <v/>
      </c>
    </row>
    <row r="53">
      <c r="F53" s="7">
        <f>IF($A53="","",E53*L53/100)</f>
        <v/>
      </c>
      <c r="J53" s="7" t="n"/>
      <c r="K53" s="7">
        <f>IF($A53="","",N53*U53/100)</f>
        <v/>
      </c>
      <c r="L53" s="7">
        <f>IF($A53="","",N53-K53)</f>
        <v/>
      </c>
      <c r="M53" s="7">
        <f>IF($A53="","",L53-F53)</f>
        <v/>
      </c>
      <c r="N53" s="7" t="n"/>
      <c r="O53" s="7" t="n"/>
      <c r="P53" s="7" t="n"/>
      <c r="R53" s="14" t="n"/>
      <c r="V53">
        <f>IF($A53="","",IF(COUNTIF($A$2:$A53,$A53)=1,1,0))</f>
        <v/>
      </c>
      <c r="W53">
        <f>IF($V53=1,SUMPRODUCT(--($Y$2:$Y$1501&lt;$Y53))+1,"")</f>
        <v/>
      </c>
      <c r="X53">
        <f>IF($A53="","",IF(OR($T53=TRUE(),$T53="TRUE"),1,0))</f>
        <v/>
      </c>
      <c r="Y53">
        <f>IF($V53=1,IFERROR(IF(VALUE($A53)&lt;100000000,VALUE($A53),1000000000),IFERROR(IF(VALUE(MID($A53,2,20))&lt;100000000,VALUE(MID($A53,2,20)),1000000000),1000000000))+ROW()/100000,"")</f>
        <v/>
      </c>
    </row>
    <row r="54">
      <c r="F54" s="7">
        <f>IF($A54="","",E54*L54/100)</f>
        <v/>
      </c>
      <c r="J54" s="7" t="n"/>
      <c r="K54" s="7">
        <f>IF($A54="","",N54*U54/100)</f>
        <v/>
      </c>
      <c r="L54" s="7">
        <f>IF($A54="","",N54-K54)</f>
        <v/>
      </c>
      <c r="M54" s="7">
        <f>IF($A54="","",L54-F54)</f>
        <v/>
      </c>
      <c r="N54" s="7" t="n"/>
      <c r="O54" s="7" t="n"/>
      <c r="P54" s="7" t="n"/>
      <c r="R54" s="14" t="n"/>
      <c r="V54">
        <f>IF($A54="","",IF(COUNTIF($A$2:$A54,$A54)=1,1,0))</f>
        <v/>
      </c>
      <c r="W54">
        <f>IF($V54=1,SUMPRODUCT(--($Y$2:$Y$1501&lt;$Y54))+1,"")</f>
        <v/>
      </c>
      <c r="X54">
        <f>IF($A54="","",IF(OR($T54=TRUE(),$T54="TRUE"),1,0))</f>
        <v/>
      </c>
      <c r="Y54">
        <f>IF($V54=1,IFERROR(IF(VALUE($A54)&lt;100000000,VALUE($A54),1000000000),IFERROR(IF(VALUE(MID($A54,2,20))&lt;100000000,VALUE(MID($A54,2,20)),1000000000),1000000000))+ROW()/100000,"")</f>
        <v/>
      </c>
    </row>
    <row r="55">
      <c r="F55" s="7">
        <f>IF($A55="","",E55*L55/100)</f>
        <v/>
      </c>
      <c r="J55" s="7" t="n"/>
      <c r="K55" s="7">
        <f>IF($A55="","",N55*U55/100)</f>
        <v/>
      </c>
      <c r="L55" s="7">
        <f>IF($A55="","",N55-K55)</f>
        <v/>
      </c>
      <c r="M55" s="7">
        <f>IF($A55="","",L55-F55)</f>
        <v/>
      </c>
      <c r="N55" s="7" t="n"/>
      <c r="O55" s="7" t="n"/>
      <c r="P55" s="7" t="n"/>
      <c r="R55" s="14" t="n"/>
      <c r="V55">
        <f>IF($A55="","",IF(COUNTIF($A$2:$A55,$A55)=1,1,0))</f>
        <v/>
      </c>
      <c r="W55">
        <f>IF($V55=1,SUMPRODUCT(--($Y$2:$Y$1501&lt;$Y55))+1,"")</f>
        <v/>
      </c>
      <c r="X55">
        <f>IF($A55="","",IF(OR($T55=TRUE(),$T55="TRUE"),1,0))</f>
        <v/>
      </c>
      <c r="Y55">
        <f>IF($V55=1,IFERROR(IF(VALUE($A55)&lt;100000000,VALUE($A55),1000000000),IFERROR(IF(VALUE(MID($A55,2,20))&lt;100000000,VALUE(MID($A55,2,20)),1000000000),1000000000))+ROW()/100000,"")</f>
        <v/>
      </c>
    </row>
    <row r="56">
      <c r="F56" s="7">
        <f>IF($A56="","",E56*L56/100)</f>
        <v/>
      </c>
      <c r="J56" s="7" t="n"/>
      <c r="K56" s="7">
        <f>IF($A56="","",N56*U56/100)</f>
        <v/>
      </c>
      <c r="L56" s="7">
        <f>IF($A56="","",N56-K56)</f>
        <v/>
      </c>
      <c r="M56" s="7">
        <f>IF($A56="","",L56-F56)</f>
        <v/>
      </c>
      <c r="N56" s="7" t="n"/>
      <c r="O56" s="7" t="n"/>
      <c r="P56" s="7" t="n"/>
      <c r="R56" s="14" t="n"/>
      <c r="V56">
        <f>IF($A56="","",IF(COUNTIF($A$2:$A56,$A56)=1,1,0))</f>
        <v/>
      </c>
      <c r="W56">
        <f>IF($V56=1,SUMPRODUCT(--($Y$2:$Y$1501&lt;$Y56))+1,"")</f>
        <v/>
      </c>
      <c r="X56">
        <f>IF($A56="","",IF(OR($T56=TRUE(),$T56="TRUE"),1,0))</f>
        <v/>
      </c>
      <c r="Y56">
        <f>IF($V56=1,IFERROR(IF(VALUE($A56)&lt;100000000,VALUE($A56),1000000000),IFERROR(IF(VALUE(MID($A56,2,20))&lt;100000000,VALUE(MID($A56,2,20)),1000000000),1000000000))+ROW()/100000,"")</f>
        <v/>
      </c>
    </row>
    <row r="57">
      <c r="F57" s="7">
        <f>IF($A57="","",E57*L57/100)</f>
        <v/>
      </c>
      <c r="J57" s="7" t="n"/>
      <c r="K57" s="7">
        <f>IF($A57="","",N57*U57/100)</f>
        <v/>
      </c>
      <c r="L57" s="7">
        <f>IF($A57="","",N57-K57)</f>
        <v/>
      </c>
      <c r="M57" s="7">
        <f>IF($A57="","",L57-F57)</f>
        <v/>
      </c>
      <c r="N57" s="7" t="n"/>
      <c r="O57" s="7" t="n"/>
      <c r="P57" s="7" t="n"/>
      <c r="R57" s="14" t="n"/>
      <c r="V57">
        <f>IF($A57="","",IF(COUNTIF($A$2:$A57,$A57)=1,1,0))</f>
        <v/>
      </c>
      <c r="W57">
        <f>IF($V57=1,SUMPRODUCT(--($Y$2:$Y$1501&lt;$Y57))+1,"")</f>
        <v/>
      </c>
      <c r="X57">
        <f>IF($A57="","",IF(OR($T57=TRUE(),$T57="TRUE"),1,0))</f>
        <v/>
      </c>
      <c r="Y57">
        <f>IF($V57=1,IFERROR(IF(VALUE($A57)&lt;100000000,VALUE($A57),1000000000),IFERROR(IF(VALUE(MID($A57,2,20))&lt;100000000,VALUE(MID($A57,2,20)),1000000000),1000000000))+ROW()/100000,"")</f>
        <v/>
      </c>
    </row>
    <row r="58">
      <c r="F58" s="7">
        <f>IF($A58="","",E58*L58/100)</f>
        <v/>
      </c>
      <c r="J58" s="7" t="n"/>
      <c r="K58" s="7">
        <f>IF($A58="","",N58*U58/100)</f>
        <v/>
      </c>
      <c r="L58" s="7">
        <f>IF($A58="","",N58-K58)</f>
        <v/>
      </c>
      <c r="M58" s="7">
        <f>IF($A58="","",L58-F58)</f>
        <v/>
      </c>
      <c r="N58" s="7" t="n"/>
      <c r="O58" s="7" t="n"/>
      <c r="P58" s="7" t="n"/>
      <c r="R58" s="14" t="n"/>
      <c r="V58">
        <f>IF($A58="","",IF(COUNTIF($A$2:$A58,$A58)=1,1,0))</f>
        <v/>
      </c>
      <c r="W58">
        <f>IF($V58=1,SUMPRODUCT(--($Y$2:$Y$1501&lt;$Y58))+1,"")</f>
        <v/>
      </c>
      <c r="X58">
        <f>IF($A58="","",IF(OR($T58=TRUE(),$T58="TRUE"),1,0))</f>
        <v/>
      </c>
      <c r="Y58">
        <f>IF($V58=1,IFERROR(IF(VALUE($A58)&lt;100000000,VALUE($A58),1000000000),IFERROR(IF(VALUE(MID($A58,2,20))&lt;100000000,VALUE(MID($A58,2,20)),1000000000),1000000000))+ROW()/100000,"")</f>
        <v/>
      </c>
    </row>
    <row r="59">
      <c r="F59" s="7">
        <f>IF($A59="","",E59*L59/100)</f>
        <v/>
      </c>
      <c r="J59" s="7" t="n"/>
      <c r="K59" s="7">
        <f>IF($A59="","",N59*U59/100)</f>
        <v/>
      </c>
      <c r="L59" s="7">
        <f>IF($A59="","",N59-K59)</f>
        <v/>
      </c>
      <c r="M59" s="7">
        <f>IF($A59="","",L59-F59)</f>
        <v/>
      </c>
      <c r="N59" s="7" t="n"/>
      <c r="O59" s="7" t="n"/>
      <c r="P59" s="7" t="n"/>
      <c r="R59" s="14" t="n"/>
      <c r="V59">
        <f>IF($A59="","",IF(COUNTIF($A$2:$A59,$A59)=1,1,0))</f>
        <v/>
      </c>
      <c r="W59">
        <f>IF($V59=1,SUMPRODUCT(--($Y$2:$Y$1501&lt;$Y59))+1,"")</f>
        <v/>
      </c>
      <c r="X59">
        <f>IF($A59="","",IF(OR($T59=TRUE(),$T59="TRUE"),1,0))</f>
        <v/>
      </c>
      <c r="Y59">
        <f>IF($V59=1,IFERROR(IF(VALUE($A59)&lt;100000000,VALUE($A59),1000000000),IFERROR(IF(VALUE(MID($A59,2,20))&lt;100000000,VALUE(MID($A59,2,20)),1000000000),1000000000))+ROW()/100000,"")</f>
        <v/>
      </c>
    </row>
    <row r="60">
      <c r="F60" s="7">
        <f>IF($A60="","",E60*L60/100)</f>
        <v/>
      </c>
      <c r="J60" s="7" t="n"/>
      <c r="K60" s="7">
        <f>IF($A60="","",N60*U60/100)</f>
        <v/>
      </c>
      <c r="L60" s="7">
        <f>IF($A60="","",N60-K60)</f>
        <v/>
      </c>
      <c r="M60" s="7">
        <f>IF($A60="","",L60-F60)</f>
        <v/>
      </c>
      <c r="N60" s="7" t="n"/>
      <c r="O60" s="7" t="n"/>
      <c r="P60" s="7" t="n"/>
      <c r="R60" s="14" t="n"/>
      <c r="V60">
        <f>IF($A60="","",IF(COUNTIF($A$2:$A60,$A60)=1,1,0))</f>
        <v/>
      </c>
      <c r="W60">
        <f>IF($V60=1,SUMPRODUCT(--($Y$2:$Y$1501&lt;$Y60))+1,"")</f>
        <v/>
      </c>
      <c r="X60">
        <f>IF($A60="","",IF(OR($T60=TRUE(),$T60="TRUE"),1,0))</f>
        <v/>
      </c>
      <c r="Y60">
        <f>IF($V60=1,IFERROR(IF(VALUE($A60)&lt;100000000,VALUE($A60),1000000000),IFERROR(IF(VALUE(MID($A60,2,20))&lt;100000000,VALUE(MID($A60,2,20)),1000000000),1000000000))+ROW()/100000,"")</f>
        <v/>
      </c>
    </row>
    <row r="61">
      <c r="F61" s="7">
        <f>IF($A61="","",E61*L61/100)</f>
        <v/>
      </c>
      <c r="J61" s="7" t="n"/>
      <c r="K61" s="7">
        <f>IF($A61="","",N61*U61/100)</f>
        <v/>
      </c>
      <c r="L61" s="7">
        <f>IF($A61="","",N61-K61)</f>
        <v/>
      </c>
      <c r="M61" s="7">
        <f>IF($A61="","",L61-F61)</f>
        <v/>
      </c>
      <c r="N61" s="7" t="n"/>
      <c r="O61" s="7" t="n"/>
      <c r="P61" s="7" t="n"/>
      <c r="R61" s="14" t="n"/>
      <c r="V61">
        <f>IF($A61="","",IF(COUNTIF($A$2:$A61,$A61)=1,1,0))</f>
        <v/>
      </c>
      <c r="W61">
        <f>IF($V61=1,SUMPRODUCT(--($Y$2:$Y$1501&lt;$Y61))+1,"")</f>
        <v/>
      </c>
      <c r="X61">
        <f>IF($A61="","",IF(OR($T61=TRUE(),$T61="TRUE"),1,0))</f>
        <v/>
      </c>
      <c r="Y61">
        <f>IF($V61=1,IFERROR(IF(VALUE($A61)&lt;100000000,VALUE($A61),1000000000),IFERROR(IF(VALUE(MID($A61,2,20))&lt;100000000,VALUE(MID($A61,2,20)),1000000000),1000000000))+ROW()/100000,"")</f>
        <v/>
      </c>
    </row>
    <row r="62">
      <c r="F62" s="7">
        <f>IF($A62="","",E62*L62/100)</f>
        <v/>
      </c>
      <c r="J62" s="7" t="n"/>
      <c r="K62" s="7">
        <f>IF($A62="","",N62*U62/100)</f>
        <v/>
      </c>
      <c r="L62" s="7">
        <f>IF($A62="","",N62-K62)</f>
        <v/>
      </c>
      <c r="M62" s="7">
        <f>IF($A62="","",L62-F62)</f>
        <v/>
      </c>
      <c r="N62" s="7" t="n"/>
      <c r="O62" s="7" t="n"/>
      <c r="P62" s="7" t="n"/>
      <c r="R62" s="14" t="n"/>
      <c r="V62">
        <f>IF($A62="","",IF(COUNTIF($A$2:$A62,$A62)=1,1,0))</f>
        <v/>
      </c>
      <c r="W62">
        <f>IF($V62=1,SUMPRODUCT(--($Y$2:$Y$1501&lt;$Y62))+1,"")</f>
        <v/>
      </c>
      <c r="X62">
        <f>IF($A62="","",IF(OR($T62=TRUE(),$T62="TRUE"),1,0))</f>
        <v/>
      </c>
      <c r="Y62">
        <f>IF($V62=1,IFERROR(IF(VALUE($A62)&lt;100000000,VALUE($A62),1000000000),IFERROR(IF(VALUE(MID($A62,2,20))&lt;100000000,VALUE(MID($A62,2,20)),1000000000),1000000000))+ROW()/100000,"")</f>
        <v/>
      </c>
    </row>
    <row r="63">
      <c r="F63" s="7">
        <f>IF($A63="","",E63*L63/100)</f>
        <v/>
      </c>
      <c r="J63" s="7" t="n"/>
      <c r="K63" s="7">
        <f>IF($A63="","",N63*U63/100)</f>
        <v/>
      </c>
      <c r="L63" s="7">
        <f>IF($A63="","",N63-K63)</f>
        <v/>
      </c>
      <c r="M63" s="7">
        <f>IF($A63="","",L63-F63)</f>
        <v/>
      </c>
      <c r="N63" s="7" t="n"/>
      <c r="O63" s="7" t="n"/>
      <c r="P63" s="7" t="n"/>
      <c r="R63" s="14" t="n"/>
      <c r="V63">
        <f>IF($A63="","",IF(COUNTIF($A$2:$A63,$A63)=1,1,0))</f>
        <v/>
      </c>
      <c r="W63">
        <f>IF($V63=1,SUMPRODUCT(--($Y$2:$Y$1501&lt;$Y63))+1,"")</f>
        <v/>
      </c>
      <c r="X63">
        <f>IF($A63="","",IF(OR($T63=TRUE(),$T63="TRUE"),1,0))</f>
        <v/>
      </c>
      <c r="Y63">
        <f>IF($V63=1,IFERROR(IF(VALUE($A63)&lt;100000000,VALUE($A63),1000000000),IFERROR(IF(VALUE(MID($A63,2,20))&lt;100000000,VALUE(MID($A63,2,20)),1000000000),1000000000))+ROW()/100000,"")</f>
        <v/>
      </c>
    </row>
    <row r="64">
      <c r="F64" s="7">
        <f>IF($A64="","",E64*L64/100)</f>
        <v/>
      </c>
      <c r="J64" s="7" t="n"/>
      <c r="K64" s="7">
        <f>IF($A64="","",N64*U64/100)</f>
        <v/>
      </c>
      <c r="L64" s="7">
        <f>IF($A64="","",N64-K64)</f>
        <v/>
      </c>
      <c r="M64" s="7">
        <f>IF($A64="","",L64-F64)</f>
        <v/>
      </c>
      <c r="N64" s="7" t="n"/>
      <c r="O64" s="7" t="n"/>
      <c r="P64" s="7" t="n"/>
      <c r="R64" s="14" t="n"/>
      <c r="V64">
        <f>IF($A64="","",IF(COUNTIF($A$2:$A64,$A64)=1,1,0))</f>
        <v/>
      </c>
      <c r="W64">
        <f>IF($V64=1,SUMPRODUCT(--($Y$2:$Y$1501&lt;$Y64))+1,"")</f>
        <v/>
      </c>
      <c r="X64">
        <f>IF($A64="","",IF(OR($T64=TRUE(),$T64="TRUE"),1,0))</f>
        <v/>
      </c>
      <c r="Y64">
        <f>IF($V64=1,IFERROR(IF(VALUE($A64)&lt;100000000,VALUE($A64),1000000000),IFERROR(IF(VALUE(MID($A64,2,20))&lt;100000000,VALUE(MID($A64,2,20)),1000000000),1000000000))+ROW()/100000,"")</f>
        <v/>
      </c>
    </row>
    <row r="65">
      <c r="F65" s="7">
        <f>IF($A65="","",E65*L65/100)</f>
        <v/>
      </c>
      <c r="J65" s="7" t="n"/>
      <c r="K65" s="7">
        <f>IF($A65="","",N65*U65/100)</f>
        <v/>
      </c>
      <c r="L65" s="7">
        <f>IF($A65="","",N65-K65)</f>
        <v/>
      </c>
      <c r="M65" s="7">
        <f>IF($A65="","",L65-F65)</f>
        <v/>
      </c>
      <c r="N65" s="7" t="n"/>
      <c r="O65" s="7" t="n"/>
      <c r="P65" s="7" t="n"/>
      <c r="R65" s="14" t="n"/>
      <c r="V65">
        <f>IF($A65="","",IF(COUNTIF($A$2:$A65,$A65)=1,1,0))</f>
        <v/>
      </c>
      <c r="W65">
        <f>IF($V65=1,SUMPRODUCT(--($Y$2:$Y$1501&lt;$Y65))+1,"")</f>
        <v/>
      </c>
      <c r="X65">
        <f>IF($A65="","",IF(OR($T65=TRUE(),$T65="TRUE"),1,0))</f>
        <v/>
      </c>
      <c r="Y65">
        <f>IF($V65=1,IFERROR(IF(VALUE($A65)&lt;100000000,VALUE($A65),1000000000),IFERROR(IF(VALUE(MID($A65,2,20))&lt;100000000,VALUE(MID($A65,2,20)),1000000000),1000000000))+ROW()/100000,"")</f>
        <v/>
      </c>
    </row>
    <row r="66">
      <c r="F66" s="7">
        <f>IF($A66="","",E66*L66/100)</f>
        <v/>
      </c>
      <c r="J66" s="7" t="n"/>
      <c r="K66" s="7">
        <f>IF($A66="","",N66*U66/100)</f>
        <v/>
      </c>
      <c r="L66" s="7">
        <f>IF($A66="","",N66-K66)</f>
        <v/>
      </c>
      <c r="M66" s="7">
        <f>IF($A66="","",L66-F66)</f>
        <v/>
      </c>
      <c r="N66" s="7" t="n"/>
      <c r="O66" s="7" t="n"/>
      <c r="P66" s="7" t="n"/>
      <c r="R66" s="14" t="n"/>
      <c r="V66">
        <f>IF($A66="","",IF(COUNTIF($A$2:$A66,$A66)=1,1,0))</f>
        <v/>
      </c>
      <c r="W66">
        <f>IF($V66=1,SUMPRODUCT(--($Y$2:$Y$1501&lt;$Y66))+1,"")</f>
        <v/>
      </c>
      <c r="X66">
        <f>IF($A66="","",IF(OR($T66=TRUE(),$T66="TRUE"),1,0))</f>
        <v/>
      </c>
      <c r="Y66">
        <f>IF($V66=1,IFERROR(IF(VALUE($A66)&lt;100000000,VALUE($A66),1000000000),IFERROR(IF(VALUE(MID($A66,2,20))&lt;100000000,VALUE(MID($A66,2,20)),1000000000),1000000000))+ROW()/100000,"")</f>
        <v/>
      </c>
    </row>
    <row r="67">
      <c r="F67" s="7">
        <f>IF($A67="","",E67*L67/100)</f>
        <v/>
      </c>
      <c r="J67" s="7" t="n"/>
      <c r="K67" s="7">
        <f>IF($A67="","",N67*U67/100)</f>
        <v/>
      </c>
      <c r="L67" s="7">
        <f>IF($A67="","",N67-K67)</f>
        <v/>
      </c>
      <c r="M67" s="7">
        <f>IF($A67="","",L67-F67)</f>
        <v/>
      </c>
      <c r="N67" s="7" t="n"/>
      <c r="O67" s="7" t="n"/>
      <c r="P67" s="7" t="n"/>
      <c r="R67" s="14" t="n"/>
      <c r="V67">
        <f>IF($A67="","",IF(COUNTIF($A$2:$A67,$A67)=1,1,0))</f>
        <v/>
      </c>
      <c r="W67">
        <f>IF($V67=1,SUMPRODUCT(--($Y$2:$Y$1501&lt;$Y67))+1,"")</f>
        <v/>
      </c>
      <c r="X67">
        <f>IF($A67="","",IF(OR($T67=TRUE(),$T67="TRUE"),1,0))</f>
        <v/>
      </c>
      <c r="Y67">
        <f>IF($V67=1,IFERROR(IF(VALUE($A67)&lt;100000000,VALUE($A67),1000000000),IFERROR(IF(VALUE(MID($A67,2,20))&lt;100000000,VALUE(MID($A67,2,20)),1000000000),1000000000))+ROW()/100000,"")</f>
        <v/>
      </c>
    </row>
    <row r="68">
      <c r="F68" s="7">
        <f>IF($A68="","",E68*L68/100)</f>
        <v/>
      </c>
      <c r="J68" s="7" t="n"/>
      <c r="K68" s="7">
        <f>IF($A68="","",N68*U68/100)</f>
        <v/>
      </c>
      <c r="L68" s="7">
        <f>IF($A68="","",N68-K68)</f>
        <v/>
      </c>
      <c r="M68" s="7">
        <f>IF($A68="","",L68-F68)</f>
        <v/>
      </c>
      <c r="N68" s="7" t="n"/>
      <c r="O68" s="7" t="n"/>
      <c r="P68" s="7" t="n"/>
      <c r="R68" s="14" t="n"/>
      <c r="V68">
        <f>IF($A68="","",IF(COUNTIF($A$2:$A68,$A68)=1,1,0))</f>
        <v/>
      </c>
      <c r="W68">
        <f>IF($V68=1,SUMPRODUCT(--($Y$2:$Y$1501&lt;$Y68))+1,"")</f>
        <v/>
      </c>
      <c r="X68">
        <f>IF($A68="","",IF(OR($T68=TRUE(),$T68="TRUE"),1,0))</f>
        <v/>
      </c>
      <c r="Y68">
        <f>IF($V68=1,IFERROR(IF(VALUE($A68)&lt;100000000,VALUE($A68),1000000000),IFERROR(IF(VALUE(MID($A68,2,20))&lt;100000000,VALUE(MID($A68,2,20)),1000000000),1000000000))+ROW()/100000,"")</f>
        <v/>
      </c>
    </row>
    <row r="69">
      <c r="F69" s="7">
        <f>IF($A69="","",E69*L69/100)</f>
        <v/>
      </c>
      <c r="J69" s="7" t="n"/>
      <c r="K69" s="7">
        <f>IF($A69="","",N69*U69/100)</f>
        <v/>
      </c>
      <c r="L69" s="7">
        <f>IF($A69="","",N69-K69)</f>
        <v/>
      </c>
      <c r="M69" s="7">
        <f>IF($A69="","",L69-F69)</f>
        <v/>
      </c>
      <c r="N69" s="7" t="n"/>
      <c r="O69" s="7" t="n"/>
      <c r="P69" s="7" t="n"/>
      <c r="R69" s="14" t="n"/>
      <c r="V69">
        <f>IF($A69="","",IF(COUNTIF($A$2:$A69,$A69)=1,1,0))</f>
        <v/>
      </c>
      <c r="W69">
        <f>IF($V69=1,SUMPRODUCT(--($Y$2:$Y$1501&lt;$Y69))+1,"")</f>
        <v/>
      </c>
      <c r="X69">
        <f>IF($A69="","",IF(OR($T69=TRUE(),$T69="TRUE"),1,0))</f>
        <v/>
      </c>
      <c r="Y69">
        <f>IF($V69=1,IFERROR(IF(VALUE($A69)&lt;100000000,VALUE($A69),1000000000),IFERROR(IF(VALUE(MID($A69,2,20))&lt;100000000,VALUE(MID($A69,2,20)),1000000000),1000000000))+ROW()/100000,"")</f>
        <v/>
      </c>
    </row>
    <row r="70">
      <c r="F70" s="7">
        <f>IF($A70="","",E70*L70/100)</f>
        <v/>
      </c>
      <c r="J70" s="7" t="n"/>
      <c r="K70" s="7">
        <f>IF($A70="","",N70*U70/100)</f>
        <v/>
      </c>
      <c r="L70" s="7">
        <f>IF($A70="","",N70-K70)</f>
        <v/>
      </c>
      <c r="M70" s="7">
        <f>IF($A70="","",L70-F70)</f>
        <v/>
      </c>
      <c r="N70" s="7" t="n"/>
      <c r="O70" s="7" t="n"/>
      <c r="P70" s="7" t="n"/>
      <c r="R70" s="14" t="n"/>
      <c r="V70">
        <f>IF($A70="","",IF(COUNTIF($A$2:$A70,$A70)=1,1,0))</f>
        <v/>
      </c>
      <c r="W70">
        <f>IF($V70=1,SUMPRODUCT(--($Y$2:$Y$1501&lt;$Y70))+1,"")</f>
        <v/>
      </c>
      <c r="X70">
        <f>IF($A70="","",IF(OR($T70=TRUE(),$T70="TRUE"),1,0))</f>
        <v/>
      </c>
      <c r="Y70">
        <f>IF($V70=1,IFERROR(IF(VALUE($A70)&lt;100000000,VALUE($A70),1000000000),IFERROR(IF(VALUE(MID($A70,2,20))&lt;100000000,VALUE(MID($A70,2,20)),1000000000),1000000000))+ROW()/100000,"")</f>
        <v/>
      </c>
    </row>
    <row r="71">
      <c r="F71" s="7">
        <f>IF($A71="","",E71*L71/100)</f>
        <v/>
      </c>
      <c r="J71" s="7" t="n"/>
      <c r="K71" s="7">
        <f>IF($A71="","",N71*U71/100)</f>
        <v/>
      </c>
      <c r="L71" s="7">
        <f>IF($A71="","",N71-K71)</f>
        <v/>
      </c>
      <c r="M71" s="7">
        <f>IF($A71="","",L71-F71)</f>
        <v/>
      </c>
      <c r="N71" s="7" t="n"/>
      <c r="O71" s="7" t="n"/>
      <c r="P71" s="7" t="n"/>
      <c r="R71" s="14" t="n"/>
      <c r="V71">
        <f>IF($A71="","",IF(COUNTIF($A$2:$A71,$A71)=1,1,0))</f>
        <v/>
      </c>
      <c r="W71">
        <f>IF($V71=1,SUMPRODUCT(--($Y$2:$Y$1501&lt;$Y71))+1,"")</f>
        <v/>
      </c>
      <c r="X71">
        <f>IF($A71="","",IF(OR($T71=TRUE(),$T71="TRUE"),1,0))</f>
        <v/>
      </c>
      <c r="Y71">
        <f>IF($V71=1,IFERROR(IF(VALUE($A71)&lt;100000000,VALUE($A71),1000000000),IFERROR(IF(VALUE(MID($A71,2,20))&lt;100000000,VALUE(MID($A71,2,20)),1000000000),1000000000))+ROW()/100000,"")</f>
        <v/>
      </c>
    </row>
    <row r="72">
      <c r="F72" s="7">
        <f>IF($A72="","",E72*L72/100)</f>
        <v/>
      </c>
      <c r="J72" s="7" t="n"/>
      <c r="K72" s="7">
        <f>IF($A72="","",N72*U72/100)</f>
        <v/>
      </c>
      <c r="L72" s="7">
        <f>IF($A72="","",N72-K72)</f>
        <v/>
      </c>
      <c r="M72" s="7">
        <f>IF($A72="","",L72-F72)</f>
        <v/>
      </c>
      <c r="N72" s="7" t="n"/>
      <c r="O72" s="7" t="n"/>
      <c r="P72" s="7" t="n"/>
      <c r="R72" s="14" t="n"/>
      <c r="V72">
        <f>IF($A72="","",IF(COUNTIF($A$2:$A72,$A72)=1,1,0))</f>
        <v/>
      </c>
      <c r="W72">
        <f>IF($V72=1,SUMPRODUCT(--($Y$2:$Y$1501&lt;$Y72))+1,"")</f>
        <v/>
      </c>
      <c r="X72">
        <f>IF($A72="","",IF(OR($T72=TRUE(),$T72="TRUE"),1,0))</f>
        <v/>
      </c>
      <c r="Y72">
        <f>IF($V72=1,IFERROR(IF(VALUE($A72)&lt;100000000,VALUE($A72),1000000000),IFERROR(IF(VALUE(MID($A72,2,20))&lt;100000000,VALUE(MID($A72,2,20)),1000000000),1000000000))+ROW()/100000,"")</f>
        <v/>
      </c>
    </row>
    <row r="73">
      <c r="F73" s="7">
        <f>IF($A73="","",E73*L73/100)</f>
        <v/>
      </c>
      <c r="J73" s="7" t="n"/>
      <c r="K73" s="7">
        <f>IF($A73="","",N73*U73/100)</f>
        <v/>
      </c>
      <c r="L73" s="7">
        <f>IF($A73="","",N73-K73)</f>
        <v/>
      </c>
      <c r="M73" s="7">
        <f>IF($A73="","",L73-F73)</f>
        <v/>
      </c>
      <c r="N73" s="7" t="n"/>
      <c r="O73" s="7" t="n"/>
      <c r="P73" s="7" t="n"/>
      <c r="R73" s="14" t="n"/>
      <c r="V73">
        <f>IF($A73="","",IF(COUNTIF($A$2:$A73,$A73)=1,1,0))</f>
        <v/>
      </c>
      <c r="W73">
        <f>IF($V73=1,SUMPRODUCT(--($Y$2:$Y$1501&lt;$Y73))+1,"")</f>
        <v/>
      </c>
      <c r="X73">
        <f>IF($A73="","",IF(OR($T73=TRUE(),$T73="TRUE"),1,0))</f>
        <v/>
      </c>
      <c r="Y73">
        <f>IF($V73=1,IFERROR(IF(VALUE($A73)&lt;100000000,VALUE($A73),1000000000),IFERROR(IF(VALUE(MID($A73,2,20))&lt;100000000,VALUE(MID($A73,2,20)),1000000000),1000000000))+ROW()/100000,"")</f>
        <v/>
      </c>
    </row>
    <row r="74">
      <c r="F74" s="7">
        <f>IF($A74="","",E74*L74/100)</f>
        <v/>
      </c>
      <c r="J74" s="7" t="n"/>
      <c r="K74" s="7">
        <f>IF($A74="","",N74*U74/100)</f>
        <v/>
      </c>
      <c r="L74" s="7">
        <f>IF($A74="","",N74-K74)</f>
        <v/>
      </c>
      <c r="M74" s="7">
        <f>IF($A74="","",L74-F74)</f>
        <v/>
      </c>
      <c r="N74" s="7" t="n"/>
      <c r="O74" s="7" t="n"/>
      <c r="P74" s="7" t="n"/>
      <c r="R74" s="14" t="n"/>
      <c r="V74">
        <f>IF($A74="","",IF(COUNTIF($A$2:$A74,$A74)=1,1,0))</f>
        <v/>
      </c>
      <c r="W74">
        <f>IF($V74=1,SUMPRODUCT(--($Y$2:$Y$1501&lt;$Y74))+1,"")</f>
        <v/>
      </c>
      <c r="X74">
        <f>IF($A74="","",IF(OR($T74=TRUE(),$T74="TRUE"),1,0))</f>
        <v/>
      </c>
      <c r="Y74">
        <f>IF($V74=1,IFERROR(IF(VALUE($A74)&lt;100000000,VALUE($A74),1000000000),IFERROR(IF(VALUE(MID($A74,2,20))&lt;100000000,VALUE(MID($A74,2,20)),1000000000),1000000000))+ROW()/100000,"")</f>
        <v/>
      </c>
    </row>
    <row r="75">
      <c r="F75" s="7">
        <f>IF($A75="","",E75*L75/100)</f>
        <v/>
      </c>
      <c r="J75" s="7" t="n"/>
      <c r="K75" s="7">
        <f>IF($A75="","",N75*U75/100)</f>
        <v/>
      </c>
      <c r="L75" s="7">
        <f>IF($A75="","",N75-K75)</f>
        <v/>
      </c>
      <c r="M75" s="7">
        <f>IF($A75="","",L75-F75)</f>
        <v/>
      </c>
      <c r="N75" s="7" t="n"/>
      <c r="O75" s="7" t="n"/>
      <c r="P75" s="7" t="n"/>
      <c r="R75" s="14" t="n"/>
      <c r="V75">
        <f>IF($A75="","",IF(COUNTIF($A$2:$A75,$A75)=1,1,0))</f>
        <v/>
      </c>
      <c r="W75">
        <f>IF($V75=1,SUMPRODUCT(--($Y$2:$Y$1501&lt;$Y75))+1,"")</f>
        <v/>
      </c>
      <c r="X75">
        <f>IF($A75="","",IF(OR($T75=TRUE(),$T75="TRUE"),1,0))</f>
        <v/>
      </c>
      <c r="Y75">
        <f>IF($V75=1,IFERROR(IF(VALUE($A75)&lt;100000000,VALUE($A75),1000000000),IFERROR(IF(VALUE(MID($A75,2,20))&lt;100000000,VALUE(MID($A75,2,20)),1000000000),1000000000))+ROW()/100000,"")</f>
        <v/>
      </c>
    </row>
    <row r="76">
      <c r="F76" s="7">
        <f>IF($A76="","",E76*L76/100)</f>
        <v/>
      </c>
      <c r="J76" s="7" t="n"/>
      <c r="K76" s="7">
        <f>IF($A76="","",N76*U76/100)</f>
        <v/>
      </c>
      <c r="L76" s="7">
        <f>IF($A76="","",N76-K76)</f>
        <v/>
      </c>
      <c r="M76" s="7">
        <f>IF($A76="","",L76-F76)</f>
        <v/>
      </c>
      <c r="N76" s="7" t="n"/>
      <c r="O76" s="7" t="n"/>
      <c r="P76" s="7" t="n"/>
      <c r="R76" s="14" t="n"/>
      <c r="V76">
        <f>IF($A76="","",IF(COUNTIF($A$2:$A76,$A76)=1,1,0))</f>
        <v/>
      </c>
      <c r="W76">
        <f>IF($V76=1,SUMPRODUCT(--($Y$2:$Y$1501&lt;$Y76))+1,"")</f>
        <v/>
      </c>
      <c r="X76">
        <f>IF($A76="","",IF(OR($T76=TRUE(),$T76="TRUE"),1,0))</f>
        <v/>
      </c>
      <c r="Y76">
        <f>IF($V76=1,IFERROR(IF(VALUE($A76)&lt;100000000,VALUE($A76),1000000000),IFERROR(IF(VALUE(MID($A76,2,20))&lt;100000000,VALUE(MID($A76,2,20)),1000000000),1000000000))+ROW()/100000,"")</f>
        <v/>
      </c>
    </row>
    <row r="77">
      <c r="F77" s="7">
        <f>IF($A77="","",E77*L77/100)</f>
        <v/>
      </c>
      <c r="J77" s="7" t="n"/>
      <c r="K77" s="7">
        <f>IF($A77="","",N77*U77/100)</f>
        <v/>
      </c>
      <c r="L77" s="7">
        <f>IF($A77="","",N77-K77)</f>
        <v/>
      </c>
      <c r="M77" s="7">
        <f>IF($A77="","",L77-F77)</f>
        <v/>
      </c>
      <c r="N77" s="7" t="n"/>
      <c r="O77" s="7" t="n"/>
      <c r="P77" s="7" t="n"/>
      <c r="R77" s="14" t="n"/>
      <c r="V77">
        <f>IF($A77="","",IF(COUNTIF($A$2:$A77,$A77)=1,1,0))</f>
        <v/>
      </c>
      <c r="W77">
        <f>IF($V77=1,SUMPRODUCT(--($Y$2:$Y$1501&lt;$Y77))+1,"")</f>
        <v/>
      </c>
      <c r="X77">
        <f>IF($A77="","",IF(OR($T77=TRUE(),$T77="TRUE"),1,0))</f>
        <v/>
      </c>
      <c r="Y77">
        <f>IF($V77=1,IFERROR(IF(VALUE($A77)&lt;100000000,VALUE($A77),1000000000),IFERROR(IF(VALUE(MID($A77,2,20))&lt;100000000,VALUE(MID($A77,2,20)),1000000000),1000000000))+ROW()/100000,"")</f>
        <v/>
      </c>
    </row>
    <row r="78">
      <c r="F78" s="7">
        <f>IF($A78="","",E78*L78/100)</f>
        <v/>
      </c>
      <c r="J78" s="7" t="n"/>
      <c r="K78" s="7">
        <f>IF($A78="","",N78*U78/100)</f>
        <v/>
      </c>
      <c r="L78" s="7">
        <f>IF($A78="","",N78-K78)</f>
        <v/>
      </c>
      <c r="M78" s="7">
        <f>IF($A78="","",L78-F78)</f>
        <v/>
      </c>
      <c r="N78" s="7" t="n"/>
      <c r="O78" s="7" t="n"/>
      <c r="P78" s="7" t="n"/>
      <c r="R78" s="14" t="n"/>
      <c r="V78">
        <f>IF($A78="","",IF(COUNTIF($A$2:$A78,$A78)=1,1,0))</f>
        <v/>
      </c>
      <c r="W78">
        <f>IF($V78=1,SUMPRODUCT(--($Y$2:$Y$1501&lt;$Y78))+1,"")</f>
        <v/>
      </c>
      <c r="X78">
        <f>IF($A78="","",IF(OR($T78=TRUE(),$T78="TRUE"),1,0))</f>
        <v/>
      </c>
      <c r="Y78">
        <f>IF($V78=1,IFERROR(IF(VALUE($A78)&lt;100000000,VALUE($A78),1000000000),IFERROR(IF(VALUE(MID($A78,2,20))&lt;100000000,VALUE(MID($A78,2,20)),1000000000),1000000000))+ROW()/100000,"")</f>
        <v/>
      </c>
    </row>
    <row r="79">
      <c r="F79" s="7">
        <f>IF($A79="","",E79*L79/100)</f>
        <v/>
      </c>
      <c r="J79" s="7" t="n"/>
      <c r="K79" s="7">
        <f>IF($A79="","",N79*U79/100)</f>
        <v/>
      </c>
      <c r="L79" s="7">
        <f>IF($A79="","",N79-K79)</f>
        <v/>
      </c>
      <c r="M79" s="7">
        <f>IF($A79="","",L79-F79)</f>
        <v/>
      </c>
      <c r="N79" s="7" t="n"/>
      <c r="O79" s="7" t="n"/>
      <c r="P79" s="7" t="n"/>
      <c r="R79" s="14" t="n"/>
      <c r="V79">
        <f>IF($A79="","",IF(COUNTIF($A$2:$A79,$A79)=1,1,0))</f>
        <v/>
      </c>
      <c r="W79">
        <f>IF($V79=1,SUMPRODUCT(--($Y$2:$Y$1501&lt;$Y79))+1,"")</f>
        <v/>
      </c>
      <c r="X79">
        <f>IF($A79="","",IF(OR($T79=TRUE(),$T79="TRUE"),1,0))</f>
        <v/>
      </c>
      <c r="Y79">
        <f>IF($V79=1,IFERROR(IF(VALUE($A79)&lt;100000000,VALUE($A79),1000000000),IFERROR(IF(VALUE(MID($A79,2,20))&lt;100000000,VALUE(MID($A79,2,20)),1000000000),1000000000))+ROW()/100000,"")</f>
        <v/>
      </c>
    </row>
    <row r="80">
      <c r="F80" s="7">
        <f>IF($A80="","",E80*L80/100)</f>
        <v/>
      </c>
      <c r="J80" s="7" t="n"/>
      <c r="K80" s="7">
        <f>IF($A80="","",N80*U80/100)</f>
        <v/>
      </c>
      <c r="L80" s="7">
        <f>IF($A80="","",N80-K80)</f>
        <v/>
      </c>
      <c r="M80" s="7">
        <f>IF($A80="","",L80-F80)</f>
        <v/>
      </c>
      <c r="N80" s="7" t="n"/>
      <c r="O80" s="7" t="n"/>
      <c r="P80" s="7" t="n"/>
      <c r="R80" s="14" t="n"/>
      <c r="V80">
        <f>IF($A80="","",IF(COUNTIF($A$2:$A80,$A80)=1,1,0))</f>
        <v/>
      </c>
      <c r="W80">
        <f>IF($V80=1,SUMPRODUCT(--($Y$2:$Y$1501&lt;$Y80))+1,"")</f>
        <v/>
      </c>
      <c r="X80">
        <f>IF($A80="","",IF(OR($T80=TRUE(),$T80="TRUE"),1,0))</f>
        <v/>
      </c>
      <c r="Y80">
        <f>IF($V80=1,IFERROR(IF(VALUE($A80)&lt;100000000,VALUE($A80),1000000000),IFERROR(IF(VALUE(MID($A80,2,20))&lt;100000000,VALUE(MID($A80,2,20)),1000000000),1000000000))+ROW()/100000,"")</f>
        <v/>
      </c>
    </row>
    <row r="81">
      <c r="F81" s="7">
        <f>IF($A81="","",E81*L81/100)</f>
        <v/>
      </c>
      <c r="J81" s="7" t="n"/>
      <c r="K81" s="7">
        <f>IF($A81="","",N81*U81/100)</f>
        <v/>
      </c>
      <c r="L81" s="7">
        <f>IF($A81="","",N81-K81)</f>
        <v/>
      </c>
      <c r="M81" s="7">
        <f>IF($A81="","",L81-F81)</f>
        <v/>
      </c>
      <c r="N81" s="7" t="n"/>
      <c r="O81" s="7" t="n"/>
      <c r="P81" s="7" t="n"/>
      <c r="R81" s="14" t="n"/>
      <c r="V81">
        <f>IF($A81="","",IF(COUNTIF($A$2:$A81,$A81)=1,1,0))</f>
        <v/>
      </c>
      <c r="W81">
        <f>IF($V81=1,SUMPRODUCT(--($Y$2:$Y$1501&lt;$Y81))+1,"")</f>
        <v/>
      </c>
      <c r="X81">
        <f>IF($A81="","",IF(OR($T81=TRUE(),$T81="TRUE"),1,0))</f>
        <v/>
      </c>
      <c r="Y81">
        <f>IF($V81=1,IFERROR(IF(VALUE($A81)&lt;100000000,VALUE($A81),1000000000),IFERROR(IF(VALUE(MID($A81,2,20))&lt;100000000,VALUE(MID($A81,2,20)),1000000000),1000000000))+ROW()/100000,"")</f>
        <v/>
      </c>
    </row>
    <row r="82">
      <c r="F82" s="7">
        <f>IF($A82="","",E82*L82/100)</f>
        <v/>
      </c>
      <c r="J82" s="7" t="n"/>
      <c r="K82" s="7">
        <f>IF($A82="","",N82*U82/100)</f>
        <v/>
      </c>
      <c r="L82" s="7">
        <f>IF($A82="","",N82-K82)</f>
        <v/>
      </c>
      <c r="M82" s="7">
        <f>IF($A82="","",L82-F82)</f>
        <v/>
      </c>
      <c r="N82" s="7" t="n"/>
      <c r="O82" s="7" t="n"/>
      <c r="P82" s="7" t="n"/>
      <c r="R82" s="14" t="n"/>
      <c r="V82">
        <f>IF($A82="","",IF(COUNTIF($A$2:$A82,$A82)=1,1,0))</f>
        <v/>
      </c>
      <c r="W82">
        <f>IF($V82=1,SUMPRODUCT(--($Y$2:$Y$1501&lt;$Y82))+1,"")</f>
        <v/>
      </c>
      <c r="X82">
        <f>IF($A82="","",IF(OR($T82=TRUE(),$T82="TRUE"),1,0))</f>
        <v/>
      </c>
      <c r="Y82">
        <f>IF($V82=1,IFERROR(IF(VALUE($A82)&lt;100000000,VALUE($A82),1000000000),IFERROR(IF(VALUE(MID($A82,2,20))&lt;100000000,VALUE(MID($A82,2,20)),1000000000),1000000000))+ROW()/100000,"")</f>
        <v/>
      </c>
    </row>
    <row r="83">
      <c r="F83" s="7">
        <f>IF($A83="","",E83*L83/100)</f>
        <v/>
      </c>
      <c r="J83" s="7" t="n"/>
      <c r="K83" s="7">
        <f>IF($A83="","",N83*U83/100)</f>
        <v/>
      </c>
      <c r="L83" s="7">
        <f>IF($A83="","",N83-K83)</f>
        <v/>
      </c>
      <c r="M83" s="7">
        <f>IF($A83="","",L83-F83)</f>
        <v/>
      </c>
      <c r="N83" s="7" t="n"/>
      <c r="O83" s="7" t="n"/>
      <c r="P83" s="7" t="n"/>
      <c r="R83" s="14" t="n"/>
      <c r="V83">
        <f>IF($A83="","",IF(COUNTIF($A$2:$A83,$A83)=1,1,0))</f>
        <v/>
      </c>
      <c r="W83">
        <f>IF($V83=1,SUMPRODUCT(--($Y$2:$Y$1501&lt;$Y83))+1,"")</f>
        <v/>
      </c>
      <c r="X83">
        <f>IF($A83="","",IF(OR($T83=TRUE(),$T83="TRUE"),1,0))</f>
        <v/>
      </c>
      <c r="Y83">
        <f>IF($V83=1,IFERROR(IF(VALUE($A83)&lt;100000000,VALUE($A83),1000000000),IFERROR(IF(VALUE(MID($A83,2,20))&lt;100000000,VALUE(MID($A83,2,20)),1000000000),1000000000))+ROW()/100000,"")</f>
        <v/>
      </c>
    </row>
    <row r="84">
      <c r="F84" s="7">
        <f>IF($A84="","",E84*L84/100)</f>
        <v/>
      </c>
      <c r="J84" s="7" t="n"/>
      <c r="K84" s="7">
        <f>IF($A84="","",N84*U84/100)</f>
        <v/>
      </c>
      <c r="L84" s="7">
        <f>IF($A84="","",N84-K84)</f>
        <v/>
      </c>
      <c r="M84" s="7">
        <f>IF($A84="","",L84-F84)</f>
        <v/>
      </c>
      <c r="N84" s="7" t="n"/>
      <c r="O84" s="7" t="n"/>
      <c r="P84" s="7" t="n"/>
      <c r="R84" s="14" t="n"/>
      <c r="V84">
        <f>IF($A84="","",IF(COUNTIF($A$2:$A84,$A84)=1,1,0))</f>
        <v/>
      </c>
      <c r="W84">
        <f>IF($V84=1,SUMPRODUCT(--($Y$2:$Y$1501&lt;$Y84))+1,"")</f>
        <v/>
      </c>
      <c r="X84">
        <f>IF($A84="","",IF(OR($T84=TRUE(),$T84="TRUE"),1,0))</f>
        <v/>
      </c>
      <c r="Y84">
        <f>IF($V84=1,IFERROR(IF(VALUE($A84)&lt;100000000,VALUE($A84),1000000000),IFERROR(IF(VALUE(MID($A84,2,20))&lt;100000000,VALUE(MID($A84,2,20)),1000000000),1000000000))+ROW()/100000,"")</f>
        <v/>
      </c>
    </row>
    <row r="85">
      <c r="F85" s="7">
        <f>IF($A85="","",E85*L85/100)</f>
        <v/>
      </c>
      <c r="J85" s="7" t="n"/>
      <c r="K85" s="7">
        <f>IF($A85="","",N85*U85/100)</f>
        <v/>
      </c>
      <c r="L85" s="7">
        <f>IF($A85="","",N85-K85)</f>
        <v/>
      </c>
      <c r="M85" s="7">
        <f>IF($A85="","",L85-F85)</f>
        <v/>
      </c>
      <c r="N85" s="7" t="n"/>
      <c r="O85" s="7" t="n"/>
      <c r="P85" s="7" t="n"/>
      <c r="R85" s="14" t="n"/>
      <c r="V85">
        <f>IF($A85="","",IF(COUNTIF($A$2:$A85,$A85)=1,1,0))</f>
        <v/>
      </c>
      <c r="W85">
        <f>IF($V85=1,SUMPRODUCT(--($Y$2:$Y$1501&lt;$Y85))+1,"")</f>
        <v/>
      </c>
      <c r="X85">
        <f>IF($A85="","",IF(OR($T85=TRUE(),$T85="TRUE"),1,0))</f>
        <v/>
      </c>
      <c r="Y85">
        <f>IF($V85=1,IFERROR(IF(VALUE($A85)&lt;100000000,VALUE($A85),1000000000),IFERROR(IF(VALUE(MID($A85,2,20))&lt;100000000,VALUE(MID($A85,2,20)),1000000000),1000000000))+ROW()/100000,"")</f>
        <v/>
      </c>
    </row>
    <row r="86">
      <c r="F86" s="7">
        <f>IF($A86="","",E86*L86/100)</f>
        <v/>
      </c>
      <c r="J86" s="7" t="n"/>
      <c r="K86" s="7">
        <f>IF($A86="","",N86*U86/100)</f>
        <v/>
      </c>
      <c r="L86" s="7">
        <f>IF($A86="","",N86-K86)</f>
        <v/>
      </c>
      <c r="M86" s="7">
        <f>IF($A86="","",L86-F86)</f>
        <v/>
      </c>
      <c r="N86" s="7" t="n"/>
      <c r="O86" s="7" t="n"/>
      <c r="P86" s="7" t="n"/>
      <c r="R86" s="14" t="n"/>
      <c r="V86">
        <f>IF($A86="","",IF(COUNTIF($A$2:$A86,$A86)=1,1,0))</f>
        <v/>
      </c>
      <c r="W86">
        <f>IF($V86=1,SUMPRODUCT(--($Y$2:$Y$1501&lt;$Y86))+1,"")</f>
        <v/>
      </c>
      <c r="X86">
        <f>IF($A86="","",IF(OR($T86=TRUE(),$T86="TRUE"),1,0))</f>
        <v/>
      </c>
      <c r="Y86">
        <f>IF($V86=1,IFERROR(IF(VALUE($A86)&lt;100000000,VALUE($A86),1000000000),IFERROR(IF(VALUE(MID($A86,2,20))&lt;100000000,VALUE(MID($A86,2,20)),1000000000),1000000000))+ROW()/100000,"")</f>
        <v/>
      </c>
    </row>
    <row r="87">
      <c r="F87" s="7">
        <f>IF($A87="","",E87*L87/100)</f>
        <v/>
      </c>
      <c r="J87" s="7" t="n"/>
      <c r="K87" s="7">
        <f>IF($A87="","",N87*U87/100)</f>
        <v/>
      </c>
      <c r="L87" s="7">
        <f>IF($A87="","",N87-K87)</f>
        <v/>
      </c>
      <c r="M87" s="7">
        <f>IF($A87="","",L87-F87)</f>
        <v/>
      </c>
      <c r="N87" s="7" t="n"/>
      <c r="O87" s="7" t="n"/>
      <c r="P87" s="7" t="n"/>
      <c r="R87" s="14" t="n"/>
      <c r="V87">
        <f>IF($A87="","",IF(COUNTIF($A$2:$A87,$A87)=1,1,0))</f>
        <v/>
      </c>
      <c r="W87">
        <f>IF($V87=1,SUMPRODUCT(--($Y$2:$Y$1501&lt;$Y87))+1,"")</f>
        <v/>
      </c>
      <c r="X87">
        <f>IF($A87="","",IF(OR($T87=TRUE(),$T87="TRUE"),1,0))</f>
        <v/>
      </c>
      <c r="Y87">
        <f>IF($V87=1,IFERROR(IF(VALUE($A87)&lt;100000000,VALUE($A87),1000000000),IFERROR(IF(VALUE(MID($A87,2,20))&lt;100000000,VALUE(MID($A87,2,20)),1000000000),1000000000))+ROW()/100000,"")</f>
        <v/>
      </c>
    </row>
    <row r="88">
      <c r="F88" s="7">
        <f>IF($A88="","",E88*L88/100)</f>
        <v/>
      </c>
      <c r="J88" s="7" t="n"/>
      <c r="K88" s="7">
        <f>IF($A88="","",N88*U88/100)</f>
        <v/>
      </c>
      <c r="L88" s="7">
        <f>IF($A88="","",N88-K88)</f>
        <v/>
      </c>
      <c r="M88" s="7">
        <f>IF($A88="","",L88-F88)</f>
        <v/>
      </c>
      <c r="N88" s="7" t="n"/>
      <c r="O88" s="7" t="n"/>
      <c r="P88" s="7" t="n"/>
      <c r="R88" s="14" t="n"/>
      <c r="V88">
        <f>IF($A88="","",IF(COUNTIF($A$2:$A88,$A88)=1,1,0))</f>
        <v/>
      </c>
      <c r="W88">
        <f>IF($V88=1,SUMPRODUCT(--($Y$2:$Y$1501&lt;$Y88))+1,"")</f>
        <v/>
      </c>
      <c r="X88">
        <f>IF($A88="","",IF(OR($T88=TRUE(),$T88="TRUE"),1,0))</f>
        <v/>
      </c>
      <c r="Y88">
        <f>IF($V88=1,IFERROR(IF(VALUE($A88)&lt;100000000,VALUE($A88),1000000000),IFERROR(IF(VALUE(MID($A88,2,20))&lt;100000000,VALUE(MID($A88,2,20)),1000000000),1000000000))+ROW()/100000,"")</f>
        <v/>
      </c>
    </row>
    <row r="89">
      <c r="F89" s="7">
        <f>IF($A89="","",E89*L89/100)</f>
        <v/>
      </c>
      <c r="J89" s="7" t="n"/>
      <c r="K89" s="7">
        <f>IF($A89="","",N89*U89/100)</f>
        <v/>
      </c>
      <c r="L89" s="7">
        <f>IF($A89="","",N89-K89)</f>
        <v/>
      </c>
      <c r="M89" s="7">
        <f>IF($A89="","",L89-F89)</f>
        <v/>
      </c>
      <c r="N89" s="7" t="n"/>
      <c r="O89" s="7" t="n"/>
      <c r="P89" s="7" t="n"/>
      <c r="R89" s="14" t="n"/>
      <c r="V89">
        <f>IF($A89="","",IF(COUNTIF($A$2:$A89,$A89)=1,1,0))</f>
        <v/>
      </c>
      <c r="W89">
        <f>IF($V89=1,SUMPRODUCT(--($Y$2:$Y$1501&lt;$Y89))+1,"")</f>
        <v/>
      </c>
      <c r="X89">
        <f>IF($A89="","",IF(OR($T89=TRUE(),$T89="TRUE"),1,0))</f>
        <v/>
      </c>
      <c r="Y89">
        <f>IF($V89=1,IFERROR(IF(VALUE($A89)&lt;100000000,VALUE($A89),1000000000),IFERROR(IF(VALUE(MID($A89,2,20))&lt;100000000,VALUE(MID($A89,2,20)),1000000000),1000000000))+ROW()/100000,"")</f>
        <v/>
      </c>
    </row>
    <row r="90">
      <c r="F90" s="7">
        <f>IF($A90="","",E90*L90/100)</f>
        <v/>
      </c>
      <c r="J90" s="7" t="n"/>
      <c r="K90" s="7">
        <f>IF($A90="","",N90*U90/100)</f>
        <v/>
      </c>
      <c r="L90" s="7">
        <f>IF($A90="","",N90-K90)</f>
        <v/>
      </c>
      <c r="M90" s="7">
        <f>IF($A90="","",L90-F90)</f>
        <v/>
      </c>
      <c r="N90" s="7" t="n"/>
      <c r="O90" s="7" t="n"/>
      <c r="P90" s="7" t="n"/>
      <c r="R90" s="14" t="n"/>
      <c r="V90">
        <f>IF($A90="","",IF(COUNTIF($A$2:$A90,$A90)=1,1,0))</f>
        <v/>
      </c>
      <c r="W90">
        <f>IF($V90=1,SUMPRODUCT(--($Y$2:$Y$1501&lt;$Y90))+1,"")</f>
        <v/>
      </c>
      <c r="X90">
        <f>IF($A90="","",IF(OR($T90=TRUE(),$T90="TRUE"),1,0))</f>
        <v/>
      </c>
      <c r="Y90">
        <f>IF($V90=1,IFERROR(IF(VALUE($A90)&lt;100000000,VALUE($A90),1000000000),IFERROR(IF(VALUE(MID($A90,2,20))&lt;100000000,VALUE(MID($A90,2,20)),1000000000),1000000000))+ROW()/100000,"")</f>
        <v/>
      </c>
    </row>
    <row r="91">
      <c r="F91" s="7">
        <f>IF($A91="","",E91*L91/100)</f>
        <v/>
      </c>
      <c r="J91" s="7" t="n"/>
      <c r="K91" s="7">
        <f>IF($A91="","",N91*U91/100)</f>
        <v/>
      </c>
      <c r="L91" s="7">
        <f>IF($A91="","",N91-K91)</f>
        <v/>
      </c>
      <c r="M91" s="7">
        <f>IF($A91="","",L91-F91)</f>
        <v/>
      </c>
      <c r="N91" s="7" t="n"/>
      <c r="O91" s="7" t="n"/>
      <c r="P91" s="7" t="n"/>
      <c r="R91" s="14" t="n"/>
      <c r="V91">
        <f>IF($A91="","",IF(COUNTIF($A$2:$A91,$A91)=1,1,0))</f>
        <v/>
      </c>
      <c r="W91">
        <f>IF($V91=1,SUMPRODUCT(--($Y$2:$Y$1501&lt;$Y91))+1,"")</f>
        <v/>
      </c>
      <c r="X91">
        <f>IF($A91="","",IF(OR($T91=TRUE(),$T91="TRUE"),1,0))</f>
        <v/>
      </c>
      <c r="Y91">
        <f>IF($V91=1,IFERROR(IF(VALUE($A91)&lt;100000000,VALUE($A91),1000000000),IFERROR(IF(VALUE(MID($A91,2,20))&lt;100000000,VALUE(MID($A91,2,20)),1000000000),1000000000))+ROW()/100000,"")</f>
        <v/>
      </c>
    </row>
    <row r="92">
      <c r="F92" s="7">
        <f>IF($A92="","",E92*L92/100)</f>
        <v/>
      </c>
      <c r="J92" s="7" t="n"/>
      <c r="K92" s="7">
        <f>IF($A92="","",N92*U92/100)</f>
        <v/>
      </c>
      <c r="L92" s="7">
        <f>IF($A92="","",N92-K92)</f>
        <v/>
      </c>
      <c r="M92" s="7">
        <f>IF($A92="","",L92-F92)</f>
        <v/>
      </c>
      <c r="N92" s="7" t="n"/>
      <c r="O92" s="7" t="n"/>
      <c r="P92" s="7" t="n"/>
      <c r="R92" s="14" t="n"/>
      <c r="V92">
        <f>IF($A92="","",IF(COUNTIF($A$2:$A92,$A92)=1,1,0))</f>
        <v/>
      </c>
      <c r="W92">
        <f>IF($V92=1,SUMPRODUCT(--($Y$2:$Y$1501&lt;$Y92))+1,"")</f>
        <v/>
      </c>
      <c r="X92">
        <f>IF($A92="","",IF(OR($T92=TRUE(),$T92="TRUE"),1,0))</f>
        <v/>
      </c>
      <c r="Y92">
        <f>IF($V92=1,IFERROR(IF(VALUE($A92)&lt;100000000,VALUE($A92),1000000000),IFERROR(IF(VALUE(MID($A92,2,20))&lt;100000000,VALUE(MID($A92,2,20)),1000000000),1000000000))+ROW()/100000,"")</f>
        <v/>
      </c>
    </row>
    <row r="93">
      <c r="F93" s="7">
        <f>IF($A93="","",E93*L93/100)</f>
        <v/>
      </c>
      <c r="J93" s="7" t="n"/>
      <c r="K93" s="7">
        <f>IF($A93="","",N93*U93/100)</f>
        <v/>
      </c>
      <c r="L93" s="7">
        <f>IF($A93="","",N93-K93)</f>
        <v/>
      </c>
      <c r="M93" s="7">
        <f>IF($A93="","",L93-F93)</f>
        <v/>
      </c>
      <c r="N93" s="7" t="n"/>
      <c r="O93" s="7" t="n"/>
      <c r="P93" s="7" t="n"/>
      <c r="R93" s="14" t="n"/>
      <c r="V93">
        <f>IF($A93="","",IF(COUNTIF($A$2:$A93,$A93)=1,1,0))</f>
        <v/>
      </c>
      <c r="W93">
        <f>IF($V93=1,SUMPRODUCT(--($Y$2:$Y$1501&lt;$Y93))+1,"")</f>
        <v/>
      </c>
      <c r="X93">
        <f>IF($A93="","",IF(OR($T93=TRUE(),$T93="TRUE"),1,0))</f>
        <v/>
      </c>
      <c r="Y93">
        <f>IF($V93=1,IFERROR(IF(VALUE($A93)&lt;100000000,VALUE($A93),1000000000),IFERROR(IF(VALUE(MID($A93,2,20))&lt;100000000,VALUE(MID($A93,2,20)),1000000000),1000000000))+ROW()/100000,"")</f>
        <v/>
      </c>
    </row>
    <row r="94">
      <c r="F94" s="7">
        <f>IF($A94="","",E94*L94/100)</f>
        <v/>
      </c>
      <c r="J94" s="7" t="n"/>
      <c r="K94" s="7">
        <f>IF($A94="","",N94*U94/100)</f>
        <v/>
      </c>
      <c r="L94" s="7">
        <f>IF($A94="","",N94-K94)</f>
        <v/>
      </c>
      <c r="M94" s="7">
        <f>IF($A94="","",L94-F94)</f>
        <v/>
      </c>
      <c r="N94" s="7" t="n"/>
      <c r="O94" s="7" t="n"/>
      <c r="P94" s="7" t="n"/>
      <c r="R94" s="14" t="n"/>
      <c r="V94">
        <f>IF($A94="","",IF(COUNTIF($A$2:$A94,$A94)=1,1,0))</f>
        <v/>
      </c>
      <c r="W94">
        <f>IF($V94=1,SUMPRODUCT(--($Y$2:$Y$1501&lt;$Y94))+1,"")</f>
        <v/>
      </c>
      <c r="X94">
        <f>IF($A94="","",IF(OR($T94=TRUE(),$T94="TRUE"),1,0))</f>
        <v/>
      </c>
      <c r="Y94">
        <f>IF($V94=1,IFERROR(IF(VALUE($A94)&lt;100000000,VALUE($A94),1000000000),IFERROR(IF(VALUE(MID($A94,2,20))&lt;100000000,VALUE(MID($A94,2,20)),1000000000),1000000000))+ROW()/100000,"")</f>
        <v/>
      </c>
    </row>
    <row r="95">
      <c r="F95" s="7">
        <f>IF($A95="","",E95*L95/100)</f>
        <v/>
      </c>
      <c r="J95" s="7" t="n"/>
      <c r="K95" s="7">
        <f>IF($A95="","",N95*U95/100)</f>
        <v/>
      </c>
      <c r="L95" s="7">
        <f>IF($A95="","",N95-K95)</f>
        <v/>
      </c>
      <c r="M95" s="7">
        <f>IF($A95="","",L95-F95)</f>
        <v/>
      </c>
      <c r="N95" s="7" t="n"/>
      <c r="O95" s="7" t="n"/>
      <c r="P95" s="7" t="n"/>
      <c r="R95" s="14" t="n"/>
      <c r="V95">
        <f>IF($A95="","",IF(COUNTIF($A$2:$A95,$A95)=1,1,0))</f>
        <v/>
      </c>
      <c r="W95">
        <f>IF($V95=1,SUMPRODUCT(--($Y$2:$Y$1501&lt;$Y95))+1,"")</f>
        <v/>
      </c>
      <c r="X95">
        <f>IF($A95="","",IF(OR($T95=TRUE(),$T95="TRUE"),1,0))</f>
        <v/>
      </c>
      <c r="Y95">
        <f>IF($V95=1,IFERROR(IF(VALUE($A95)&lt;100000000,VALUE($A95),1000000000),IFERROR(IF(VALUE(MID($A95,2,20))&lt;100000000,VALUE(MID($A95,2,20)),1000000000),1000000000))+ROW()/100000,"")</f>
        <v/>
      </c>
    </row>
    <row r="96">
      <c r="F96" s="7">
        <f>IF($A96="","",E96*L96/100)</f>
        <v/>
      </c>
      <c r="J96" s="7" t="n"/>
      <c r="K96" s="7">
        <f>IF($A96="","",N96*U96/100)</f>
        <v/>
      </c>
      <c r="L96" s="7">
        <f>IF($A96="","",N96-K96)</f>
        <v/>
      </c>
      <c r="M96" s="7">
        <f>IF($A96="","",L96-F96)</f>
        <v/>
      </c>
      <c r="N96" s="7" t="n"/>
      <c r="O96" s="7" t="n"/>
      <c r="P96" s="7" t="n"/>
      <c r="R96" s="14" t="n"/>
      <c r="V96">
        <f>IF($A96="","",IF(COUNTIF($A$2:$A96,$A96)=1,1,0))</f>
        <v/>
      </c>
      <c r="W96">
        <f>IF($V96=1,SUMPRODUCT(--($Y$2:$Y$1501&lt;$Y96))+1,"")</f>
        <v/>
      </c>
      <c r="X96">
        <f>IF($A96="","",IF(OR($T96=TRUE(),$T96="TRUE"),1,0))</f>
        <v/>
      </c>
      <c r="Y96">
        <f>IF($V96=1,IFERROR(IF(VALUE($A96)&lt;100000000,VALUE($A96),1000000000),IFERROR(IF(VALUE(MID($A96,2,20))&lt;100000000,VALUE(MID($A96,2,20)),1000000000),1000000000))+ROW()/100000,"")</f>
        <v/>
      </c>
    </row>
    <row r="97">
      <c r="F97" s="7">
        <f>IF($A97="","",E97*L97/100)</f>
        <v/>
      </c>
      <c r="J97" s="7" t="n"/>
      <c r="K97" s="7">
        <f>IF($A97="","",N97*U97/100)</f>
        <v/>
      </c>
      <c r="L97" s="7">
        <f>IF($A97="","",N97-K97)</f>
        <v/>
      </c>
      <c r="M97" s="7">
        <f>IF($A97="","",L97-F97)</f>
        <v/>
      </c>
      <c r="N97" s="7" t="n"/>
      <c r="O97" s="7" t="n"/>
      <c r="P97" s="7" t="n"/>
      <c r="R97" s="14" t="n"/>
      <c r="V97">
        <f>IF($A97="","",IF(COUNTIF($A$2:$A97,$A97)=1,1,0))</f>
        <v/>
      </c>
      <c r="W97">
        <f>IF($V97=1,SUMPRODUCT(--($Y$2:$Y$1501&lt;$Y97))+1,"")</f>
        <v/>
      </c>
      <c r="X97">
        <f>IF($A97="","",IF(OR($T97=TRUE(),$T97="TRUE"),1,0))</f>
        <v/>
      </c>
      <c r="Y97">
        <f>IF($V97=1,IFERROR(IF(VALUE($A97)&lt;100000000,VALUE($A97),1000000000),IFERROR(IF(VALUE(MID($A97,2,20))&lt;100000000,VALUE(MID($A97,2,20)),1000000000),1000000000))+ROW()/100000,"")</f>
        <v/>
      </c>
    </row>
    <row r="98">
      <c r="F98" s="7">
        <f>IF($A98="","",E98*L98/100)</f>
        <v/>
      </c>
      <c r="J98" s="7" t="n"/>
      <c r="K98" s="7">
        <f>IF($A98="","",N98*U98/100)</f>
        <v/>
      </c>
      <c r="L98" s="7">
        <f>IF($A98="","",N98-K98)</f>
        <v/>
      </c>
      <c r="M98" s="7">
        <f>IF($A98="","",L98-F98)</f>
        <v/>
      </c>
      <c r="N98" s="7" t="n"/>
      <c r="O98" s="7" t="n"/>
      <c r="P98" s="7" t="n"/>
      <c r="R98" s="14" t="n"/>
      <c r="V98">
        <f>IF($A98="","",IF(COUNTIF($A$2:$A98,$A98)=1,1,0))</f>
        <v/>
      </c>
      <c r="W98">
        <f>IF($V98=1,SUMPRODUCT(--($Y$2:$Y$1501&lt;$Y98))+1,"")</f>
        <v/>
      </c>
      <c r="X98">
        <f>IF($A98="","",IF(OR($T98=TRUE(),$T98="TRUE"),1,0))</f>
        <v/>
      </c>
      <c r="Y98">
        <f>IF($V98=1,IFERROR(IF(VALUE($A98)&lt;100000000,VALUE($A98),1000000000),IFERROR(IF(VALUE(MID($A98,2,20))&lt;100000000,VALUE(MID($A98,2,20)),1000000000),1000000000))+ROW()/100000,"")</f>
        <v/>
      </c>
    </row>
    <row r="99">
      <c r="F99" s="7">
        <f>IF($A99="","",E99*L99/100)</f>
        <v/>
      </c>
      <c r="J99" s="7" t="n"/>
      <c r="K99" s="7">
        <f>IF($A99="","",N99*U99/100)</f>
        <v/>
      </c>
      <c r="L99" s="7">
        <f>IF($A99="","",N99-K99)</f>
        <v/>
      </c>
      <c r="M99" s="7">
        <f>IF($A99="","",L99-F99)</f>
        <v/>
      </c>
      <c r="N99" s="7" t="n"/>
      <c r="O99" s="7" t="n"/>
      <c r="P99" s="7" t="n"/>
      <c r="R99" s="14" t="n"/>
      <c r="V99">
        <f>IF($A99="","",IF(COUNTIF($A$2:$A99,$A99)=1,1,0))</f>
        <v/>
      </c>
      <c r="W99">
        <f>IF($V99=1,SUMPRODUCT(--($Y$2:$Y$1501&lt;$Y99))+1,"")</f>
        <v/>
      </c>
      <c r="X99">
        <f>IF($A99="","",IF(OR($T99=TRUE(),$T99="TRUE"),1,0))</f>
        <v/>
      </c>
      <c r="Y99">
        <f>IF($V99=1,IFERROR(IF(VALUE($A99)&lt;100000000,VALUE($A99),1000000000),IFERROR(IF(VALUE(MID($A99,2,20))&lt;100000000,VALUE(MID($A99,2,20)),1000000000),1000000000))+ROW()/100000,"")</f>
        <v/>
      </c>
    </row>
    <row r="100">
      <c r="F100" s="7">
        <f>IF($A100="","",E100*L100/100)</f>
        <v/>
      </c>
      <c r="J100" s="7" t="n"/>
      <c r="K100" s="7">
        <f>IF($A100="","",N100*U100/100)</f>
        <v/>
      </c>
      <c r="L100" s="7">
        <f>IF($A100="","",N100-K100)</f>
        <v/>
      </c>
      <c r="M100" s="7">
        <f>IF($A100="","",L100-F100)</f>
        <v/>
      </c>
      <c r="N100" s="7" t="n"/>
      <c r="O100" s="7" t="n"/>
      <c r="P100" s="7" t="n"/>
      <c r="R100" s="14" t="n"/>
      <c r="V100">
        <f>IF($A100="","",IF(COUNTIF($A$2:$A100,$A100)=1,1,0))</f>
        <v/>
      </c>
      <c r="W100">
        <f>IF($V100=1,SUMPRODUCT(--($Y$2:$Y$1501&lt;$Y100))+1,"")</f>
        <v/>
      </c>
      <c r="X100">
        <f>IF($A100="","",IF(OR($T100=TRUE(),$T100="TRUE"),1,0))</f>
        <v/>
      </c>
      <c r="Y100">
        <f>IF($V100=1,IFERROR(IF(VALUE($A100)&lt;100000000,VALUE($A100),1000000000),IFERROR(IF(VALUE(MID($A100,2,20))&lt;100000000,VALUE(MID($A100,2,20)),1000000000),1000000000))+ROW()/100000,"")</f>
        <v/>
      </c>
    </row>
    <row r="101">
      <c r="F101" s="7">
        <f>IF($A101="","",E101*L101/100)</f>
        <v/>
      </c>
      <c r="J101" s="7" t="n"/>
      <c r="K101" s="7">
        <f>IF($A101="","",N101*U101/100)</f>
        <v/>
      </c>
      <c r="L101" s="7">
        <f>IF($A101="","",N101-K101)</f>
        <v/>
      </c>
      <c r="M101" s="7">
        <f>IF($A101="","",L101-F101)</f>
        <v/>
      </c>
      <c r="N101" s="7" t="n"/>
      <c r="O101" s="7" t="n"/>
      <c r="P101" s="7" t="n"/>
      <c r="R101" s="14" t="n"/>
      <c r="V101">
        <f>IF($A101="","",IF(COUNTIF($A$2:$A101,$A101)=1,1,0))</f>
        <v/>
      </c>
      <c r="W101">
        <f>IF($V101=1,SUMPRODUCT(--($Y$2:$Y$1501&lt;$Y101))+1,"")</f>
        <v/>
      </c>
      <c r="X101">
        <f>IF($A101="","",IF(OR($T101=TRUE(),$T101="TRUE"),1,0))</f>
        <v/>
      </c>
      <c r="Y101">
        <f>IF($V101=1,IFERROR(IF(VALUE($A101)&lt;100000000,VALUE($A101),1000000000),IFERROR(IF(VALUE(MID($A101,2,20))&lt;100000000,VALUE(MID($A101,2,20)),1000000000),1000000000))+ROW()/100000,"")</f>
        <v/>
      </c>
    </row>
    <row r="102">
      <c r="F102" s="7">
        <f>IF($A102="","",E102*L102/100)</f>
        <v/>
      </c>
      <c r="J102" s="7" t="n"/>
      <c r="K102" s="7">
        <f>IF($A102="","",N102*U102/100)</f>
        <v/>
      </c>
      <c r="L102" s="7">
        <f>IF($A102="","",N102-K102)</f>
        <v/>
      </c>
      <c r="M102" s="7">
        <f>IF($A102="","",L102-F102)</f>
        <v/>
      </c>
      <c r="N102" s="7" t="n"/>
      <c r="O102" s="7" t="n"/>
      <c r="P102" s="7" t="n"/>
      <c r="R102" s="14" t="n"/>
      <c r="V102">
        <f>IF($A102="","",IF(COUNTIF($A$2:$A102,$A102)=1,1,0))</f>
        <v/>
      </c>
      <c r="W102">
        <f>IF($V102=1,SUMPRODUCT(--($Y$2:$Y$1501&lt;$Y102))+1,"")</f>
        <v/>
      </c>
      <c r="X102">
        <f>IF($A102="","",IF(OR($T102=TRUE(),$T102="TRUE"),1,0))</f>
        <v/>
      </c>
      <c r="Y102">
        <f>IF($V102=1,IFERROR(IF(VALUE($A102)&lt;100000000,VALUE($A102),1000000000),IFERROR(IF(VALUE(MID($A102,2,20))&lt;100000000,VALUE(MID($A102,2,20)),1000000000),1000000000))+ROW()/100000,"")</f>
        <v/>
      </c>
    </row>
    <row r="103">
      <c r="F103" s="7">
        <f>IF($A103="","",E103*L103/100)</f>
        <v/>
      </c>
      <c r="J103" s="7" t="n"/>
      <c r="K103" s="7">
        <f>IF($A103="","",N103*U103/100)</f>
        <v/>
      </c>
      <c r="L103" s="7">
        <f>IF($A103="","",N103-K103)</f>
        <v/>
      </c>
      <c r="M103" s="7">
        <f>IF($A103="","",L103-F103)</f>
        <v/>
      </c>
      <c r="N103" s="7" t="n"/>
      <c r="O103" s="7" t="n"/>
      <c r="P103" s="7" t="n"/>
      <c r="R103" s="14" t="n"/>
      <c r="V103">
        <f>IF($A103="","",IF(COUNTIF($A$2:$A103,$A103)=1,1,0))</f>
        <v/>
      </c>
      <c r="W103">
        <f>IF($V103=1,SUMPRODUCT(--($Y$2:$Y$1501&lt;$Y103))+1,"")</f>
        <v/>
      </c>
      <c r="X103">
        <f>IF($A103="","",IF(OR($T103=TRUE(),$T103="TRUE"),1,0))</f>
        <v/>
      </c>
      <c r="Y103">
        <f>IF($V103=1,IFERROR(IF(VALUE($A103)&lt;100000000,VALUE($A103),1000000000),IFERROR(IF(VALUE(MID($A103,2,20))&lt;100000000,VALUE(MID($A103,2,20)),1000000000),1000000000))+ROW()/100000,"")</f>
        <v/>
      </c>
    </row>
    <row r="104">
      <c r="F104" s="7">
        <f>IF($A104="","",E104*L104/100)</f>
        <v/>
      </c>
      <c r="J104" s="7" t="n"/>
      <c r="K104" s="7">
        <f>IF($A104="","",N104*U104/100)</f>
        <v/>
      </c>
      <c r="L104" s="7">
        <f>IF($A104="","",N104-K104)</f>
        <v/>
      </c>
      <c r="M104" s="7">
        <f>IF($A104="","",L104-F104)</f>
        <v/>
      </c>
      <c r="N104" s="7" t="n"/>
      <c r="O104" s="7" t="n"/>
      <c r="P104" s="7" t="n"/>
      <c r="R104" s="14" t="n"/>
      <c r="V104">
        <f>IF($A104="","",IF(COUNTIF($A$2:$A104,$A104)=1,1,0))</f>
        <v/>
      </c>
      <c r="W104">
        <f>IF($V104=1,SUMPRODUCT(--($Y$2:$Y$1501&lt;$Y104))+1,"")</f>
        <v/>
      </c>
      <c r="X104">
        <f>IF($A104="","",IF(OR($T104=TRUE(),$T104="TRUE"),1,0))</f>
        <v/>
      </c>
      <c r="Y104">
        <f>IF($V104=1,IFERROR(IF(VALUE($A104)&lt;100000000,VALUE($A104),1000000000),IFERROR(IF(VALUE(MID($A104,2,20))&lt;100000000,VALUE(MID($A104,2,20)),1000000000),1000000000))+ROW()/100000,"")</f>
        <v/>
      </c>
    </row>
    <row r="105">
      <c r="F105" s="7">
        <f>IF($A105="","",E105*L105/100)</f>
        <v/>
      </c>
      <c r="J105" s="7" t="n"/>
      <c r="K105" s="7">
        <f>IF($A105="","",N105*U105/100)</f>
        <v/>
      </c>
      <c r="L105" s="7">
        <f>IF($A105="","",N105-K105)</f>
        <v/>
      </c>
      <c r="M105" s="7">
        <f>IF($A105="","",L105-F105)</f>
        <v/>
      </c>
      <c r="N105" s="7" t="n"/>
      <c r="O105" s="7" t="n"/>
      <c r="P105" s="7" t="n"/>
      <c r="R105" s="14" t="n"/>
      <c r="V105">
        <f>IF($A105="","",IF(COUNTIF($A$2:$A105,$A105)=1,1,0))</f>
        <v/>
      </c>
      <c r="W105">
        <f>IF($V105=1,SUMPRODUCT(--($Y$2:$Y$1501&lt;$Y105))+1,"")</f>
        <v/>
      </c>
      <c r="X105">
        <f>IF($A105="","",IF(OR($T105=TRUE(),$T105="TRUE"),1,0))</f>
        <v/>
      </c>
      <c r="Y105">
        <f>IF($V105=1,IFERROR(IF(VALUE($A105)&lt;100000000,VALUE($A105),1000000000),IFERROR(IF(VALUE(MID($A105,2,20))&lt;100000000,VALUE(MID($A105,2,20)),1000000000),1000000000))+ROW()/100000,"")</f>
        <v/>
      </c>
    </row>
    <row r="106">
      <c r="F106" s="7">
        <f>IF($A106="","",E106*L106/100)</f>
        <v/>
      </c>
      <c r="J106" s="7" t="n"/>
      <c r="K106" s="7">
        <f>IF($A106="","",N106*U106/100)</f>
        <v/>
      </c>
      <c r="L106" s="7">
        <f>IF($A106="","",N106-K106)</f>
        <v/>
      </c>
      <c r="M106" s="7">
        <f>IF($A106="","",L106-F106)</f>
        <v/>
      </c>
      <c r="N106" s="7" t="n"/>
      <c r="O106" s="7" t="n"/>
      <c r="P106" s="7" t="n"/>
      <c r="R106" s="14" t="n"/>
      <c r="V106">
        <f>IF($A106="","",IF(COUNTIF($A$2:$A106,$A106)=1,1,0))</f>
        <v/>
      </c>
      <c r="W106">
        <f>IF($V106=1,SUMPRODUCT(--($Y$2:$Y$1501&lt;$Y106))+1,"")</f>
        <v/>
      </c>
      <c r="X106">
        <f>IF($A106="","",IF(OR($T106=TRUE(),$T106="TRUE"),1,0))</f>
        <v/>
      </c>
      <c r="Y106">
        <f>IF($V106=1,IFERROR(IF(VALUE($A106)&lt;100000000,VALUE($A106),1000000000),IFERROR(IF(VALUE(MID($A106,2,20))&lt;100000000,VALUE(MID($A106,2,20)),1000000000),1000000000))+ROW()/100000,"")</f>
        <v/>
      </c>
    </row>
    <row r="107">
      <c r="F107" s="7">
        <f>IF($A107="","",E107*L107/100)</f>
        <v/>
      </c>
      <c r="J107" s="7" t="n"/>
      <c r="K107" s="7">
        <f>IF($A107="","",N107*U107/100)</f>
        <v/>
      </c>
      <c r="L107" s="7">
        <f>IF($A107="","",N107-K107)</f>
        <v/>
      </c>
      <c r="M107" s="7">
        <f>IF($A107="","",L107-F107)</f>
        <v/>
      </c>
      <c r="N107" s="7" t="n"/>
      <c r="O107" s="7" t="n"/>
      <c r="P107" s="7" t="n"/>
      <c r="R107" s="14" t="n"/>
      <c r="V107">
        <f>IF($A107="","",IF(COUNTIF($A$2:$A107,$A107)=1,1,0))</f>
        <v/>
      </c>
      <c r="W107">
        <f>IF($V107=1,SUMPRODUCT(--($Y$2:$Y$1501&lt;$Y107))+1,"")</f>
        <v/>
      </c>
      <c r="X107">
        <f>IF($A107="","",IF(OR($T107=TRUE(),$T107="TRUE"),1,0))</f>
        <v/>
      </c>
      <c r="Y107">
        <f>IF($V107=1,IFERROR(IF(VALUE($A107)&lt;100000000,VALUE($A107),1000000000),IFERROR(IF(VALUE(MID($A107,2,20))&lt;100000000,VALUE(MID($A107,2,20)),1000000000),1000000000))+ROW()/100000,"")</f>
        <v/>
      </c>
    </row>
    <row r="108">
      <c r="F108" s="7">
        <f>IF($A108="","",E108*L108/100)</f>
        <v/>
      </c>
      <c r="J108" s="7" t="n"/>
      <c r="K108" s="7">
        <f>IF($A108="","",N108*U108/100)</f>
        <v/>
      </c>
      <c r="L108" s="7">
        <f>IF($A108="","",N108-K108)</f>
        <v/>
      </c>
      <c r="M108" s="7">
        <f>IF($A108="","",L108-F108)</f>
        <v/>
      </c>
      <c r="N108" s="7" t="n"/>
      <c r="O108" s="7" t="n"/>
      <c r="P108" s="7" t="n"/>
      <c r="R108" s="14" t="n"/>
      <c r="V108">
        <f>IF($A108="","",IF(COUNTIF($A$2:$A108,$A108)=1,1,0))</f>
        <v/>
      </c>
      <c r="W108">
        <f>IF($V108=1,SUMPRODUCT(--($Y$2:$Y$1501&lt;$Y108))+1,"")</f>
        <v/>
      </c>
      <c r="X108">
        <f>IF($A108="","",IF(OR($T108=TRUE(),$T108="TRUE"),1,0))</f>
        <v/>
      </c>
      <c r="Y108">
        <f>IF($V108=1,IFERROR(IF(VALUE($A108)&lt;100000000,VALUE($A108),1000000000),IFERROR(IF(VALUE(MID($A108,2,20))&lt;100000000,VALUE(MID($A108,2,20)),1000000000),1000000000))+ROW()/100000,"")</f>
        <v/>
      </c>
    </row>
    <row r="109">
      <c r="F109" s="7">
        <f>IF($A109="","",E109*L109/100)</f>
        <v/>
      </c>
      <c r="J109" s="7" t="n"/>
      <c r="K109" s="7">
        <f>IF($A109="","",N109*U109/100)</f>
        <v/>
      </c>
      <c r="L109" s="7">
        <f>IF($A109="","",N109-K109)</f>
        <v/>
      </c>
      <c r="M109" s="7">
        <f>IF($A109="","",L109-F109)</f>
        <v/>
      </c>
      <c r="N109" s="7" t="n"/>
      <c r="O109" s="7" t="n"/>
      <c r="P109" s="7" t="n"/>
      <c r="R109" s="14" t="n"/>
      <c r="V109">
        <f>IF($A109="","",IF(COUNTIF($A$2:$A109,$A109)=1,1,0))</f>
        <v/>
      </c>
      <c r="W109">
        <f>IF($V109=1,SUMPRODUCT(--($Y$2:$Y$1501&lt;$Y109))+1,"")</f>
        <v/>
      </c>
      <c r="X109">
        <f>IF($A109="","",IF(OR($T109=TRUE(),$T109="TRUE"),1,0))</f>
        <v/>
      </c>
      <c r="Y109">
        <f>IF($V109=1,IFERROR(IF(VALUE($A109)&lt;100000000,VALUE($A109),1000000000),IFERROR(IF(VALUE(MID($A109,2,20))&lt;100000000,VALUE(MID($A109,2,20)),1000000000),1000000000))+ROW()/100000,"")</f>
        <v/>
      </c>
    </row>
    <row r="110">
      <c r="F110" s="7">
        <f>IF($A110="","",E110*L110/100)</f>
        <v/>
      </c>
      <c r="J110" s="7" t="n"/>
      <c r="K110" s="7">
        <f>IF($A110="","",N110*U110/100)</f>
        <v/>
      </c>
      <c r="L110" s="7">
        <f>IF($A110="","",N110-K110)</f>
        <v/>
      </c>
      <c r="M110" s="7">
        <f>IF($A110="","",L110-F110)</f>
        <v/>
      </c>
      <c r="N110" s="7" t="n"/>
      <c r="O110" s="7" t="n"/>
      <c r="P110" s="7" t="n"/>
      <c r="R110" s="14" t="n"/>
      <c r="V110">
        <f>IF($A110="","",IF(COUNTIF($A$2:$A110,$A110)=1,1,0))</f>
        <v/>
      </c>
      <c r="W110">
        <f>IF($V110=1,SUMPRODUCT(--($Y$2:$Y$1501&lt;$Y110))+1,"")</f>
        <v/>
      </c>
      <c r="X110">
        <f>IF($A110="","",IF(OR($T110=TRUE(),$T110="TRUE"),1,0))</f>
        <v/>
      </c>
      <c r="Y110">
        <f>IF($V110=1,IFERROR(IF(VALUE($A110)&lt;100000000,VALUE($A110),1000000000),IFERROR(IF(VALUE(MID($A110,2,20))&lt;100000000,VALUE(MID($A110,2,20)),1000000000),1000000000))+ROW()/100000,"")</f>
        <v/>
      </c>
    </row>
    <row r="111">
      <c r="F111" s="7">
        <f>IF($A111="","",E111*L111/100)</f>
        <v/>
      </c>
      <c r="J111" s="7" t="n"/>
      <c r="K111" s="7">
        <f>IF($A111="","",N111*U111/100)</f>
        <v/>
      </c>
      <c r="L111" s="7">
        <f>IF($A111="","",N111-K111)</f>
        <v/>
      </c>
      <c r="M111" s="7">
        <f>IF($A111="","",L111-F111)</f>
        <v/>
      </c>
      <c r="N111" s="7" t="n"/>
      <c r="O111" s="7" t="n"/>
      <c r="P111" s="7" t="n"/>
      <c r="R111" s="14" t="n"/>
      <c r="V111">
        <f>IF($A111="","",IF(COUNTIF($A$2:$A111,$A111)=1,1,0))</f>
        <v/>
      </c>
      <c r="W111">
        <f>IF($V111=1,SUMPRODUCT(--($Y$2:$Y$1501&lt;$Y111))+1,"")</f>
        <v/>
      </c>
      <c r="X111">
        <f>IF($A111="","",IF(OR($T111=TRUE(),$T111="TRUE"),1,0))</f>
        <v/>
      </c>
      <c r="Y111">
        <f>IF($V111=1,IFERROR(IF(VALUE($A111)&lt;100000000,VALUE($A111),1000000000),IFERROR(IF(VALUE(MID($A111,2,20))&lt;100000000,VALUE(MID($A111,2,20)),1000000000),1000000000))+ROW()/100000,"")</f>
        <v/>
      </c>
    </row>
    <row r="112">
      <c r="F112" s="7">
        <f>IF($A112="","",E112*L112/100)</f>
        <v/>
      </c>
      <c r="J112" s="7" t="n"/>
      <c r="K112" s="7">
        <f>IF($A112="","",N112*U112/100)</f>
        <v/>
      </c>
      <c r="L112" s="7">
        <f>IF($A112="","",N112-K112)</f>
        <v/>
      </c>
      <c r="M112" s="7">
        <f>IF($A112="","",L112-F112)</f>
        <v/>
      </c>
      <c r="N112" s="7" t="n"/>
      <c r="O112" s="7" t="n"/>
      <c r="P112" s="7" t="n"/>
      <c r="R112" s="14" t="n"/>
      <c r="V112">
        <f>IF($A112="","",IF(COUNTIF($A$2:$A112,$A112)=1,1,0))</f>
        <v/>
      </c>
      <c r="W112">
        <f>IF($V112=1,SUMPRODUCT(--($Y$2:$Y$1501&lt;$Y112))+1,"")</f>
        <v/>
      </c>
      <c r="X112">
        <f>IF($A112="","",IF(OR($T112=TRUE(),$T112="TRUE"),1,0))</f>
        <v/>
      </c>
      <c r="Y112">
        <f>IF($V112=1,IFERROR(IF(VALUE($A112)&lt;100000000,VALUE($A112),1000000000),IFERROR(IF(VALUE(MID($A112,2,20))&lt;100000000,VALUE(MID($A112,2,20)),1000000000),1000000000))+ROW()/100000,"")</f>
        <v/>
      </c>
    </row>
    <row r="113">
      <c r="F113" s="7">
        <f>IF($A113="","",E113*L113/100)</f>
        <v/>
      </c>
      <c r="J113" s="7" t="n"/>
      <c r="K113" s="7">
        <f>IF($A113="","",N113*U113/100)</f>
        <v/>
      </c>
      <c r="L113" s="7">
        <f>IF($A113="","",N113-K113)</f>
        <v/>
      </c>
      <c r="M113" s="7">
        <f>IF($A113="","",L113-F113)</f>
        <v/>
      </c>
      <c r="N113" s="7" t="n"/>
      <c r="O113" s="7" t="n"/>
      <c r="P113" s="7" t="n"/>
      <c r="R113" s="14" t="n"/>
      <c r="V113">
        <f>IF($A113="","",IF(COUNTIF($A$2:$A113,$A113)=1,1,0))</f>
        <v/>
      </c>
      <c r="W113">
        <f>IF($V113=1,SUMPRODUCT(--($Y$2:$Y$1501&lt;$Y113))+1,"")</f>
        <v/>
      </c>
      <c r="X113">
        <f>IF($A113="","",IF(OR($T113=TRUE(),$T113="TRUE"),1,0))</f>
        <v/>
      </c>
      <c r="Y113">
        <f>IF($V113=1,IFERROR(IF(VALUE($A113)&lt;100000000,VALUE($A113),1000000000),IFERROR(IF(VALUE(MID($A113,2,20))&lt;100000000,VALUE(MID($A113,2,20)),1000000000),1000000000))+ROW()/100000,"")</f>
        <v/>
      </c>
    </row>
    <row r="114">
      <c r="F114" s="7">
        <f>IF($A114="","",E114*L114/100)</f>
        <v/>
      </c>
      <c r="J114" s="7" t="n"/>
      <c r="K114" s="7">
        <f>IF($A114="","",N114*U114/100)</f>
        <v/>
      </c>
      <c r="L114" s="7">
        <f>IF($A114="","",N114-K114)</f>
        <v/>
      </c>
      <c r="M114" s="7">
        <f>IF($A114="","",L114-F114)</f>
        <v/>
      </c>
      <c r="N114" s="7" t="n"/>
      <c r="O114" s="7" t="n"/>
      <c r="P114" s="7" t="n"/>
      <c r="R114" s="14" t="n"/>
      <c r="V114">
        <f>IF($A114="","",IF(COUNTIF($A$2:$A114,$A114)=1,1,0))</f>
        <v/>
      </c>
      <c r="W114">
        <f>IF($V114=1,SUMPRODUCT(--($Y$2:$Y$1501&lt;$Y114))+1,"")</f>
        <v/>
      </c>
      <c r="X114">
        <f>IF($A114="","",IF(OR($T114=TRUE(),$T114="TRUE"),1,0))</f>
        <v/>
      </c>
      <c r="Y114">
        <f>IF($V114=1,IFERROR(IF(VALUE($A114)&lt;100000000,VALUE($A114),1000000000),IFERROR(IF(VALUE(MID($A114,2,20))&lt;100000000,VALUE(MID($A114,2,20)),1000000000),1000000000))+ROW()/100000,"")</f>
        <v/>
      </c>
    </row>
    <row r="115">
      <c r="F115" s="7">
        <f>IF($A115="","",E115*L115/100)</f>
        <v/>
      </c>
      <c r="J115" s="7" t="n"/>
      <c r="K115" s="7">
        <f>IF($A115="","",N115*U115/100)</f>
        <v/>
      </c>
      <c r="L115" s="7">
        <f>IF($A115="","",N115-K115)</f>
        <v/>
      </c>
      <c r="M115" s="7">
        <f>IF($A115="","",L115-F115)</f>
        <v/>
      </c>
      <c r="N115" s="7" t="n"/>
      <c r="O115" s="7" t="n"/>
      <c r="P115" s="7" t="n"/>
      <c r="R115" s="14" t="n"/>
      <c r="V115">
        <f>IF($A115="","",IF(COUNTIF($A$2:$A115,$A115)=1,1,0))</f>
        <v/>
      </c>
      <c r="W115">
        <f>IF($V115=1,SUMPRODUCT(--($Y$2:$Y$1501&lt;$Y115))+1,"")</f>
        <v/>
      </c>
      <c r="X115">
        <f>IF($A115="","",IF(OR($T115=TRUE(),$T115="TRUE"),1,0))</f>
        <v/>
      </c>
      <c r="Y115">
        <f>IF($V115=1,IFERROR(IF(VALUE($A115)&lt;100000000,VALUE($A115),1000000000),IFERROR(IF(VALUE(MID($A115,2,20))&lt;100000000,VALUE(MID($A115,2,20)),1000000000),1000000000))+ROW()/100000,"")</f>
        <v/>
      </c>
    </row>
    <row r="116">
      <c r="F116" s="7">
        <f>IF($A116="","",E116*L116/100)</f>
        <v/>
      </c>
      <c r="J116" s="7" t="n"/>
      <c r="K116" s="7">
        <f>IF($A116="","",N116*U116/100)</f>
        <v/>
      </c>
      <c r="L116" s="7">
        <f>IF($A116="","",N116-K116)</f>
        <v/>
      </c>
      <c r="M116" s="7">
        <f>IF($A116="","",L116-F116)</f>
        <v/>
      </c>
      <c r="N116" s="7" t="n"/>
      <c r="O116" s="7" t="n"/>
      <c r="P116" s="7" t="n"/>
      <c r="R116" s="14" t="n"/>
      <c r="V116">
        <f>IF($A116="","",IF(COUNTIF($A$2:$A116,$A116)=1,1,0))</f>
        <v/>
      </c>
      <c r="W116">
        <f>IF($V116=1,SUMPRODUCT(--($Y$2:$Y$1501&lt;$Y116))+1,"")</f>
        <v/>
      </c>
      <c r="X116">
        <f>IF($A116="","",IF(OR($T116=TRUE(),$T116="TRUE"),1,0))</f>
        <v/>
      </c>
      <c r="Y116">
        <f>IF($V116=1,IFERROR(IF(VALUE($A116)&lt;100000000,VALUE($A116),1000000000),IFERROR(IF(VALUE(MID($A116,2,20))&lt;100000000,VALUE(MID($A116,2,20)),1000000000),1000000000))+ROW()/100000,"")</f>
        <v/>
      </c>
    </row>
    <row r="117">
      <c r="F117" s="7">
        <f>IF($A117="","",E117*L117/100)</f>
        <v/>
      </c>
      <c r="J117" s="7" t="n"/>
      <c r="K117" s="7">
        <f>IF($A117="","",N117*U117/100)</f>
        <v/>
      </c>
      <c r="L117" s="7">
        <f>IF($A117="","",N117-K117)</f>
        <v/>
      </c>
      <c r="M117" s="7">
        <f>IF($A117="","",L117-F117)</f>
        <v/>
      </c>
      <c r="N117" s="7" t="n"/>
      <c r="O117" s="7" t="n"/>
      <c r="P117" s="7" t="n"/>
      <c r="R117" s="14" t="n"/>
      <c r="V117">
        <f>IF($A117="","",IF(COUNTIF($A$2:$A117,$A117)=1,1,0))</f>
        <v/>
      </c>
      <c r="W117">
        <f>IF($V117=1,SUMPRODUCT(--($Y$2:$Y$1501&lt;$Y117))+1,"")</f>
        <v/>
      </c>
      <c r="X117">
        <f>IF($A117="","",IF(OR($T117=TRUE(),$T117="TRUE"),1,0))</f>
        <v/>
      </c>
      <c r="Y117">
        <f>IF($V117=1,IFERROR(IF(VALUE($A117)&lt;100000000,VALUE($A117),1000000000),IFERROR(IF(VALUE(MID($A117,2,20))&lt;100000000,VALUE(MID($A117,2,20)),1000000000),1000000000))+ROW()/100000,"")</f>
        <v/>
      </c>
    </row>
    <row r="118">
      <c r="F118" s="7">
        <f>IF($A118="","",E118*L118/100)</f>
        <v/>
      </c>
      <c r="J118" s="7" t="n"/>
      <c r="K118" s="7">
        <f>IF($A118="","",N118*U118/100)</f>
        <v/>
      </c>
      <c r="L118" s="7">
        <f>IF($A118="","",N118-K118)</f>
        <v/>
      </c>
      <c r="M118" s="7">
        <f>IF($A118="","",L118-F118)</f>
        <v/>
      </c>
      <c r="N118" s="7" t="n"/>
      <c r="O118" s="7" t="n"/>
      <c r="P118" s="7" t="n"/>
      <c r="R118" s="14" t="n"/>
      <c r="V118">
        <f>IF($A118="","",IF(COUNTIF($A$2:$A118,$A118)=1,1,0))</f>
        <v/>
      </c>
      <c r="W118">
        <f>IF($V118=1,SUMPRODUCT(--($Y$2:$Y$1501&lt;$Y118))+1,"")</f>
        <v/>
      </c>
      <c r="X118">
        <f>IF($A118="","",IF(OR($T118=TRUE(),$T118="TRUE"),1,0))</f>
        <v/>
      </c>
      <c r="Y118">
        <f>IF($V118=1,IFERROR(IF(VALUE($A118)&lt;100000000,VALUE($A118),1000000000),IFERROR(IF(VALUE(MID($A118,2,20))&lt;100000000,VALUE(MID($A118,2,20)),1000000000),1000000000))+ROW()/100000,"")</f>
        <v/>
      </c>
    </row>
    <row r="119">
      <c r="F119" s="7">
        <f>IF($A119="","",E119*L119/100)</f>
        <v/>
      </c>
      <c r="J119" s="7" t="n"/>
      <c r="K119" s="7">
        <f>IF($A119="","",N119*U119/100)</f>
        <v/>
      </c>
      <c r="L119" s="7">
        <f>IF($A119="","",N119-K119)</f>
        <v/>
      </c>
      <c r="M119" s="7">
        <f>IF($A119="","",L119-F119)</f>
        <v/>
      </c>
      <c r="N119" s="7" t="n"/>
      <c r="O119" s="7" t="n"/>
      <c r="P119" s="7" t="n"/>
      <c r="R119" s="14" t="n"/>
      <c r="V119">
        <f>IF($A119="","",IF(COUNTIF($A$2:$A119,$A119)=1,1,0))</f>
        <v/>
      </c>
      <c r="W119">
        <f>IF($V119=1,SUMPRODUCT(--($Y$2:$Y$1501&lt;$Y119))+1,"")</f>
        <v/>
      </c>
      <c r="X119">
        <f>IF($A119="","",IF(OR($T119=TRUE(),$T119="TRUE"),1,0))</f>
        <v/>
      </c>
      <c r="Y119">
        <f>IF($V119=1,IFERROR(IF(VALUE($A119)&lt;100000000,VALUE($A119),1000000000),IFERROR(IF(VALUE(MID($A119,2,20))&lt;100000000,VALUE(MID($A119,2,20)),1000000000),1000000000))+ROW()/100000,"")</f>
        <v/>
      </c>
    </row>
    <row r="120">
      <c r="F120" s="7">
        <f>IF($A120="","",E120*L120/100)</f>
        <v/>
      </c>
      <c r="J120" s="7" t="n"/>
      <c r="K120" s="7">
        <f>IF($A120="","",N120*U120/100)</f>
        <v/>
      </c>
      <c r="L120" s="7">
        <f>IF($A120="","",N120-K120)</f>
        <v/>
      </c>
      <c r="M120" s="7">
        <f>IF($A120="","",L120-F120)</f>
        <v/>
      </c>
      <c r="N120" s="7" t="n"/>
      <c r="O120" s="7" t="n"/>
      <c r="P120" s="7" t="n"/>
      <c r="R120" s="14" t="n"/>
      <c r="V120">
        <f>IF($A120="","",IF(COUNTIF($A$2:$A120,$A120)=1,1,0))</f>
        <v/>
      </c>
      <c r="W120">
        <f>IF($V120=1,SUMPRODUCT(--($Y$2:$Y$1501&lt;$Y120))+1,"")</f>
        <v/>
      </c>
      <c r="X120">
        <f>IF($A120="","",IF(OR($T120=TRUE(),$T120="TRUE"),1,0))</f>
        <v/>
      </c>
      <c r="Y120">
        <f>IF($V120=1,IFERROR(IF(VALUE($A120)&lt;100000000,VALUE($A120),1000000000),IFERROR(IF(VALUE(MID($A120,2,20))&lt;100000000,VALUE(MID($A120,2,20)),1000000000),1000000000))+ROW()/100000,"")</f>
        <v/>
      </c>
    </row>
    <row r="121">
      <c r="F121" s="7">
        <f>IF($A121="","",E121*L121/100)</f>
        <v/>
      </c>
      <c r="J121" s="7" t="n"/>
      <c r="K121" s="7">
        <f>IF($A121="","",N121*U121/100)</f>
        <v/>
      </c>
      <c r="L121" s="7">
        <f>IF($A121="","",N121-K121)</f>
        <v/>
      </c>
      <c r="M121" s="7">
        <f>IF($A121="","",L121-F121)</f>
        <v/>
      </c>
      <c r="N121" s="7" t="n"/>
      <c r="O121" s="7" t="n"/>
      <c r="P121" s="7" t="n"/>
      <c r="R121" s="14" t="n"/>
      <c r="V121">
        <f>IF($A121="","",IF(COUNTIF($A$2:$A121,$A121)=1,1,0))</f>
        <v/>
      </c>
      <c r="W121">
        <f>IF($V121=1,SUMPRODUCT(--($Y$2:$Y$1501&lt;$Y121))+1,"")</f>
        <v/>
      </c>
      <c r="X121">
        <f>IF($A121="","",IF(OR($T121=TRUE(),$T121="TRUE"),1,0))</f>
        <v/>
      </c>
      <c r="Y121">
        <f>IF($V121=1,IFERROR(IF(VALUE($A121)&lt;100000000,VALUE($A121),1000000000),IFERROR(IF(VALUE(MID($A121,2,20))&lt;100000000,VALUE(MID($A121,2,20)),1000000000),1000000000))+ROW()/100000,"")</f>
        <v/>
      </c>
    </row>
    <row r="122">
      <c r="F122" s="7">
        <f>IF($A122="","",E122*L122/100)</f>
        <v/>
      </c>
      <c r="J122" s="7" t="n"/>
      <c r="K122" s="7">
        <f>IF($A122="","",N122*U122/100)</f>
        <v/>
      </c>
      <c r="L122" s="7">
        <f>IF($A122="","",N122-K122)</f>
        <v/>
      </c>
      <c r="M122" s="7">
        <f>IF($A122="","",L122-F122)</f>
        <v/>
      </c>
      <c r="N122" s="7" t="n"/>
      <c r="O122" s="7" t="n"/>
      <c r="P122" s="7" t="n"/>
      <c r="R122" s="14" t="n"/>
      <c r="V122">
        <f>IF($A122="","",IF(COUNTIF($A$2:$A122,$A122)=1,1,0))</f>
        <v/>
      </c>
      <c r="W122">
        <f>IF($V122=1,SUMPRODUCT(--($Y$2:$Y$1501&lt;$Y122))+1,"")</f>
        <v/>
      </c>
      <c r="X122">
        <f>IF($A122="","",IF(OR($T122=TRUE(),$T122="TRUE"),1,0))</f>
        <v/>
      </c>
      <c r="Y122">
        <f>IF($V122=1,IFERROR(IF(VALUE($A122)&lt;100000000,VALUE($A122),1000000000),IFERROR(IF(VALUE(MID($A122,2,20))&lt;100000000,VALUE(MID($A122,2,20)),1000000000),1000000000))+ROW()/100000,"")</f>
        <v/>
      </c>
    </row>
    <row r="123">
      <c r="F123" s="7">
        <f>IF($A123="","",E123*L123/100)</f>
        <v/>
      </c>
      <c r="J123" s="7" t="n"/>
      <c r="K123" s="7">
        <f>IF($A123="","",N123*U123/100)</f>
        <v/>
      </c>
      <c r="L123" s="7">
        <f>IF($A123="","",N123-K123)</f>
        <v/>
      </c>
      <c r="M123" s="7">
        <f>IF($A123="","",L123-F123)</f>
        <v/>
      </c>
      <c r="N123" s="7" t="n"/>
      <c r="O123" s="7" t="n"/>
      <c r="P123" s="7" t="n"/>
      <c r="R123" s="14" t="n"/>
      <c r="V123">
        <f>IF($A123="","",IF(COUNTIF($A$2:$A123,$A123)=1,1,0))</f>
        <v/>
      </c>
      <c r="W123">
        <f>IF($V123=1,SUMPRODUCT(--($Y$2:$Y$1501&lt;$Y123))+1,"")</f>
        <v/>
      </c>
      <c r="X123">
        <f>IF($A123="","",IF(OR($T123=TRUE(),$T123="TRUE"),1,0))</f>
        <v/>
      </c>
      <c r="Y123">
        <f>IF($V123=1,IFERROR(IF(VALUE($A123)&lt;100000000,VALUE($A123),1000000000),IFERROR(IF(VALUE(MID($A123,2,20))&lt;100000000,VALUE(MID($A123,2,20)),1000000000),1000000000))+ROW()/100000,"")</f>
        <v/>
      </c>
    </row>
    <row r="124">
      <c r="F124" s="7">
        <f>IF($A124="","",E124*L124/100)</f>
        <v/>
      </c>
      <c r="J124" s="7" t="n"/>
      <c r="K124" s="7">
        <f>IF($A124="","",N124*U124/100)</f>
        <v/>
      </c>
      <c r="L124" s="7">
        <f>IF($A124="","",N124-K124)</f>
        <v/>
      </c>
      <c r="M124" s="7">
        <f>IF($A124="","",L124-F124)</f>
        <v/>
      </c>
      <c r="N124" s="7" t="n"/>
      <c r="O124" s="7" t="n"/>
      <c r="P124" s="7" t="n"/>
      <c r="R124" s="14" t="n"/>
      <c r="V124">
        <f>IF($A124="","",IF(COUNTIF($A$2:$A124,$A124)=1,1,0))</f>
        <v/>
      </c>
      <c r="W124">
        <f>IF($V124=1,SUMPRODUCT(--($Y$2:$Y$1501&lt;$Y124))+1,"")</f>
        <v/>
      </c>
      <c r="X124">
        <f>IF($A124="","",IF(OR($T124=TRUE(),$T124="TRUE"),1,0))</f>
        <v/>
      </c>
      <c r="Y124">
        <f>IF($V124=1,IFERROR(IF(VALUE($A124)&lt;100000000,VALUE($A124),1000000000),IFERROR(IF(VALUE(MID($A124,2,20))&lt;100000000,VALUE(MID($A124,2,20)),1000000000),1000000000))+ROW()/100000,"")</f>
        <v/>
      </c>
    </row>
    <row r="125">
      <c r="F125" s="7">
        <f>IF($A125="","",E125*L125/100)</f>
        <v/>
      </c>
      <c r="J125" s="7" t="n"/>
      <c r="K125" s="7">
        <f>IF($A125="","",N125*U125/100)</f>
        <v/>
      </c>
      <c r="L125" s="7">
        <f>IF($A125="","",N125-K125)</f>
        <v/>
      </c>
      <c r="M125" s="7">
        <f>IF($A125="","",L125-F125)</f>
        <v/>
      </c>
      <c r="N125" s="7" t="n"/>
      <c r="O125" s="7" t="n"/>
      <c r="P125" s="7" t="n"/>
      <c r="R125" s="14" t="n"/>
      <c r="V125">
        <f>IF($A125="","",IF(COUNTIF($A$2:$A125,$A125)=1,1,0))</f>
        <v/>
      </c>
      <c r="W125">
        <f>IF($V125=1,SUMPRODUCT(--($Y$2:$Y$1501&lt;$Y125))+1,"")</f>
        <v/>
      </c>
      <c r="X125">
        <f>IF($A125="","",IF(OR($T125=TRUE(),$T125="TRUE"),1,0))</f>
        <v/>
      </c>
      <c r="Y125">
        <f>IF($V125=1,IFERROR(IF(VALUE($A125)&lt;100000000,VALUE($A125),1000000000),IFERROR(IF(VALUE(MID($A125,2,20))&lt;100000000,VALUE(MID($A125,2,20)),1000000000),1000000000))+ROW()/100000,"")</f>
        <v/>
      </c>
    </row>
    <row r="126">
      <c r="F126" s="7">
        <f>IF($A126="","",E126*L126/100)</f>
        <v/>
      </c>
      <c r="J126" s="7" t="n"/>
      <c r="K126" s="7">
        <f>IF($A126="","",N126*U126/100)</f>
        <v/>
      </c>
      <c r="L126" s="7">
        <f>IF($A126="","",N126-K126)</f>
        <v/>
      </c>
      <c r="M126" s="7">
        <f>IF($A126="","",L126-F126)</f>
        <v/>
      </c>
      <c r="N126" s="7" t="n"/>
      <c r="O126" s="7" t="n"/>
      <c r="P126" s="7" t="n"/>
      <c r="R126" s="14" t="n"/>
      <c r="V126">
        <f>IF($A126="","",IF(COUNTIF($A$2:$A126,$A126)=1,1,0))</f>
        <v/>
      </c>
      <c r="W126">
        <f>IF($V126=1,SUMPRODUCT(--($Y$2:$Y$1501&lt;$Y126))+1,"")</f>
        <v/>
      </c>
      <c r="X126">
        <f>IF($A126="","",IF(OR($T126=TRUE(),$T126="TRUE"),1,0))</f>
        <v/>
      </c>
      <c r="Y126">
        <f>IF($V126=1,IFERROR(IF(VALUE($A126)&lt;100000000,VALUE($A126),1000000000),IFERROR(IF(VALUE(MID($A126,2,20))&lt;100000000,VALUE(MID($A126,2,20)),1000000000),1000000000))+ROW()/100000,"")</f>
        <v/>
      </c>
    </row>
    <row r="127">
      <c r="F127" s="7">
        <f>IF($A127="","",E127*L127/100)</f>
        <v/>
      </c>
      <c r="J127" s="7" t="n"/>
      <c r="K127" s="7">
        <f>IF($A127="","",N127*U127/100)</f>
        <v/>
      </c>
      <c r="L127" s="7">
        <f>IF($A127="","",N127-K127)</f>
        <v/>
      </c>
      <c r="M127" s="7">
        <f>IF($A127="","",L127-F127)</f>
        <v/>
      </c>
      <c r="N127" s="7" t="n"/>
      <c r="O127" s="7" t="n"/>
      <c r="P127" s="7" t="n"/>
      <c r="R127" s="14" t="n"/>
      <c r="V127">
        <f>IF($A127="","",IF(COUNTIF($A$2:$A127,$A127)=1,1,0))</f>
        <v/>
      </c>
      <c r="W127">
        <f>IF($V127=1,SUMPRODUCT(--($Y$2:$Y$1501&lt;$Y127))+1,"")</f>
        <v/>
      </c>
      <c r="X127">
        <f>IF($A127="","",IF(OR($T127=TRUE(),$T127="TRUE"),1,0))</f>
        <v/>
      </c>
      <c r="Y127">
        <f>IF($V127=1,IFERROR(IF(VALUE($A127)&lt;100000000,VALUE($A127),1000000000),IFERROR(IF(VALUE(MID($A127,2,20))&lt;100000000,VALUE(MID($A127,2,20)),1000000000),1000000000))+ROW()/100000,"")</f>
        <v/>
      </c>
    </row>
    <row r="128">
      <c r="F128" s="7">
        <f>IF($A128="","",E128*L128/100)</f>
        <v/>
      </c>
      <c r="J128" s="7" t="n"/>
      <c r="K128" s="7">
        <f>IF($A128="","",N128*U128/100)</f>
        <v/>
      </c>
      <c r="L128" s="7">
        <f>IF($A128="","",N128-K128)</f>
        <v/>
      </c>
      <c r="M128" s="7">
        <f>IF($A128="","",L128-F128)</f>
        <v/>
      </c>
      <c r="N128" s="7" t="n"/>
      <c r="O128" s="7" t="n"/>
      <c r="P128" s="7" t="n"/>
      <c r="R128" s="14" t="n"/>
      <c r="V128">
        <f>IF($A128="","",IF(COUNTIF($A$2:$A128,$A128)=1,1,0))</f>
        <v/>
      </c>
      <c r="W128">
        <f>IF($V128=1,SUMPRODUCT(--($Y$2:$Y$1501&lt;$Y128))+1,"")</f>
        <v/>
      </c>
      <c r="X128">
        <f>IF($A128="","",IF(OR($T128=TRUE(),$T128="TRUE"),1,0))</f>
        <v/>
      </c>
      <c r="Y128">
        <f>IF($V128=1,IFERROR(IF(VALUE($A128)&lt;100000000,VALUE($A128),1000000000),IFERROR(IF(VALUE(MID($A128,2,20))&lt;100000000,VALUE(MID($A128,2,20)),1000000000),1000000000))+ROW()/100000,"")</f>
        <v/>
      </c>
    </row>
    <row r="129">
      <c r="F129" s="7">
        <f>IF($A129="","",E129*L129/100)</f>
        <v/>
      </c>
      <c r="J129" s="7" t="n"/>
      <c r="K129" s="7">
        <f>IF($A129="","",N129*U129/100)</f>
        <v/>
      </c>
      <c r="L129" s="7">
        <f>IF($A129="","",N129-K129)</f>
        <v/>
      </c>
      <c r="M129" s="7">
        <f>IF($A129="","",L129-F129)</f>
        <v/>
      </c>
      <c r="N129" s="7" t="n"/>
      <c r="O129" s="7" t="n"/>
      <c r="P129" s="7" t="n"/>
      <c r="R129" s="14" t="n"/>
      <c r="V129">
        <f>IF($A129="","",IF(COUNTIF($A$2:$A129,$A129)=1,1,0))</f>
        <v/>
      </c>
      <c r="W129">
        <f>IF($V129=1,SUMPRODUCT(--($Y$2:$Y$1501&lt;$Y129))+1,"")</f>
        <v/>
      </c>
      <c r="X129">
        <f>IF($A129="","",IF(OR($T129=TRUE(),$T129="TRUE"),1,0))</f>
        <v/>
      </c>
      <c r="Y129">
        <f>IF($V129=1,IFERROR(IF(VALUE($A129)&lt;100000000,VALUE($A129),1000000000),IFERROR(IF(VALUE(MID($A129,2,20))&lt;100000000,VALUE(MID($A129,2,20)),1000000000),1000000000))+ROW()/100000,"")</f>
        <v/>
      </c>
    </row>
    <row r="130">
      <c r="F130" s="7">
        <f>IF($A130="","",E130*L130/100)</f>
        <v/>
      </c>
      <c r="J130" s="7" t="n"/>
      <c r="K130" s="7">
        <f>IF($A130="","",N130*U130/100)</f>
        <v/>
      </c>
      <c r="L130" s="7">
        <f>IF($A130="","",N130-K130)</f>
        <v/>
      </c>
      <c r="M130" s="7">
        <f>IF($A130="","",L130-F130)</f>
        <v/>
      </c>
      <c r="N130" s="7" t="n"/>
      <c r="O130" s="7" t="n"/>
      <c r="P130" s="7" t="n"/>
      <c r="R130" s="14" t="n"/>
      <c r="V130">
        <f>IF($A130="","",IF(COUNTIF($A$2:$A130,$A130)=1,1,0))</f>
        <v/>
      </c>
      <c r="W130">
        <f>IF($V130=1,SUMPRODUCT(--($Y$2:$Y$1501&lt;$Y130))+1,"")</f>
        <v/>
      </c>
      <c r="X130">
        <f>IF($A130="","",IF(OR($T130=TRUE(),$T130="TRUE"),1,0))</f>
        <v/>
      </c>
      <c r="Y130">
        <f>IF($V130=1,IFERROR(IF(VALUE($A130)&lt;100000000,VALUE($A130),1000000000),IFERROR(IF(VALUE(MID($A130,2,20))&lt;100000000,VALUE(MID($A130,2,20)),1000000000),1000000000))+ROW()/100000,"")</f>
        <v/>
      </c>
    </row>
    <row r="131">
      <c r="F131" s="7">
        <f>IF($A131="","",E131*L131/100)</f>
        <v/>
      </c>
      <c r="J131" s="7" t="n"/>
      <c r="K131" s="7">
        <f>IF($A131="","",N131*U131/100)</f>
        <v/>
      </c>
      <c r="L131" s="7">
        <f>IF($A131="","",N131-K131)</f>
        <v/>
      </c>
      <c r="M131" s="7">
        <f>IF($A131="","",L131-F131)</f>
        <v/>
      </c>
      <c r="N131" s="7" t="n"/>
      <c r="O131" s="7" t="n"/>
      <c r="P131" s="7" t="n"/>
      <c r="R131" s="14" t="n"/>
      <c r="V131">
        <f>IF($A131="","",IF(COUNTIF($A$2:$A131,$A131)=1,1,0))</f>
        <v/>
      </c>
      <c r="W131">
        <f>IF($V131=1,SUMPRODUCT(--($Y$2:$Y$1501&lt;$Y131))+1,"")</f>
        <v/>
      </c>
      <c r="X131">
        <f>IF($A131="","",IF(OR($T131=TRUE(),$T131="TRUE"),1,0))</f>
        <v/>
      </c>
      <c r="Y131">
        <f>IF($V131=1,IFERROR(IF(VALUE($A131)&lt;100000000,VALUE($A131),1000000000),IFERROR(IF(VALUE(MID($A131,2,20))&lt;100000000,VALUE(MID($A131,2,20)),1000000000),1000000000))+ROW()/100000,"")</f>
        <v/>
      </c>
    </row>
    <row r="132">
      <c r="F132" s="7">
        <f>IF($A132="","",E132*L132/100)</f>
        <v/>
      </c>
      <c r="J132" s="7" t="n"/>
      <c r="K132" s="7">
        <f>IF($A132="","",N132*U132/100)</f>
        <v/>
      </c>
      <c r="L132" s="7">
        <f>IF($A132="","",N132-K132)</f>
        <v/>
      </c>
      <c r="M132" s="7">
        <f>IF($A132="","",L132-F132)</f>
        <v/>
      </c>
      <c r="N132" s="7" t="n"/>
      <c r="O132" s="7" t="n"/>
      <c r="P132" s="7" t="n"/>
      <c r="R132" s="14" t="n"/>
      <c r="V132">
        <f>IF($A132="","",IF(COUNTIF($A$2:$A132,$A132)=1,1,0))</f>
        <v/>
      </c>
      <c r="W132">
        <f>IF($V132=1,SUMPRODUCT(--($Y$2:$Y$1501&lt;$Y132))+1,"")</f>
        <v/>
      </c>
      <c r="X132">
        <f>IF($A132="","",IF(OR($T132=TRUE(),$T132="TRUE"),1,0))</f>
        <v/>
      </c>
      <c r="Y132">
        <f>IF($V132=1,IFERROR(IF(VALUE($A132)&lt;100000000,VALUE($A132),1000000000),IFERROR(IF(VALUE(MID($A132,2,20))&lt;100000000,VALUE(MID($A132,2,20)),1000000000),1000000000))+ROW()/100000,"")</f>
        <v/>
      </c>
    </row>
    <row r="133">
      <c r="F133" s="7">
        <f>IF($A133="","",E133*L133/100)</f>
        <v/>
      </c>
      <c r="J133" s="7" t="n"/>
      <c r="K133" s="7">
        <f>IF($A133="","",N133*U133/100)</f>
        <v/>
      </c>
      <c r="L133" s="7">
        <f>IF($A133="","",N133-K133)</f>
        <v/>
      </c>
      <c r="M133" s="7">
        <f>IF($A133="","",L133-F133)</f>
        <v/>
      </c>
      <c r="N133" s="7" t="n"/>
      <c r="O133" s="7" t="n"/>
      <c r="P133" s="7" t="n"/>
      <c r="R133" s="14" t="n"/>
      <c r="V133">
        <f>IF($A133="","",IF(COUNTIF($A$2:$A133,$A133)=1,1,0))</f>
        <v/>
      </c>
      <c r="W133">
        <f>IF($V133=1,SUMPRODUCT(--($Y$2:$Y$1501&lt;$Y133))+1,"")</f>
        <v/>
      </c>
      <c r="X133">
        <f>IF($A133="","",IF(OR($T133=TRUE(),$T133="TRUE"),1,0))</f>
        <v/>
      </c>
      <c r="Y133">
        <f>IF($V133=1,IFERROR(IF(VALUE($A133)&lt;100000000,VALUE($A133),1000000000),IFERROR(IF(VALUE(MID($A133,2,20))&lt;100000000,VALUE(MID($A133,2,20)),1000000000),1000000000))+ROW()/100000,"")</f>
        <v/>
      </c>
    </row>
    <row r="134">
      <c r="F134" s="7">
        <f>IF($A134="","",E134*L134/100)</f>
        <v/>
      </c>
      <c r="J134" s="7" t="n"/>
      <c r="K134" s="7">
        <f>IF($A134="","",N134*U134/100)</f>
        <v/>
      </c>
      <c r="L134" s="7">
        <f>IF($A134="","",N134-K134)</f>
        <v/>
      </c>
      <c r="M134" s="7">
        <f>IF($A134="","",L134-F134)</f>
        <v/>
      </c>
      <c r="N134" s="7" t="n"/>
      <c r="O134" s="7" t="n"/>
      <c r="P134" s="7" t="n"/>
      <c r="R134" s="14" t="n"/>
      <c r="V134">
        <f>IF($A134="","",IF(COUNTIF($A$2:$A134,$A134)=1,1,0))</f>
        <v/>
      </c>
      <c r="W134">
        <f>IF($V134=1,SUMPRODUCT(--($Y$2:$Y$1501&lt;$Y134))+1,"")</f>
        <v/>
      </c>
      <c r="X134">
        <f>IF($A134="","",IF(OR($T134=TRUE(),$T134="TRUE"),1,0))</f>
        <v/>
      </c>
      <c r="Y134">
        <f>IF($V134=1,IFERROR(IF(VALUE($A134)&lt;100000000,VALUE($A134),1000000000),IFERROR(IF(VALUE(MID($A134,2,20))&lt;100000000,VALUE(MID($A134,2,20)),1000000000),1000000000))+ROW()/100000,"")</f>
        <v/>
      </c>
    </row>
    <row r="135">
      <c r="F135" s="7">
        <f>IF($A135="","",E135*L135/100)</f>
        <v/>
      </c>
      <c r="J135" s="7" t="n"/>
      <c r="K135" s="7">
        <f>IF($A135="","",N135*U135/100)</f>
        <v/>
      </c>
      <c r="L135" s="7">
        <f>IF($A135="","",N135-K135)</f>
        <v/>
      </c>
      <c r="M135" s="7">
        <f>IF($A135="","",L135-F135)</f>
        <v/>
      </c>
      <c r="N135" s="7" t="n"/>
      <c r="O135" s="7" t="n"/>
      <c r="P135" s="7" t="n"/>
      <c r="R135" s="14" t="n"/>
      <c r="V135">
        <f>IF($A135="","",IF(COUNTIF($A$2:$A135,$A135)=1,1,0))</f>
        <v/>
      </c>
      <c r="W135">
        <f>IF($V135=1,SUMPRODUCT(--($Y$2:$Y$1501&lt;$Y135))+1,"")</f>
        <v/>
      </c>
      <c r="X135">
        <f>IF($A135="","",IF(OR($T135=TRUE(),$T135="TRUE"),1,0))</f>
        <v/>
      </c>
      <c r="Y135">
        <f>IF($V135=1,IFERROR(IF(VALUE($A135)&lt;100000000,VALUE($A135),1000000000),IFERROR(IF(VALUE(MID($A135,2,20))&lt;100000000,VALUE(MID($A135,2,20)),1000000000),1000000000))+ROW()/100000,"")</f>
        <v/>
      </c>
    </row>
    <row r="136">
      <c r="F136" s="7">
        <f>IF($A136="","",E136*L136/100)</f>
        <v/>
      </c>
      <c r="J136" s="7" t="n"/>
      <c r="K136" s="7">
        <f>IF($A136="","",N136*U136/100)</f>
        <v/>
      </c>
      <c r="L136" s="7">
        <f>IF($A136="","",N136-K136)</f>
        <v/>
      </c>
      <c r="M136" s="7">
        <f>IF($A136="","",L136-F136)</f>
        <v/>
      </c>
      <c r="N136" s="7" t="n"/>
      <c r="O136" s="7" t="n"/>
      <c r="P136" s="7" t="n"/>
      <c r="R136" s="14" t="n"/>
      <c r="V136">
        <f>IF($A136="","",IF(COUNTIF($A$2:$A136,$A136)=1,1,0))</f>
        <v/>
      </c>
      <c r="W136">
        <f>IF($V136=1,SUMPRODUCT(--($Y$2:$Y$1501&lt;$Y136))+1,"")</f>
        <v/>
      </c>
      <c r="X136">
        <f>IF($A136="","",IF(OR($T136=TRUE(),$T136="TRUE"),1,0))</f>
        <v/>
      </c>
      <c r="Y136">
        <f>IF($V136=1,IFERROR(IF(VALUE($A136)&lt;100000000,VALUE($A136),1000000000),IFERROR(IF(VALUE(MID($A136,2,20))&lt;100000000,VALUE(MID($A136,2,20)),1000000000),1000000000))+ROW()/100000,"")</f>
        <v/>
      </c>
    </row>
    <row r="137">
      <c r="F137" s="7">
        <f>IF($A137="","",E137*L137/100)</f>
        <v/>
      </c>
      <c r="J137" s="7" t="n"/>
      <c r="K137" s="7">
        <f>IF($A137="","",N137*U137/100)</f>
        <v/>
      </c>
      <c r="L137" s="7">
        <f>IF($A137="","",N137-K137)</f>
        <v/>
      </c>
      <c r="M137" s="7">
        <f>IF($A137="","",L137-F137)</f>
        <v/>
      </c>
      <c r="N137" s="7" t="n"/>
      <c r="O137" s="7" t="n"/>
      <c r="P137" s="7" t="n"/>
      <c r="R137" s="14" t="n"/>
      <c r="V137">
        <f>IF($A137="","",IF(COUNTIF($A$2:$A137,$A137)=1,1,0))</f>
        <v/>
      </c>
      <c r="W137">
        <f>IF($V137=1,SUMPRODUCT(--($Y$2:$Y$1501&lt;$Y137))+1,"")</f>
        <v/>
      </c>
      <c r="X137">
        <f>IF($A137="","",IF(OR($T137=TRUE(),$T137="TRUE"),1,0))</f>
        <v/>
      </c>
      <c r="Y137">
        <f>IF($V137=1,IFERROR(IF(VALUE($A137)&lt;100000000,VALUE($A137),1000000000),IFERROR(IF(VALUE(MID($A137,2,20))&lt;100000000,VALUE(MID($A137,2,20)),1000000000),1000000000))+ROW()/100000,"")</f>
        <v/>
      </c>
    </row>
    <row r="138">
      <c r="F138" s="7">
        <f>IF($A138="","",E138*L138/100)</f>
        <v/>
      </c>
      <c r="J138" s="7" t="n"/>
      <c r="K138" s="7">
        <f>IF($A138="","",N138*U138/100)</f>
        <v/>
      </c>
      <c r="L138" s="7">
        <f>IF($A138="","",N138-K138)</f>
        <v/>
      </c>
      <c r="M138" s="7">
        <f>IF($A138="","",L138-F138)</f>
        <v/>
      </c>
      <c r="N138" s="7" t="n"/>
      <c r="O138" s="7" t="n"/>
      <c r="P138" s="7" t="n"/>
      <c r="R138" s="14" t="n"/>
      <c r="V138">
        <f>IF($A138="","",IF(COUNTIF($A$2:$A138,$A138)=1,1,0))</f>
        <v/>
      </c>
      <c r="W138">
        <f>IF($V138=1,SUMPRODUCT(--($Y$2:$Y$1501&lt;$Y138))+1,"")</f>
        <v/>
      </c>
      <c r="X138">
        <f>IF($A138="","",IF(OR($T138=TRUE(),$T138="TRUE"),1,0))</f>
        <v/>
      </c>
      <c r="Y138">
        <f>IF($V138=1,IFERROR(IF(VALUE($A138)&lt;100000000,VALUE($A138),1000000000),IFERROR(IF(VALUE(MID($A138,2,20))&lt;100000000,VALUE(MID($A138,2,20)),1000000000),1000000000))+ROW()/100000,"")</f>
        <v/>
      </c>
    </row>
    <row r="139">
      <c r="F139" s="7">
        <f>IF($A139="","",E139*L139/100)</f>
        <v/>
      </c>
      <c r="J139" s="7" t="n"/>
      <c r="K139" s="7">
        <f>IF($A139="","",N139*U139/100)</f>
        <v/>
      </c>
      <c r="L139" s="7">
        <f>IF($A139="","",N139-K139)</f>
        <v/>
      </c>
      <c r="M139" s="7">
        <f>IF($A139="","",L139-F139)</f>
        <v/>
      </c>
      <c r="N139" s="7" t="n"/>
      <c r="O139" s="7" t="n"/>
      <c r="P139" s="7" t="n"/>
      <c r="R139" s="14" t="n"/>
      <c r="V139">
        <f>IF($A139="","",IF(COUNTIF($A$2:$A139,$A139)=1,1,0))</f>
        <v/>
      </c>
      <c r="W139">
        <f>IF($V139=1,SUMPRODUCT(--($Y$2:$Y$1501&lt;$Y139))+1,"")</f>
        <v/>
      </c>
      <c r="X139">
        <f>IF($A139="","",IF(OR($T139=TRUE(),$T139="TRUE"),1,0))</f>
        <v/>
      </c>
      <c r="Y139">
        <f>IF($V139=1,IFERROR(IF(VALUE($A139)&lt;100000000,VALUE($A139),1000000000),IFERROR(IF(VALUE(MID($A139,2,20))&lt;100000000,VALUE(MID($A139,2,20)),1000000000),1000000000))+ROW()/100000,"")</f>
        <v/>
      </c>
    </row>
    <row r="140">
      <c r="F140" s="7">
        <f>IF($A140="","",E140*L140/100)</f>
        <v/>
      </c>
      <c r="J140" s="7" t="n"/>
      <c r="K140" s="7">
        <f>IF($A140="","",N140*U140/100)</f>
        <v/>
      </c>
      <c r="L140" s="7">
        <f>IF($A140="","",N140-K140)</f>
        <v/>
      </c>
      <c r="M140" s="7">
        <f>IF($A140="","",L140-F140)</f>
        <v/>
      </c>
      <c r="N140" s="7" t="n"/>
      <c r="O140" s="7" t="n"/>
      <c r="P140" s="7" t="n"/>
      <c r="R140" s="14" t="n"/>
      <c r="V140">
        <f>IF($A140="","",IF(COUNTIF($A$2:$A140,$A140)=1,1,0))</f>
        <v/>
      </c>
      <c r="W140">
        <f>IF($V140=1,SUMPRODUCT(--($Y$2:$Y$1501&lt;$Y140))+1,"")</f>
        <v/>
      </c>
      <c r="X140">
        <f>IF($A140="","",IF(OR($T140=TRUE(),$T140="TRUE"),1,0))</f>
        <v/>
      </c>
      <c r="Y140">
        <f>IF($V140=1,IFERROR(IF(VALUE($A140)&lt;100000000,VALUE($A140),1000000000),IFERROR(IF(VALUE(MID($A140,2,20))&lt;100000000,VALUE(MID($A140,2,20)),1000000000),1000000000))+ROW()/100000,"")</f>
        <v/>
      </c>
    </row>
    <row r="141">
      <c r="F141" s="7">
        <f>IF($A141="","",E141*L141/100)</f>
        <v/>
      </c>
      <c r="J141" s="7" t="n"/>
      <c r="K141" s="7">
        <f>IF($A141="","",N141*U141/100)</f>
        <v/>
      </c>
      <c r="L141" s="7">
        <f>IF($A141="","",N141-K141)</f>
        <v/>
      </c>
      <c r="M141" s="7">
        <f>IF($A141="","",L141-F141)</f>
        <v/>
      </c>
      <c r="N141" s="7" t="n"/>
      <c r="O141" s="7" t="n"/>
      <c r="P141" s="7" t="n"/>
      <c r="R141" s="14" t="n"/>
      <c r="V141">
        <f>IF($A141="","",IF(COUNTIF($A$2:$A141,$A141)=1,1,0))</f>
        <v/>
      </c>
      <c r="W141">
        <f>IF($V141=1,SUMPRODUCT(--($Y$2:$Y$1501&lt;$Y141))+1,"")</f>
        <v/>
      </c>
      <c r="X141">
        <f>IF($A141="","",IF(OR($T141=TRUE(),$T141="TRUE"),1,0))</f>
        <v/>
      </c>
      <c r="Y141">
        <f>IF($V141=1,IFERROR(IF(VALUE($A141)&lt;100000000,VALUE($A141),1000000000),IFERROR(IF(VALUE(MID($A141,2,20))&lt;100000000,VALUE(MID($A141,2,20)),1000000000),1000000000))+ROW()/100000,"")</f>
        <v/>
      </c>
    </row>
    <row r="142">
      <c r="F142" s="7">
        <f>IF($A142="","",E142*L142/100)</f>
        <v/>
      </c>
      <c r="J142" s="7" t="n"/>
      <c r="K142" s="7">
        <f>IF($A142="","",N142*U142/100)</f>
        <v/>
      </c>
      <c r="L142" s="7">
        <f>IF($A142="","",N142-K142)</f>
        <v/>
      </c>
      <c r="M142" s="7">
        <f>IF($A142="","",L142-F142)</f>
        <v/>
      </c>
      <c r="N142" s="7" t="n"/>
      <c r="O142" s="7" t="n"/>
      <c r="P142" s="7" t="n"/>
      <c r="R142" s="14" t="n"/>
      <c r="V142">
        <f>IF($A142="","",IF(COUNTIF($A$2:$A142,$A142)=1,1,0))</f>
        <v/>
      </c>
      <c r="W142">
        <f>IF($V142=1,SUMPRODUCT(--($Y$2:$Y$1501&lt;$Y142))+1,"")</f>
        <v/>
      </c>
      <c r="X142">
        <f>IF($A142="","",IF(OR($T142=TRUE(),$T142="TRUE"),1,0))</f>
        <v/>
      </c>
      <c r="Y142">
        <f>IF($V142=1,IFERROR(IF(VALUE($A142)&lt;100000000,VALUE($A142),1000000000),IFERROR(IF(VALUE(MID($A142,2,20))&lt;100000000,VALUE(MID($A142,2,20)),1000000000),1000000000))+ROW()/100000,"")</f>
        <v/>
      </c>
    </row>
    <row r="143">
      <c r="F143" s="7">
        <f>IF($A143="","",E143*L143/100)</f>
        <v/>
      </c>
      <c r="J143" s="7" t="n"/>
      <c r="K143" s="7">
        <f>IF($A143="","",N143*U143/100)</f>
        <v/>
      </c>
      <c r="L143" s="7">
        <f>IF($A143="","",N143-K143)</f>
        <v/>
      </c>
      <c r="M143" s="7">
        <f>IF($A143="","",L143-F143)</f>
        <v/>
      </c>
      <c r="N143" s="7" t="n"/>
      <c r="O143" s="7" t="n"/>
      <c r="P143" s="7" t="n"/>
      <c r="R143" s="14" t="n"/>
      <c r="V143">
        <f>IF($A143="","",IF(COUNTIF($A$2:$A143,$A143)=1,1,0))</f>
        <v/>
      </c>
      <c r="W143">
        <f>IF($V143=1,SUMPRODUCT(--($Y$2:$Y$1501&lt;$Y143))+1,"")</f>
        <v/>
      </c>
      <c r="X143">
        <f>IF($A143="","",IF(OR($T143=TRUE(),$T143="TRUE"),1,0))</f>
        <v/>
      </c>
      <c r="Y143">
        <f>IF($V143=1,IFERROR(IF(VALUE($A143)&lt;100000000,VALUE($A143),1000000000),IFERROR(IF(VALUE(MID($A143,2,20))&lt;100000000,VALUE(MID($A143,2,20)),1000000000),1000000000))+ROW()/100000,"")</f>
        <v/>
      </c>
    </row>
    <row r="144">
      <c r="F144" s="7">
        <f>IF($A144="","",E144*L144/100)</f>
        <v/>
      </c>
      <c r="J144" s="7" t="n"/>
      <c r="K144" s="7">
        <f>IF($A144="","",N144*U144/100)</f>
        <v/>
      </c>
      <c r="L144" s="7">
        <f>IF($A144="","",N144-K144)</f>
        <v/>
      </c>
      <c r="M144" s="7">
        <f>IF($A144="","",L144-F144)</f>
        <v/>
      </c>
      <c r="N144" s="7" t="n"/>
      <c r="O144" s="7" t="n"/>
      <c r="P144" s="7" t="n"/>
      <c r="R144" s="14" t="n"/>
      <c r="V144">
        <f>IF($A144="","",IF(COUNTIF($A$2:$A144,$A144)=1,1,0))</f>
        <v/>
      </c>
      <c r="W144">
        <f>IF($V144=1,SUMPRODUCT(--($Y$2:$Y$1501&lt;$Y144))+1,"")</f>
        <v/>
      </c>
      <c r="X144">
        <f>IF($A144="","",IF(OR($T144=TRUE(),$T144="TRUE"),1,0))</f>
        <v/>
      </c>
      <c r="Y144">
        <f>IF($V144=1,IFERROR(IF(VALUE($A144)&lt;100000000,VALUE($A144),1000000000),IFERROR(IF(VALUE(MID($A144,2,20))&lt;100000000,VALUE(MID($A144,2,20)),1000000000),1000000000))+ROW()/100000,"")</f>
        <v/>
      </c>
    </row>
    <row r="145">
      <c r="F145" s="7">
        <f>IF($A145="","",E145*L145/100)</f>
        <v/>
      </c>
      <c r="J145" s="7" t="n"/>
      <c r="K145" s="7">
        <f>IF($A145="","",N145*U145/100)</f>
        <v/>
      </c>
      <c r="L145" s="7">
        <f>IF($A145="","",N145-K145)</f>
        <v/>
      </c>
      <c r="M145" s="7">
        <f>IF($A145="","",L145-F145)</f>
        <v/>
      </c>
      <c r="N145" s="7" t="n"/>
      <c r="O145" s="7" t="n"/>
      <c r="P145" s="7" t="n"/>
      <c r="R145" s="14" t="n"/>
      <c r="V145">
        <f>IF($A145="","",IF(COUNTIF($A$2:$A145,$A145)=1,1,0))</f>
        <v/>
      </c>
      <c r="W145">
        <f>IF($V145=1,SUMPRODUCT(--($Y$2:$Y$1501&lt;$Y145))+1,"")</f>
        <v/>
      </c>
      <c r="X145">
        <f>IF($A145="","",IF(OR($T145=TRUE(),$T145="TRUE"),1,0))</f>
        <v/>
      </c>
      <c r="Y145">
        <f>IF($V145=1,IFERROR(IF(VALUE($A145)&lt;100000000,VALUE($A145),1000000000),IFERROR(IF(VALUE(MID($A145,2,20))&lt;100000000,VALUE(MID($A145,2,20)),1000000000),1000000000))+ROW()/100000,"")</f>
        <v/>
      </c>
    </row>
    <row r="146">
      <c r="F146" s="7">
        <f>IF($A146="","",E146*L146/100)</f>
        <v/>
      </c>
      <c r="J146" s="7" t="n"/>
      <c r="K146" s="7">
        <f>IF($A146="","",N146*U146/100)</f>
        <v/>
      </c>
      <c r="L146" s="7">
        <f>IF($A146="","",N146-K146)</f>
        <v/>
      </c>
      <c r="M146" s="7">
        <f>IF($A146="","",L146-F146)</f>
        <v/>
      </c>
      <c r="N146" s="7" t="n"/>
      <c r="O146" s="7" t="n"/>
      <c r="P146" s="7" t="n"/>
      <c r="R146" s="14" t="n"/>
      <c r="V146">
        <f>IF($A146="","",IF(COUNTIF($A$2:$A146,$A146)=1,1,0))</f>
        <v/>
      </c>
      <c r="W146">
        <f>IF($V146=1,SUMPRODUCT(--($Y$2:$Y$1501&lt;$Y146))+1,"")</f>
        <v/>
      </c>
      <c r="X146">
        <f>IF($A146="","",IF(OR($T146=TRUE(),$T146="TRUE"),1,0))</f>
        <v/>
      </c>
      <c r="Y146">
        <f>IF($V146=1,IFERROR(IF(VALUE($A146)&lt;100000000,VALUE($A146),1000000000),IFERROR(IF(VALUE(MID($A146,2,20))&lt;100000000,VALUE(MID($A146,2,20)),1000000000),1000000000))+ROW()/100000,"")</f>
        <v/>
      </c>
    </row>
    <row r="147">
      <c r="F147" s="7">
        <f>IF($A147="","",E147*L147/100)</f>
        <v/>
      </c>
      <c r="J147" s="7" t="n"/>
      <c r="K147" s="7">
        <f>IF($A147="","",N147*U147/100)</f>
        <v/>
      </c>
      <c r="L147" s="7">
        <f>IF($A147="","",N147-K147)</f>
        <v/>
      </c>
      <c r="M147" s="7">
        <f>IF($A147="","",L147-F147)</f>
        <v/>
      </c>
      <c r="N147" s="7" t="n"/>
      <c r="O147" s="7" t="n"/>
      <c r="P147" s="7" t="n"/>
      <c r="R147" s="14" t="n"/>
      <c r="V147">
        <f>IF($A147="","",IF(COUNTIF($A$2:$A147,$A147)=1,1,0))</f>
        <v/>
      </c>
      <c r="W147">
        <f>IF($V147=1,SUMPRODUCT(--($Y$2:$Y$1501&lt;$Y147))+1,"")</f>
        <v/>
      </c>
      <c r="X147">
        <f>IF($A147="","",IF(OR($T147=TRUE(),$T147="TRUE"),1,0))</f>
        <v/>
      </c>
      <c r="Y147">
        <f>IF($V147=1,IFERROR(IF(VALUE($A147)&lt;100000000,VALUE($A147),1000000000),IFERROR(IF(VALUE(MID($A147,2,20))&lt;100000000,VALUE(MID($A147,2,20)),1000000000),1000000000))+ROW()/100000,"")</f>
        <v/>
      </c>
    </row>
    <row r="148">
      <c r="F148" s="7">
        <f>IF($A148="","",E148*L148/100)</f>
        <v/>
      </c>
      <c r="J148" s="7" t="n"/>
      <c r="K148" s="7">
        <f>IF($A148="","",N148*U148/100)</f>
        <v/>
      </c>
      <c r="L148" s="7">
        <f>IF($A148="","",N148-K148)</f>
        <v/>
      </c>
      <c r="M148" s="7">
        <f>IF($A148="","",L148-F148)</f>
        <v/>
      </c>
      <c r="N148" s="7" t="n"/>
      <c r="O148" s="7" t="n"/>
      <c r="P148" s="7" t="n"/>
      <c r="R148" s="14" t="n"/>
      <c r="V148">
        <f>IF($A148="","",IF(COUNTIF($A$2:$A148,$A148)=1,1,0))</f>
        <v/>
      </c>
      <c r="W148">
        <f>IF($V148=1,SUMPRODUCT(--($Y$2:$Y$1501&lt;$Y148))+1,"")</f>
        <v/>
      </c>
      <c r="X148">
        <f>IF($A148="","",IF(OR($T148=TRUE(),$T148="TRUE"),1,0))</f>
        <v/>
      </c>
      <c r="Y148">
        <f>IF($V148=1,IFERROR(IF(VALUE($A148)&lt;100000000,VALUE($A148),1000000000),IFERROR(IF(VALUE(MID($A148,2,20))&lt;100000000,VALUE(MID($A148,2,20)),1000000000),1000000000))+ROW()/100000,"")</f>
        <v/>
      </c>
    </row>
    <row r="149">
      <c r="F149" s="7">
        <f>IF($A149="","",E149*L149/100)</f>
        <v/>
      </c>
      <c r="J149" s="7" t="n"/>
      <c r="K149" s="7">
        <f>IF($A149="","",N149*U149/100)</f>
        <v/>
      </c>
      <c r="L149" s="7">
        <f>IF($A149="","",N149-K149)</f>
        <v/>
      </c>
      <c r="M149" s="7">
        <f>IF($A149="","",L149-F149)</f>
        <v/>
      </c>
      <c r="N149" s="7" t="n"/>
      <c r="O149" s="7" t="n"/>
      <c r="P149" s="7" t="n"/>
      <c r="R149" s="14" t="n"/>
      <c r="V149">
        <f>IF($A149="","",IF(COUNTIF($A$2:$A149,$A149)=1,1,0))</f>
        <v/>
      </c>
      <c r="W149">
        <f>IF($V149=1,SUMPRODUCT(--($Y$2:$Y$1501&lt;$Y149))+1,"")</f>
        <v/>
      </c>
      <c r="X149">
        <f>IF($A149="","",IF(OR($T149=TRUE(),$T149="TRUE"),1,0))</f>
        <v/>
      </c>
      <c r="Y149">
        <f>IF($V149=1,IFERROR(IF(VALUE($A149)&lt;100000000,VALUE($A149),1000000000),IFERROR(IF(VALUE(MID($A149,2,20))&lt;100000000,VALUE(MID($A149,2,20)),1000000000),1000000000))+ROW()/100000,"")</f>
        <v/>
      </c>
    </row>
    <row r="150">
      <c r="F150" s="7">
        <f>IF($A150="","",E150*L150/100)</f>
        <v/>
      </c>
      <c r="J150" s="7" t="n"/>
      <c r="K150" s="7">
        <f>IF($A150="","",N150*U150/100)</f>
        <v/>
      </c>
      <c r="L150" s="7">
        <f>IF($A150="","",N150-K150)</f>
        <v/>
      </c>
      <c r="M150" s="7">
        <f>IF($A150="","",L150-F150)</f>
        <v/>
      </c>
      <c r="N150" s="7" t="n"/>
      <c r="O150" s="7" t="n"/>
      <c r="P150" s="7" t="n"/>
      <c r="R150" s="14" t="n"/>
      <c r="V150">
        <f>IF($A150="","",IF(COUNTIF($A$2:$A150,$A150)=1,1,0))</f>
        <v/>
      </c>
      <c r="W150">
        <f>IF($V150=1,SUMPRODUCT(--($Y$2:$Y$1501&lt;$Y150))+1,"")</f>
        <v/>
      </c>
      <c r="X150">
        <f>IF($A150="","",IF(OR($T150=TRUE(),$T150="TRUE"),1,0))</f>
        <v/>
      </c>
      <c r="Y150">
        <f>IF($V150=1,IFERROR(IF(VALUE($A150)&lt;100000000,VALUE($A150),1000000000),IFERROR(IF(VALUE(MID($A150,2,20))&lt;100000000,VALUE(MID($A150,2,20)),1000000000),1000000000))+ROW()/100000,"")</f>
        <v/>
      </c>
    </row>
    <row r="151">
      <c r="F151" s="7">
        <f>IF($A151="","",E151*L151/100)</f>
        <v/>
      </c>
      <c r="J151" s="7" t="n"/>
      <c r="K151" s="7">
        <f>IF($A151="","",N151*U151/100)</f>
        <v/>
      </c>
      <c r="L151" s="7">
        <f>IF($A151="","",N151-K151)</f>
        <v/>
      </c>
      <c r="M151" s="7">
        <f>IF($A151="","",L151-F151)</f>
        <v/>
      </c>
      <c r="N151" s="7" t="n"/>
      <c r="O151" s="7" t="n"/>
      <c r="P151" s="7" t="n"/>
      <c r="R151" s="14" t="n"/>
      <c r="V151">
        <f>IF($A151="","",IF(COUNTIF($A$2:$A151,$A151)=1,1,0))</f>
        <v/>
      </c>
      <c r="W151">
        <f>IF($V151=1,SUMPRODUCT(--($Y$2:$Y$1501&lt;$Y151))+1,"")</f>
        <v/>
      </c>
      <c r="X151">
        <f>IF($A151="","",IF(OR($T151=TRUE(),$T151="TRUE"),1,0))</f>
        <v/>
      </c>
      <c r="Y151">
        <f>IF($V151=1,IFERROR(IF(VALUE($A151)&lt;100000000,VALUE($A151),1000000000),IFERROR(IF(VALUE(MID($A151,2,20))&lt;100000000,VALUE(MID($A151,2,20)),1000000000),1000000000))+ROW()/100000,"")</f>
        <v/>
      </c>
    </row>
    <row r="152">
      <c r="F152" s="7">
        <f>IF($A152="","",E152*L152/100)</f>
        <v/>
      </c>
      <c r="J152" s="7" t="n"/>
      <c r="K152" s="7">
        <f>IF($A152="","",N152*U152/100)</f>
        <v/>
      </c>
      <c r="L152" s="7">
        <f>IF($A152="","",N152-K152)</f>
        <v/>
      </c>
      <c r="M152" s="7">
        <f>IF($A152="","",L152-F152)</f>
        <v/>
      </c>
      <c r="N152" s="7" t="n"/>
      <c r="O152" s="7" t="n"/>
      <c r="P152" s="7" t="n"/>
      <c r="R152" s="14" t="n"/>
      <c r="V152">
        <f>IF($A152="","",IF(COUNTIF($A$2:$A152,$A152)=1,1,0))</f>
        <v/>
      </c>
      <c r="W152">
        <f>IF($V152=1,SUMPRODUCT(--($Y$2:$Y$1501&lt;$Y152))+1,"")</f>
        <v/>
      </c>
      <c r="X152">
        <f>IF($A152="","",IF(OR($T152=TRUE(),$T152="TRUE"),1,0))</f>
        <v/>
      </c>
      <c r="Y152">
        <f>IF($V152=1,IFERROR(IF(VALUE($A152)&lt;100000000,VALUE($A152),1000000000),IFERROR(IF(VALUE(MID($A152,2,20))&lt;100000000,VALUE(MID($A152,2,20)),1000000000),1000000000))+ROW()/100000,"")</f>
        <v/>
      </c>
    </row>
    <row r="153">
      <c r="F153" s="7">
        <f>IF($A153="","",E153*L153/100)</f>
        <v/>
      </c>
      <c r="J153" s="7" t="n"/>
      <c r="K153" s="7">
        <f>IF($A153="","",N153*U153/100)</f>
        <v/>
      </c>
      <c r="L153" s="7">
        <f>IF($A153="","",N153-K153)</f>
        <v/>
      </c>
      <c r="M153" s="7">
        <f>IF($A153="","",L153-F153)</f>
        <v/>
      </c>
      <c r="N153" s="7" t="n"/>
      <c r="O153" s="7" t="n"/>
      <c r="P153" s="7" t="n"/>
      <c r="R153" s="14" t="n"/>
      <c r="V153">
        <f>IF($A153="","",IF(COUNTIF($A$2:$A153,$A153)=1,1,0))</f>
        <v/>
      </c>
      <c r="W153">
        <f>IF($V153=1,SUMPRODUCT(--($Y$2:$Y$1501&lt;$Y153))+1,"")</f>
        <v/>
      </c>
      <c r="X153">
        <f>IF($A153="","",IF(OR($T153=TRUE(),$T153="TRUE"),1,0))</f>
        <v/>
      </c>
      <c r="Y153">
        <f>IF($V153=1,IFERROR(IF(VALUE($A153)&lt;100000000,VALUE($A153),1000000000),IFERROR(IF(VALUE(MID($A153,2,20))&lt;100000000,VALUE(MID($A153,2,20)),1000000000),1000000000))+ROW()/100000,"")</f>
        <v/>
      </c>
    </row>
    <row r="154">
      <c r="F154" s="7">
        <f>IF($A154="","",E154*L154/100)</f>
        <v/>
      </c>
      <c r="J154" s="7" t="n"/>
      <c r="K154" s="7">
        <f>IF($A154="","",N154*U154/100)</f>
        <v/>
      </c>
      <c r="L154" s="7">
        <f>IF($A154="","",N154-K154)</f>
        <v/>
      </c>
      <c r="M154" s="7">
        <f>IF($A154="","",L154-F154)</f>
        <v/>
      </c>
      <c r="N154" s="7" t="n"/>
      <c r="O154" s="7" t="n"/>
      <c r="P154" s="7" t="n"/>
      <c r="R154" s="14" t="n"/>
      <c r="V154">
        <f>IF($A154="","",IF(COUNTIF($A$2:$A154,$A154)=1,1,0))</f>
        <v/>
      </c>
      <c r="W154">
        <f>IF($V154=1,SUMPRODUCT(--($Y$2:$Y$1501&lt;$Y154))+1,"")</f>
        <v/>
      </c>
      <c r="X154">
        <f>IF($A154="","",IF(OR($T154=TRUE(),$T154="TRUE"),1,0))</f>
        <v/>
      </c>
      <c r="Y154">
        <f>IF($V154=1,IFERROR(IF(VALUE($A154)&lt;100000000,VALUE($A154),1000000000),IFERROR(IF(VALUE(MID($A154,2,20))&lt;100000000,VALUE(MID($A154,2,20)),1000000000),1000000000))+ROW()/100000,"")</f>
        <v/>
      </c>
    </row>
    <row r="155">
      <c r="F155" s="7">
        <f>IF($A155="","",E155*L155/100)</f>
        <v/>
      </c>
      <c r="J155" s="7" t="n"/>
      <c r="K155" s="7">
        <f>IF($A155="","",N155*U155/100)</f>
        <v/>
      </c>
      <c r="L155" s="7">
        <f>IF($A155="","",N155-K155)</f>
        <v/>
      </c>
      <c r="M155" s="7">
        <f>IF($A155="","",L155-F155)</f>
        <v/>
      </c>
      <c r="N155" s="7" t="n"/>
      <c r="O155" s="7" t="n"/>
      <c r="P155" s="7" t="n"/>
      <c r="R155" s="14" t="n"/>
      <c r="V155">
        <f>IF($A155="","",IF(COUNTIF($A$2:$A155,$A155)=1,1,0))</f>
        <v/>
      </c>
      <c r="W155">
        <f>IF($V155=1,SUMPRODUCT(--($Y$2:$Y$1501&lt;$Y155))+1,"")</f>
        <v/>
      </c>
      <c r="X155">
        <f>IF($A155="","",IF(OR($T155=TRUE(),$T155="TRUE"),1,0))</f>
        <v/>
      </c>
      <c r="Y155">
        <f>IF($V155=1,IFERROR(IF(VALUE($A155)&lt;100000000,VALUE($A155),1000000000),IFERROR(IF(VALUE(MID($A155,2,20))&lt;100000000,VALUE(MID($A155,2,20)),1000000000),1000000000))+ROW()/100000,"")</f>
        <v/>
      </c>
    </row>
    <row r="156">
      <c r="F156" s="7">
        <f>IF($A156="","",E156*L156/100)</f>
        <v/>
      </c>
      <c r="J156" s="7" t="n"/>
      <c r="K156" s="7">
        <f>IF($A156="","",N156*U156/100)</f>
        <v/>
      </c>
      <c r="L156" s="7">
        <f>IF($A156="","",N156-K156)</f>
        <v/>
      </c>
      <c r="M156" s="7">
        <f>IF($A156="","",L156-F156)</f>
        <v/>
      </c>
      <c r="N156" s="7" t="n"/>
      <c r="O156" s="7" t="n"/>
      <c r="P156" s="7" t="n"/>
      <c r="R156" s="14" t="n"/>
      <c r="V156">
        <f>IF($A156="","",IF(COUNTIF($A$2:$A156,$A156)=1,1,0))</f>
        <v/>
      </c>
      <c r="W156">
        <f>IF($V156=1,SUMPRODUCT(--($Y$2:$Y$1501&lt;$Y156))+1,"")</f>
        <v/>
      </c>
      <c r="X156">
        <f>IF($A156="","",IF(OR($T156=TRUE(),$T156="TRUE"),1,0))</f>
        <v/>
      </c>
      <c r="Y156">
        <f>IF($V156=1,IFERROR(IF(VALUE($A156)&lt;100000000,VALUE($A156),1000000000),IFERROR(IF(VALUE(MID($A156,2,20))&lt;100000000,VALUE(MID($A156,2,20)),1000000000),1000000000))+ROW()/100000,"")</f>
        <v/>
      </c>
    </row>
    <row r="157">
      <c r="F157" s="7">
        <f>IF($A157="","",E157*L157/100)</f>
        <v/>
      </c>
      <c r="J157" s="7" t="n"/>
      <c r="K157" s="7">
        <f>IF($A157="","",N157*U157/100)</f>
        <v/>
      </c>
      <c r="L157" s="7">
        <f>IF($A157="","",N157-K157)</f>
        <v/>
      </c>
      <c r="M157" s="7">
        <f>IF($A157="","",L157-F157)</f>
        <v/>
      </c>
      <c r="N157" s="7" t="n"/>
      <c r="O157" s="7" t="n"/>
      <c r="P157" s="7" t="n"/>
      <c r="R157" s="14" t="n"/>
      <c r="V157">
        <f>IF($A157="","",IF(COUNTIF($A$2:$A157,$A157)=1,1,0))</f>
        <v/>
      </c>
      <c r="W157">
        <f>IF($V157=1,SUMPRODUCT(--($Y$2:$Y$1501&lt;$Y157))+1,"")</f>
        <v/>
      </c>
      <c r="X157">
        <f>IF($A157="","",IF(OR($T157=TRUE(),$T157="TRUE"),1,0))</f>
        <v/>
      </c>
      <c r="Y157">
        <f>IF($V157=1,IFERROR(IF(VALUE($A157)&lt;100000000,VALUE($A157),1000000000),IFERROR(IF(VALUE(MID($A157,2,20))&lt;100000000,VALUE(MID($A157,2,20)),1000000000),1000000000))+ROW()/100000,"")</f>
        <v/>
      </c>
    </row>
    <row r="158">
      <c r="F158" s="7">
        <f>IF($A158="","",E158*L158/100)</f>
        <v/>
      </c>
      <c r="J158" s="7" t="n"/>
      <c r="K158" s="7">
        <f>IF($A158="","",N158*U158/100)</f>
        <v/>
      </c>
      <c r="L158" s="7">
        <f>IF($A158="","",N158-K158)</f>
        <v/>
      </c>
      <c r="M158" s="7">
        <f>IF($A158="","",L158-F158)</f>
        <v/>
      </c>
      <c r="N158" s="7" t="n"/>
      <c r="O158" s="7" t="n"/>
      <c r="P158" s="7" t="n"/>
      <c r="R158" s="14" t="n"/>
      <c r="V158">
        <f>IF($A158="","",IF(COUNTIF($A$2:$A158,$A158)=1,1,0))</f>
        <v/>
      </c>
      <c r="W158">
        <f>IF($V158=1,SUMPRODUCT(--($Y$2:$Y$1501&lt;$Y158))+1,"")</f>
        <v/>
      </c>
      <c r="X158">
        <f>IF($A158="","",IF(OR($T158=TRUE(),$T158="TRUE"),1,0))</f>
        <v/>
      </c>
      <c r="Y158">
        <f>IF($V158=1,IFERROR(IF(VALUE($A158)&lt;100000000,VALUE($A158),1000000000),IFERROR(IF(VALUE(MID($A158,2,20))&lt;100000000,VALUE(MID($A158,2,20)),1000000000),1000000000))+ROW()/100000,"")</f>
        <v/>
      </c>
    </row>
    <row r="159">
      <c r="F159" s="7">
        <f>IF($A159="","",E159*L159/100)</f>
        <v/>
      </c>
      <c r="J159" s="7" t="n"/>
      <c r="K159" s="7">
        <f>IF($A159="","",N159*U159/100)</f>
        <v/>
      </c>
      <c r="L159" s="7">
        <f>IF($A159="","",N159-K159)</f>
        <v/>
      </c>
      <c r="M159" s="7">
        <f>IF($A159="","",L159-F159)</f>
        <v/>
      </c>
      <c r="N159" s="7" t="n"/>
      <c r="O159" s="7" t="n"/>
      <c r="P159" s="7" t="n"/>
      <c r="R159" s="14" t="n"/>
      <c r="V159">
        <f>IF($A159="","",IF(COUNTIF($A$2:$A159,$A159)=1,1,0))</f>
        <v/>
      </c>
      <c r="W159">
        <f>IF($V159=1,SUMPRODUCT(--($Y$2:$Y$1501&lt;$Y159))+1,"")</f>
        <v/>
      </c>
      <c r="X159">
        <f>IF($A159="","",IF(OR($T159=TRUE(),$T159="TRUE"),1,0))</f>
        <v/>
      </c>
      <c r="Y159">
        <f>IF($V159=1,IFERROR(IF(VALUE($A159)&lt;100000000,VALUE($A159),1000000000),IFERROR(IF(VALUE(MID($A159,2,20))&lt;100000000,VALUE(MID($A159,2,20)),1000000000),1000000000))+ROW()/100000,"")</f>
        <v/>
      </c>
    </row>
    <row r="160">
      <c r="F160" s="7">
        <f>IF($A160="","",E160*L160/100)</f>
        <v/>
      </c>
      <c r="J160" s="7" t="n"/>
      <c r="K160" s="7">
        <f>IF($A160="","",N160*U160/100)</f>
        <v/>
      </c>
      <c r="L160" s="7">
        <f>IF($A160="","",N160-K160)</f>
        <v/>
      </c>
      <c r="M160" s="7">
        <f>IF($A160="","",L160-F160)</f>
        <v/>
      </c>
      <c r="N160" s="7" t="n"/>
      <c r="O160" s="7" t="n"/>
      <c r="P160" s="7" t="n"/>
      <c r="R160" s="14" t="n"/>
      <c r="V160">
        <f>IF($A160="","",IF(COUNTIF($A$2:$A160,$A160)=1,1,0))</f>
        <v/>
      </c>
      <c r="W160">
        <f>IF($V160=1,SUMPRODUCT(--($Y$2:$Y$1501&lt;$Y160))+1,"")</f>
        <v/>
      </c>
      <c r="X160">
        <f>IF($A160="","",IF(OR($T160=TRUE(),$T160="TRUE"),1,0))</f>
        <v/>
      </c>
      <c r="Y160">
        <f>IF($V160=1,IFERROR(IF(VALUE($A160)&lt;100000000,VALUE($A160),1000000000),IFERROR(IF(VALUE(MID($A160,2,20))&lt;100000000,VALUE(MID($A160,2,20)),1000000000),1000000000))+ROW()/100000,"")</f>
        <v/>
      </c>
    </row>
    <row r="161">
      <c r="F161" s="7">
        <f>IF($A161="","",E161*L161/100)</f>
        <v/>
      </c>
      <c r="J161" s="7" t="n"/>
      <c r="K161" s="7">
        <f>IF($A161="","",N161*U161/100)</f>
        <v/>
      </c>
      <c r="L161" s="7">
        <f>IF($A161="","",N161-K161)</f>
        <v/>
      </c>
      <c r="M161" s="7">
        <f>IF($A161="","",L161-F161)</f>
        <v/>
      </c>
      <c r="N161" s="7" t="n"/>
      <c r="O161" s="7" t="n"/>
      <c r="P161" s="7" t="n"/>
      <c r="R161" s="14" t="n"/>
      <c r="V161">
        <f>IF($A161="","",IF(COUNTIF($A$2:$A161,$A161)=1,1,0))</f>
        <v/>
      </c>
      <c r="W161">
        <f>IF($V161=1,SUMPRODUCT(--($Y$2:$Y$1501&lt;$Y161))+1,"")</f>
        <v/>
      </c>
      <c r="X161">
        <f>IF($A161="","",IF(OR($T161=TRUE(),$T161="TRUE"),1,0))</f>
        <v/>
      </c>
      <c r="Y161">
        <f>IF($V161=1,IFERROR(IF(VALUE($A161)&lt;100000000,VALUE($A161),1000000000),IFERROR(IF(VALUE(MID($A161,2,20))&lt;100000000,VALUE(MID($A161,2,20)),1000000000),1000000000))+ROW()/100000,"")</f>
        <v/>
      </c>
    </row>
    <row r="162">
      <c r="F162" s="7">
        <f>IF($A162="","",E162*L162/100)</f>
        <v/>
      </c>
      <c r="J162" s="7" t="n"/>
      <c r="K162" s="7">
        <f>IF($A162="","",N162*U162/100)</f>
        <v/>
      </c>
      <c r="L162" s="7">
        <f>IF($A162="","",N162-K162)</f>
        <v/>
      </c>
      <c r="M162" s="7">
        <f>IF($A162="","",L162-F162)</f>
        <v/>
      </c>
      <c r="N162" s="7" t="n"/>
      <c r="O162" s="7" t="n"/>
      <c r="P162" s="7" t="n"/>
      <c r="R162" s="14" t="n"/>
      <c r="V162">
        <f>IF($A162="","",IF(COUNTIF($A$2:$A162,$A162)=1,1,0))</f>
        <v/>
      </c>
      <c r="W162">
        <f>IF($V162=1,SUMPRODUCT(--($Y$2:$Y$1501&lt;$Y162))+1,"")</f>
        <v/>
      </c>
      <c r="X162">
        <f>IF($A162="","",IF(OR($T162=TRUE(),$T162="TRUE"),1,0))</f>
        <v/>
      </c>
      <c r="Y162">
        <f>IF($V162=1,IFERROR(IF(VALUE($A162)&lt;100000000,VALUE($A162),1000000000),IFERROR(IF(VALUE(MID($A162,2,20))&lt;100000000,VALUE(MID($A162,2,20)),1000000000),1000000000))+ROW()/100000,"")</f>
        <v/>
      </c>
    </row>
    <row r="163">
      <c r="F163" s="7">
        <f>IF($A163="","",E163*L163/100)</f>
        <v/>
      </c>
      <c r="J163" s="7" t="n"/>
      <c r="K163" s="7">
        <f>IF($A163="","",N163*U163/100)</f>
        <v/>
      </c>
      <c r="L163" s="7">
        <f>IF($A163="","",N163-K163)</f>
        <v/>
      </c>
      <c r="M163" s="7">
        <f>IF($A163="","",L163-F163)</f>
        <v/>
      </c>
      <c r="N163" s="7" t="n"/>
      <c r="O163" s="7" t="n"/>
      <c r="P163" s="7" t="n"/>
      <c r="R163" s="14" t="n"/>
      <c r="V163">
        <f>IF($A163="","",IF(COUNTIF($A$2:$A163,$A163)=1,1,0))</f>
        <v/>
      </c>
      <c r="W163">
        <f>IF($V163=1,SUMPRODUCT(--($Y$2:$Y$1501&lt;$Y163))+1,"")</f>
        <v/>
      </c>
      <c r="X163">
        <f>IF($A163="","",IF(OR($T163=TRUE(),$T163="TRUE"),1,0))</f>
        <v/>
      </c>
      <c r="Y163">
        <f>IF($V163=1,IFERROR(IF(VALUE($A163)&lt;100000000,VALUE($A163),1000000000),IFERROR(IF(VALUE(MID($A163,2,20))&lt;100000000,VALUE(MID($A163,2,20)),1000000000),1000000000))+ROW()/100000,"")</f>
        <v/>
      </c>
    </row>
    <row r="164">
      <c r="F164" s="7">
        <f>IF($A164="","",E164*L164/100)</f>
        <v/>
      </c>
      <c r="J164" s="7" t="n"/>
      <c r="K164" s="7">
        <f>IF($A164="","",N164*U164/100)</f>
        <v/>
      </c>
      <c r="L164" s="7">
        <f>IF($A164="","",N164-K164)</f>
        <v/>
      </c>
      <c r="M164" s="7">
        <f>IF($A164="","",L164-F164)</f>
        <v/>
      </c>
      <c r="N164" s="7" t="n"/>
      <c r="O164" s="7" t="n"/>
      <c r="P164" s="7" t="n"/>
      <c r="R164" s="14" t="n"/>
      <c r="V164">
        <f>IF($A164="","",IF(COUNTIF($A$2:$A164,$A164)=1,1,0))</f>
        <v/>
      </c>
      <c r="W164">
        <f>IF($V164=1,SUMPRODUCT(--($Y$2:$Y$1501&lt;$Y164))+1,"")</f>
        <v/>
      </c>
      <c r="X164">
        <f>IF($A164="","",IF(OR($T164=TRUE(),$T164="TRUE"),1,0))</f>
        <v/>
      </c>
      <c r="Y164">
        <f>IF($V164=1,IFERROR(IF(VALUE($A164)&lt;100000000,VALUE($A164),1000000000),IFERROR(IF(VALUE(MID($A164,2,20))&lt;100000000,VALUE(MID($A164,2,20)),1000000000),1000000000))+ROW()/100000,"")</f>
        <v/>
      </c>
    </row>
    <row r="165">
      <c r="F165" s="7">
        <f>IF($A165="","",E165*L165/100)</f>
        <v/>
      </c>
      <c r="J165" s="7" t="n"/>
      <c r="K165" s="7">
        <f>IF($A165="","",N165*U165/100)</f>
        <v/>
      </c>
      <c r="L165" s="7">
        <f>IF($A165="","",N165-K165)</f>
        <v/>
      </c>
      <c r="M165" s="7">
        <f>IF($A165="","",L165-F165)</f>
        <v/>
      </c>
      <c r="N165" s="7" t="n"/>
      <c r="O165" s="7" t="n"/>
      <c r="P165" s="7" t="n"/>
      <c r="R165" s="14" t="n"/>
      <c r="V165">
        <f>IF($A165="","",IF(COUNTIF($A$2:$A165,$A165)=1,1,0))</f>
        <v/>
      </c>
      <c r="W165">
        <f>IF($V165=1,SUMPRODUCT(--($Y$2:$Y$1501&lt;$Y165))+1,"")</f>
        <v/>
      </c>
      <c r="X165">
        <f>IF($A165="","",IF(OR($T165=TRUE(),$T165="TRUE"),1,0))</f>
        <v/>
      </c>
      <c r="Y165">
        <f>IF($V165=1,IFERROR(IF(VALUE($A165)&lt;100000000,VALUE($A165),1000000000),IFERROR(IF(VALUE(MID($A165,2,20))&lt;100000000,VALUE(MID($A165,2,20)),1000000000),1000000000))+ROW()/100000,"")</f>
        <v/>
      </c>
    </row>
    <row r="166">
      <c r="F166" s="7">
        <f>IF($A166="","",E166*L166/100)</f>
        <v/>
      </c>
      <c r="J166" s="7" t="n"/>
      <c r="K166" s="7">
        <f>IF($A166="","",N166*U166/100)</f>
        <v/>
      </c>
      <c r="L166" s="7">
        <f>IF($A166="","",N166-K166)</f>
        <v/>
      </c>
      <c r="M166" s="7">
        <f>IF($A166="","",L166-F166)</f>
        <v/>
      </c>
      <c r="N166" s="7" t="n"/>
      <c r="O166" s="7" t="n"/>
      <c r="P166" s="7" t="n"/>
      <c r="R166" s="14" t="n"/>
      <c r="V166">
        <f>IF($A166="","",IF(COUNTIF($A$2:$A166,$A166)=1,1,0))</f>
        <v/>
      </c>
      <c r="W166">
        <f>IF($V166=1,SUMPRODUCT(--($Y$2:$Y$1501&lt;$Y166))+1,"")</f>
        <v/>
      </c>
      <c r="X166">
        <f>IF($A166="","",IF(OR($T166=TRUE(),$T166="TRUE"),1,0))</f>
        <v/>
      </c>
      <c r="Y166">
        <f>IF($V166=1,IFERROR(IF(VALUE($A166)&lt;100000000,VALUE($A166),1000000000),IFERROR(IF(VALUE(MID($A166,2,20))&lt;100000000,VALUE(MID($A166,2,20)),1000000000),1000000000))+ROW()/100000,"")</f>
        <v/>
      </c>
    </row>
    <row r="167">
      <c r="F167" s="7">
        <f>IF($A167="","",E167*L167/100)</f>
        <v/>
      </c>
      <c r="J167" s="7" t="n"/>
      <c r="K167" s="7">
        <f>IF($A167="","",N167*U167/100)</f>
        <v/>
      </c>
      <c r="L167" s="7">
        <f>IF($A167="","",N167-K167)</f>
        <v/>
      </c>
      <c r="M167" s="7">
        <f>IF($A167="","",L167-F167)</f>
        <v/>
      </c>
      <c r="N167" s="7" t="n"/>
      <c r="O167" s="7" t="n"/>
      <c r="P167" s="7" t="n"/>
      <c r="R167" s="14" t="n"/>
      <c r="V167">
        <f>IF($A167="","",IF(COUNTIF($A$2:$A167,$A167)=1,1,0))</f>
        <v/>
      </c>
      <c r="W167">
        <f>IF($V167=1,SUMPRODUCT(--($Y$2:$Y$1501&lt;$Y167))+1,"")</f>
        <v/>
      </c>
      <c r="X167">
        <f>IF($A167="","",IF(OR($T167=TRUE(),$T167="TRUE"),1,0))</f>
        <v/>
      </c>
      <c r="Y167">
        <f>IF($V167=1,IFERROR(IF(VALUE($A167)&lt;100000000,VALUE($A167),1000000000),IFERROR(IF(VALUE(MID($A167,2,20))&lt;100000000,VALUE(MID($A167,2,20)),1000000000),1000000000))+ROW()/100000,"")</f>
        <v/>
      </c>
    </row>
    <row r="168">
      <c r="F168" s="7">
        <f>IF($A168="","",E168*L168/100)</f>
        <v/>
      </c>
      <c r="J168" s="7" t="n"/>
      <c r="K168" s="7">
        <f>IF($A168="","",N168*U168/100)</f>
        <v/>
      </c>
      <c r="L168" s="7">
        <f>IF($A168="","",N168-K168)</f>
        <v/>
      </c>
      <c r="M168" s="7">
        <f>IF($A168="","",L168-F168)</f>
        <v/>
      </c>
      <c r="N168" s="7" t="n"/>
      <c r="O168" s="7" t="n"/>
      <c r="P168" s="7" t="n"/>
      <c r="R168" s="14" t="n"/>
      <c r="V168">
        <f>IF($A168="","",IF(COUNTIF($A$2:$A168,$A168)=1,1,0))</f>
        <v/>
      </c>
      <c r="W168">
        <f>IF($V168=1,SUMPRODUCT(--($Y$2:$Y$1501&lt;$Y168))+1,"")</f>
        <v/>
      </c>
      <c r="X168">
        <f>IF($A168="","",IF(OR($T168=TRUE(),$T168="TRUE"),1,0))</f>
        <v/>
      </c>
      <c r="Y168">
        <f>IF($V168=1,IFERROR(IF(VALUE($A168)&lt;100000000,VALUE($A168),1000000000),IFERROR(IF(VALUE(MID($A168,2,20))&lt;100000000,VALUE(MID($A168,2,20)),1000000000),1000000000))+ROW()/100000,"")</f>
        <v/>
      </c>
    </row>
    <row r="169">
      <c r="F169" s="7">
        <f>IF($A169="","",E169*L169/100)</f>
        <v/>
      </c>
      <c r="J169" s="7" t="n"/>
      <c r="K169" s="7">
        <f>IF($A169="","",N169*U169/100)</f>
        <v/>
      </c>
      <c r="L169" s="7">
        <f>IF($A169="","",N169-K169)</f>
        <v/>
      </c>
      <c r="M169" s="7">
        <f>IF($A169="","",L169-F169)</f>
        <v/>
      </c>
      <c r="N169" s="7" t="n"/>
      <c r="O169" s="7" t="n"/>
      <c r="P169" s="7" t="n"/>
      <c r="R169" s="14" t="n"/>
      <c r="V169">
        <f>IF($A169="","",IF(COUNTIF($A$2:$A169,$A169)=1,1,0))</f>
        <v/>
      </c>
      <c r="W169">
        <f>IF($V169=1,SUMPRODUCT(--($Y$2:$Y$1501&lt;$Y169))+1,"")</f>
        <v/>
      </c>
      <c r="X169">
        <f>IF($A169="","",IF(OR($T169=TRUE(),$T169="TRUE"),1,0))</f>
        <v/>
      </c>
      <c r="Y169">
        <f>IF($V169=1,IFERROR(IF(VALUE($A169)&lt;100000000,VALUE($A169),1000000000),IFERROR(IF(VALUE(MID($A169,2,20))&lt;100000000,VALUE(MID($A169,2,20)),1000000000),1000000000))+ROW()/100000,"")</f>
        <v/>
      </c>
    </row>
    <row r="170">
      <c r="F170" s="7">
        <f>IF($A170="","",E170*L170/100)</f>
        <v/>
      </c>
      <c r="J170" s="7" t="n"/>
      <c r="K170" s="7">
        <f>IF($A170="","",N170*U170/100)</f>
        <v/>
      </c>
      <c r="L170" s="7">
        <f>IF($A170="","",N170-K170)</f>
        <v/>
      </c>
      <c r="M170" s="7">
        <f>IF($A170="","",L170-F170)</f>
        <v/>
      </c>
      <c r="N170" s="7" t="n"/>
      <c r="O170" s="7" t="n"/>
      <c r="P170" s="7" t="n"/>
      <c r="R170" s="14" t="n"/>
      <c r="V170">
        <f>IF($A170="","",IF(COUNTIF($A$2:$A170,$A170)=1,1,0))</f>
        <v/>
      </c>
      <c r="W170">
        <f>IF($V170=1,SUMPRODUCT(--($Y$2:$Y$1501&lt;$Y170))+1,"")</f>
        <v/>
      </c>
      <c r="X170">
        <f>IF($A170="","",IF(OR($T170=TRUE(),$T170="TRUE"),1,0))</f>
        <v/>
      </c>
      <c r="Y170">
        <f>IF($V170=1,IFERROR(IF(VALUE($A170)&lt;100000000,VALUE($A170),1000000000),IFERROR(IF(VALUE(MID($A170,2,20))&lt;100000000,VALUE(MID($A170,2,20)),1000000000),1000000000))+ROW()/100000,"")</f>
        <v/>
      </c>
    </row>
    <row r="171">
      <c r="F171" s="7">
        <f>IF($A171="","",E171*L171/100)</f>
        <v/>
      </c>
      <c r="J171" s="7" t="n"/>
      <c r="K171" s="7">
        <f>IF($A171="","",N171*U171/100)</f>
        <v/>
      </c>
      <c r="L171" s="7">
        <f>IF($A171="","",N171-K171)</f>
        <v/>
      </c>
      <c r="M171" s="7">
        <f>IF($A171="","",L171-F171)</f>
        <v/>
      </c>
      <c r="N171" s="7" t="n"/>
      <c r="O171" s="7" t="n"/>
      <c r="P171" s="7" t="n"/>
      <c r="R171" s="14" t="n"/>
      <c r="V171">
        <f>IF($A171="","",IF(COUNTIF($A$2:$A171,$A171)=1,1,0))</f>
        <v/>
      </c>
      <c r="W171">
        <f>IF($V171=1,SUMPRODUCT(--($Y$2:$Y$1501&lt;$Y171))+1,"")</f>
        <v/>
      </c>
      <c r="X171">
        <f>IF($A171="","",IF(OR($T171=TRUE(),$T171="TRUE"),1,0))</f>
        <v/>
      </c>
      <c r="Y171">
        <f>IF($V171=1,IFERROR(IF(VALUE($A171)&lt;100000000,VALUE($A171),1000000000),IFERROR(IF(VALUE(MID($A171,2,20))&lt;100000000,VALUE(MID($A171,2,20)),1000000000),1000000000))+ROW()/100000,"")</f>
        <v/>
      </c>
    </row>
    <row r="172">
      <c r="F172" s="7">
        <f>IF($A172="","",E172*L172/100)</f>
        <v/>
      </c>
      <c r="J172" s="7" t="n"/>
      <c r="K172" s="7">
        <f>IF($A172="","",N172*U172/100)</f>
        <v/>
      </c>
      <c r="L172" s="7">
        <f>IF($A172="","",N172-K172)</f>
        <v/>
      </c>
      <c r="M172" s="7">
        <f>IF($A172="","",L172-F172)</f>
        <v/>
      </c>
      <c r="N172" s="7" t="n"/>
      <c r="O172" s="7" t="n"/>
      <c r="P172" s="7" t="n"/>
      <c r="R172" s="14" t="n"/>
      <c r="V172">
        <f>IF($A172="","",IF(COUNTIF($A$2:$A172,$A172)=1,1,0))</f>
        <v/>
      </c>
      <c r="W172">
        <f>IF($V172=1,SUMPRODUCT(--($Y$2:$Y$1501&lt;$Y172))+1,"")</f>
        <v/>
      </c>
      <c r="X172">
        <f>IF($A172="","",IF(OR($T172=TRUE(),$T172="TRUE"),1,0))</f>
        <v/>
      </c>
      <c r="Y172">
        <f>IF($V172=1,IFERROR(IF(VALUE($A172)&lt;100000000,VALUE($A172),1000000000),IFERROR(IF(VALUE(MID($A172,2,20))&lt;100000000,VALUE(MID($A172,2,20)),1000000000),1000000000))+ROW()/100000,"")</f>
        <v/>
      </c>
    </row>
    <row r="173">
      <c r="F173" s="7">
        <f>IF($A173="","",E173*L173/100)</f>
        <v/>
      </c>
      <c r="J173" s="7" t="n"/>
      <c r="K173" s="7">
        <f>IF($A173="","",N173*U173/100)</f>
        <v/>
      </c>
      <c r="L173" s="7">
        <f>IF($A173="","",N173-K173)</f>
        <v/>
      </c>
      <c r="M173" s="7">
        <f>IF($A173="","",L173-F173)</f>
        <v/>
      </c>
      <c r="N173" s="7" t="n"/>
      <c r="O173" s="7" t="n"/>
      <c r="P173" s="7" t="n"/>
      <c r="R173" s="14" t="n"/>
      <c r="V173">
        <f>IF($A173="","",IF(COUNTIF($A$2:$A173,$A173)=1,1,0))</f>
        <v/>
      </c>
      <c r="W173">
        <f>IF($V173=1,SUMPRODUCT(--($Y$2:$Y$1501&lt;$Y173))+1,"")</f>
        <v/>
      </c>
      <c r="X173">
        <f>IF($A173="","",IF(OR($T173=TRUE(),$T173="TRUE"),1,0))</f>
        <v/>
      </c>
      <c r="Y173">
        <f>IF($V173=1,IFERROR(IF(VALUE($A173)&lt;100000000,VALUE($A173),1000000000),IFERROR(IF(VALUE(MID($A173,2,20))&lt;100000000,VALUE(MID($A173,2,20)),1000000000),1000000000))+ROW()/100000,"")</f>
        <v/>
      </c>
    </row>
    <row r="174">
      <c r="F174" s="7">
        <f>IF($A174="","",E174*L174/100)</f>
        <v/>
      </c>
      <c r="J174" s="7" t="n"/>
      <c r="K174" s="7">
        <f>IF($A174="","",N174*U174/100)</f>
        <v/>
      </c>
      <c r="L174" s="7">
        <f>IF($A174="","",N174-K174)</f>
        <v/>
      </c>
      <c r="M174" s="7">
        <f>IF($A174="","",L174-F174)</f>
        <v/>
      </c>
      <c r="N174" s="7" t="n"/>
      <c r="O174" s="7" t="n"/>
      <c r="P174" s="7" t="n"/>
      <c r="R174" s="14" t="n"/>
      <c r="V174">
        <f>IF($A174="","",IF(COUNTIF($A$2:$A174,$A174)=1,1,0))</f>
        <v/>
      </c>
      <c r="W174">
        <f>IF($V174=1,SUMPRODUCT(--($Y$2:$Y$1501&lt;$Y174))+1,"")</f>
        <v/>
      </c>
      <c r="X174">
        <f>IF($A174="","",IF(OR($T174=TRUE(),$T174="TRUE"),1,0))</f>
        <v/>
      </c>
      <c r="Y174">
        <f>IF($V174=1,IFERROR(IF(VALUE($A174)&lt;100000000,VALUE($A174),1000000000),IFERROR(IF(VALUE(MID($A174,2,20))&lt;100000000,VALUE(MID($A174,2,20)),1000000000),1000000000))+ROW()/100000,"")</f>
        <v/>
      </c>
    </row>
    <row r="175">
      <c r="F175" s="7">
        <f>IF($A175="","",E175*L175/100)</f>
        <v/>
      </c>
      <c r="J175" s="7" t="n"/>
      <c r="K175" s="7">
        <f>IF($A175="","",N175*U175/100)</f>
        <v/>
      </c>
      <c r="L175" s="7">
        <f>IF($A175="","",N175-K175)</f>
        <v/>
      </c>
      <c r="M175" s="7">
        <f>IF($A175="","",L175-F175)</f>
        <v/>
      </c>
      <c r="N175" s="7" t="n"/>
      <c r="O175" s="7" t="n"/>
      <c r="P175" s="7" t="n"/>
      <c r="R175" s="14" t="n"/>
      <c r="V175">
        <f>IF($A175="","",IF(COUNTIF($A$2:$A175,$A175)=1,1,0))</f>
        <v/>
      </c>
      <c r="W175">
        <f>IF($V175=1,SUMPRODUCT(--($Y$2:$Y$1501&lt;$Y175))+1,"")</f>
        <v/>
      </c>
      <c r="X175">
        <f>IF($A175="","",IF(OR($T175=TRUE(),$T175="TRUE"),1,0))</f>
        <v/>
      </c>
      <c r="Y175">
        <f>IF($V175=1,IFERROR(IF(VALUE($A175)&lt;100000000,VALUE($A175),1000000000),IFERROR(IF(VALUE(MID($A175,2,20))&lt;100000000,VALUE(MID($A175,2,20)),1000000000),1000000000))+ROW()/100000,"")</f>
        <v/>
      </c>
    </row>
    <row r="176">
      <c r="F176" s="7">
        <f>IF($A176="","",E176*L176/100)</f>
        <v/>
      </c>
      <c r="J176" s="7" t="n"/>
      <c r="K176" s="7">
        <f>IF($A176="","",N176*U176/100)</f>
        <v/>
      </c>
      <c r="L176" s="7">
        <f>IF($A176="","",N176-K176)</f>
        <v/>
      </c>
      <c r="M176" s="7">
        <f>IF($A176="","",L176-F176)</f>
        <v/>
      </c>
      <c r="N176" s="7" t="n"/>
      <c r="O176" s="7" t="n"/>
      <c r="P176" s="7" t="n"/>
      <c r="R176" s="14" t="n"/>
      <c r="V176">
        <f>IF($A176="","",IF(COUNTIF($A$2:$A176,$A176)=1,1,0))</f>
        <v/>
      </c>
      <c r="W176">
        <f>IF($V176=1,SUMPRODUCT(--($Y$2:$Y$1501&lt;$Y176))+1,"")</f>
        <v/>
      </c>
      <c r="X176">
        <f>IF($A176="","",IF(OR($T176=TRUE(),$T176="TRUE"),1,0))</f>
        <v/>
      </c>
      <c r="Y176">
        <f>IF($V176=1,IFERROR(IF(VALUE($A176)&lt;100000000,VALUE($A176),1000000000),IFERROR(IF(VALUE(MID($A176,2,20))&lt;100000000,VALUE(MID($A176,2,20)),1000000000),1000000000))+ROW()/100000,"")</f>
        <v/>
      </c>
    </row>
    <row r="177">
      <c r="F177" s="7">
        <f>IF($A177="","",E177*L177/100)</f>
        <v/>
      </c>
      <c r="J177" s="7" t="n"/>
      <c r="K177" s="7">
        <f>IF($A177="","",N177*U177/100)</f>
        <v/>
      </c>
      <c r="L177" s="7">
        <f>IF($A177="","",N177-K177)</f>
        <v/>
      </c>
      <c r="M177" s="7">
        <f>IF($A177="","",L177-F177)</f>
        <v/>
      </c>
      <c r="N177" s="7" t="n"/>
      <c r="O177" s="7" t="n"/>
      <c r="P177" s="7" t="n"/>
      <c r="R177" s="14" t="n"/>
      <c r="V177">
        <f>IF($A177="","",IF(COUNTIF($A$2:$A177,$A177)=1,1,0))</f>
        <v/>
      </c>
      <c r="W177">
        <f>IF($V177=1,SUMPRODUCT(--($Y$2:$Y$1501&lt;$Y177))+1,"")</f>
        <v/>
      </c>
      <c r="X177">
        <f>IF($A177="","",IF(OR($T177=TRUE(),$T177="TRUE"),1,0))</f>
        <v/>
      </c>
      <c r="Y177">
        <f>IF($V177=1,IFERROR(IF(VALUE($A177)&lt;100000000,VALUE($A177),1000000000),IFERROR(IF(VALUE(MID($A177,2,20))&lt;100000000,VALUE(MID($A177,2,20)),1000000000),1000000000))+ROW()/100000,"")</f>
        <v/>
      </c>
    </row>
    <row r="178">
      <c r="F178" s="7">
        <f>IF($A178="","",E178*L178/100)</f>
        <v/>
      </c>
      <c r="J178" s="7" t="n"/>
      <c r="K178" s="7">
        <f>IF($A178="","",N178*U178/100)</f>
        <v/>
      </c>
      <c r="L178" s="7">
        <f>IF($A178="","",N178-K178)</f>
        <v/>
      </c>
      <c r="M178" s="7">
        <f>IF($A178="","",L178-F178)</f>
        <v/>
      </c>
      <c r="N178" s="7" t="n"/>
      <c r="O178" s="7" t="n"/>
      <c r="P178" s="7" t="n"/>
      <c r="R178" s="14" t="n"/>
      <c r="V178">
        <f>IF($A178="","",IF(COUNTIF($A$2:$A178,$A178)=1,1,0))</f>
        <v/>
      </c>
      <c r="W178">
        <f>IF($V178=1,SUMPRODUCT(--($Y$2:$Y$1501&lt;$Y178))+1,"")</f>
        <v/>
      </c>
      <c r="X178">
        <f>IF($A178="","",IF(OR($T178=TRUE(),$T178="TRUE"),1,0))</f>
        <v/>
      </c>
      <c r="Y178">
        <f>IF($V178=1,IFERROR(IF(VALUE($A178)&lt;100000000,VALUE($A178),1000000000),IFERROR(IF(VALUE(MID($A178,2,20))&lt;100000000,VALUE(MID($A178,2,20)),1000000000),1000000000))+ROW()/100000,"")</f>
        <v/>
      </c>
    </row>
    <row r="179">
      <c r="F179" s="7">
        <f>IF($A179="","",E179*L179/100)</f>
        <v/>
      </c>
      <c r="J179" s="7" t="n"/>
      <c r="K179" s="7">
        <f>IF($A179="","",N179*U179/100)</f>
        <v/>
      </c>
      <c r="L179" s="7">
        <f>IF($A179="","",N179-K179)</f>
        <v/>
      </c>
      <c r="M179" s="7">
        <f>IF($A179="","",L179-F179)</f>
        <v/>
      </c>
      <c r="N179" s="7" t="n"/>
      <c r="O179" s="7" t="n"/>
      <c r="P179" s="7" t="n"/>
      <c r="R179" s="14" t="n"/>
      <c r="V179">
        <f>IF($A179="","",IF(COUNTIF($A$2:$A179,$A179)=1,1,0))</f>
        <v/>
      </c>
      <c r="W179">
        <f>IF($V179=1,SUMPRODUCT(--($Y$2:$Y$1501&lt;$Y179))+1,"")</f>
        <v/>
      </c>
      <c r="X179">
        <f>IF($A179="","",IF(OR($T179=TRUE(),$T179="TRUE"),1,0))</f>
        <v/>
      </c>
      <c r="Y179">
        <f>IF($V179=1,IFERROR(IF(VALUE($A179)&lt;100000000,VALUE($A179),1000000000),IFERROR(IF(VALUE(MID($A179,2,20))&lt;100000000,VALUE(MID($A179,2,20)),1000000000),1000000000))+ROW()/100000,"")</f>
        <v/>
      </c>
    </row>
    <row r="180">
      <c r="F180" s="7">
        <f>IF($A180="","",E180*L180/100)</f>
        <v/>
      </c>
      <c r="J180" s="7" t="n"/>
      <c r="K180" s="7">
        <f>IF($A180="","",N180*U180/100)</f>
        <v/>
      </c>
      <c r="L180" s="7">
        <f>IF($A180="","",N180-K180)</f>
        <v/>
      </c>
      <c r="M180" s="7">
        <f>IF($A180="","",L180-F180)</f>
        <v/>
      </c>
      <c r="N180" s="7" t="n"/>
      <c r="O180" s="7" t="n"/>
      <c r="P180" s="7" t="n"/>
      <c r="R180" s="14" t="n"/>
      <c r="V180">
        <f>IF($A180="","",IF(COUNTIF($A$2:$A180,$A180)=1,1,0))</f>
        <v/>
      </c>
      <c r="W180">
        <f>IF($V180=1,SUMPRODUCT(--($Y$2:$Y$1501&lt;$Y180))+1,"")</f>
        <v/>
      </c>
      <c r="X180">
        <f>IF($A180="","",IF(OR($T180=TRUE(),$T180="TRUE"),1,0))</f>
        <v/>
      </c>
      <c r="Y180">
        <f>IF($V180=1,IFERROR(IF(VALUE($A180)&lt;100000000,VALUE($A180),1000000000),IFERROR(IF(VALUE(MID($A180,2,20))&lt;100000000,VALUE(MID($A180,2,20)),1000000000),1000000000))+ROW()/100000,"")</f>
        <v/>
      </c>
    </row>
    <row r="181">
      <c r="F181" s="7">
        <f>IF($A181="","",E181*L181/100)</f>
        <v/>
      </c>
      <c r="J181" s="7" t="n"/>
      <c r="K181" s="7">
        <f>IF($A181="","",N181*U181/100)</f>
        <v/>
      </c>
      <c r="L181" s="7">
        <f>IF($A181="","",N181-K181)</f>
        <v/>
      </c>
      <c r="M181" s="7">
        <f>IF($A181="","",L181-F181)</f>
        <v/>
      </c>
      <c r="N181" s="7" t="n"/>
      <c r="O181" s="7" t="n"/>
      <c r="P181" s="7" t="n"/>
      <c r="R181" s="14" t="n"/>
      <c r="V181">
        <f>IF($A181="","",IF(COUNTIF($A$2:$A181,$A181)=1,1,0))</f>
        <v/>
      </c>
      <c r="W181">
        <f>IF($V181=1,SUMPRODUCT(--($Y$2:$Y$1501&lt;$Y181))+1,"")</f>
        <v/>
      </c>
      <c r="X181">
        <f>IF($A181="","",IF(OR($T181=TRUE(),$T181="TRUE"),1,0))</f>
        <v/>
      </c>
      <c r="Y181">
        <f>IF($V181=1,IFERROR(IF(VALUE($A181)&lt;100000000,VALUE($A181),1000000000),IFERROR(IF(VALUE(MID($A181,2,20))&lt;100000000,VALUE(MID($A181,2,20)),1000000000),1000000000))+ROW()/100000,"")</f>
        <v/>
      </c>
    </row>
    <row r="182">
      <c r="F182" s="7">
        <f>IF($A182="","",E182*L182/100)</f>
        <v/>
      </c>
      <c r="J182" s="7" t="n"/>
      <c r="K182" s="7">
        <f>IF($A182="","",N182*U182/100)</f>
        <v/>
      </c>
      <c r="L182" s="7">
        <f>IF($A182="","",N182-K182)</f>
        <v/>
      </c>
      <c r="M182" s="7">
        <f>IF($A182="","",L182-F182)</f>
        <v/>
      </c>
      <c r="N182" s="7" t="n"/>
      <c r="O182" s="7" t="n"/>
      <c r="P182" s="7" t="n"/>
      <c r="R182" s="14" t="n"/>
      <c r="V182">
        <f>IF($A182="","",IF(COUNTIF($A$2:$A182,$A182)=1,1,0))</f>
        <v/>
      </c>
      <c r="W182">
        <f>IF($V182=1,SUMPRODUCT(--($Y$2:$Y$1501&lt;$Y182))+1,"")</f>
        <v/>
      </c>
      <c r="X182">
        <f>IF($A182="","",IF(OR($T182=TRUE(),$T182="TRUE"),1,0))</f>
        <v/>
      </c>
      <c r="Y182">
        <f>IF($V182=1,IFERROR(IF(VALUE($A182)&lt;100000000,VALUE($A182),1000000000),IFERROR(IF(VALUE(MID($A182,2,20))&lt;100000000,VALUE(MID($A182,2,20)),1000000000),1000000000))+ROW()/100000,"")</f>
        <v/>
      </c>
    </row>
    <row r="183">
      <c r="F183" s="7">
        <f>IF($A183="","",E183*L183/100)</f>
        <v/>
      </c>
      <c r="J183" s="7" t="n"/>
      <c r="K183" s="7">
        <f>IF($A183="","",N183*U183/100)</f>
        <v/>
      </c>
      <c r="L183" s="7">
        <f>IF($A183="","",N183-K183)</f>
        <v/>
      </c>
      <c r="M183" s="7">
        <f>IF($A183="","",L183-F183)</f>
        <v/>
      </c>
      <c r="N183" s="7" t="n"/>
      <c r="O183" s="7" t="n"/>
      <c r="P183" s="7" t="n"/>
      <c r="R183" s="14" t="n"/>
      <c r="V183">
        <f>IF($A183="","",IF(COUNTIF($A$2:$A183,$A183)=1,1,0))</f>
        <v/>
      </c>
      <c r="W183">
        <f>IF($V183=1,SUMPRODUCT(--($Y$2:$Y$1501&lt;$Y183))+1,"")</f>
        <v/>
      </c>
      <c r="X183">
        <f>IF($A183="","",IF(OR($T183=TRUE(),$T183="TRUE"),1,0))</f>
        <v/>
      </c>
      <c r="Y183">
        <f>IF($V183=1,IFERROR(IF(VALUE($A183)&lt;100000000,VALUE($A183),1000000000),IFERROR(IF(VALUE(MID($A183,2,20))&lt;100000000,VALUE(MID($A183,2,20)),1000000000),1000000000))+ROW()/100000,"")</f>
        <v/>
      </c>
    </row>
    <row r="184">
      <c r="F184" s="7">
        <f>IF($A184="","",E184*L184/100)</f>
        <v/>
      </c>
      <c r="J184" s="7" t="n"/>
      <c r="K184" s="7">
        <f>IF($A184="","",N184*U184/100)</f>
        <v/>
      </c>
      <c r="L184" s="7">
        <f>IF($A184="","",N184-K184)</f>
        <v/>
      </c>
      <c r="M184" s="7">
        <f>IF($A184="","",L184-F184)</f>
        <v/>
      </c>
      <c r="N184" s="7" t="n"/>
      <c r="O184" s="7" t="n"/>
      <c r="P184" s="7" t="n"/>
      <c r="R184" s="14" t="n"/>
      <c r="V184">
        <f>IF($A184="","",IF(COUNTIF($A$2:$A184,$A184)=1,1,0))</f>
        <v/>
      </c>
      <c r="W184">
        <f>IF($V184=1,SUMPRODUCT(--($Y$2:$Y$1501&lt;$Y184))+1,"")</f>
        <v/>
      </c>
      <c r="X184">
        <f>IF($A184="","",IF(OR($T184=TRUE(),$T184="TRUE"),1,0))</f>
        <v/>
      </c>
      <c r="Y184">
        <f>IF($V184=1,IFERROR(IF(VALUE($A184)&lt;100000000,VALUE($A184),1000000000),IFERROR(IF(VALUE(MID($A184,2,20))&lt;100000000,VALUE(MID($A184,2,20)),1000000000),1000000000))+ROW()/100000,"")</f>
        <v/>
      </c>
    </row>
    <row r="185">
      <c r="F185" s="7">
        <f>IF($A185="","",E185*L185/100)</f>
        <v/>
      </c>
      <c r="J185" s="7" t="n"/>
      <c r="K185" s="7">
        <f>IF($A185="","",N185*U185/100)</f>
        <v/>
      </c>
      <c r="L185" s="7">
        <f>IF($A185="","",N185-K185)</f>
        <v/>
      </c>
      <c r="M185" s="7">
        <f>IF($A185="","",L185-F185)</f>
        <v/>
      </c>
      <c r="N185" s="7" t="n"/>
      <c r="O185" s="7" t="n"/>
      <c r="P185" s="7" t="n"/>
      <c r="R185" s="14" t="n"/>
      <c r="V185">
        <f>IF($A185="","",IF(COUNTIF($A$2:$A185,$A185)=1,1,0))</f>
        <v/>
      </c>
      <c r="W185">
        <f>IF($V185=1,SUMPRODUCT(--($Y$2:$Y$1501&lt;$Y185))+1,"")</f>
        <v/>
      </c>
      <c r="X185">
        <f>IF($A185="","",IF(OR($T185=TRUE(),$T185="TRUE"),1,0))</f>
        <v/>
      </c>
      <c r="Y185">
        <f>IF($V185=1,IFERROR(IF(VALUE($A185)&lt;100000000,VALUE($A185),1000000000),IFERROR(IF(VALUE(MID($A185,2,20))&lt;100000000,VALUE(MID($A185,2,20)),1000000000),1000000000))+ROW()/100000,"")</f>
        <v/>
      </c>
    </row>
    <row r="186">
      <c r="F186" s="7">
        <f>IF($A186="","",E186*L186/100)</f>
        <v/>
      </c>
      <c r="J186" s="7" t="n"/>
      <c r="K186" s="7">
        <f>IF($A186="","",N186*U186/100)</f>
        <v/>
      </c>
      <c r="L186" s="7">
        <f>IF($A186="","",N186-K186)</f>
        <v/>
      </c>
      <c r="M186" s="7">
        <f>IF($A186="","",L186-F186)</f>
        <v/>
      </c>
      <c r="N186" s="7" t="n"/>
      <c r="O186" s="7" t="n"/>
      <c r="P186" s="7" t="n"/>
      <c r="R186" s="14" t="n"/>
      <c r="V186">
        <f>IF($A186="","",IF(COUNTIF($A$2:$A186,$A186)=1,1,0))</f>
        <v/>
      </c>
      <c r="W186">
        <f>IF($V186=1,SUMPRODUCT(--($Y$2:$Y$1501&lt;$Y186))+1,"")</f>
        <v/>
      </c>
      <c r="X186">
        <f>IF($A186="","",IF(OR($T186=TRUE(),$T186="TRUE"),1,0))</f>
        <v/>
      </c>
      <c r="Y186">
        <f>IF($V186=1,IFERROR(IF(VALUE($A186)&lt;100000000,VALUE($A186),1000000000),IFERROR(IF(VALUE(MID($A186,2,20))&lt;100000000,VALUE(MID($A186,2,20)),1000000000),1000000000))+ROW()/100000,"")</f>
        <v/>
      </c>
    </row>
    <row r="187">
      <c r="F187" s="7">
        <f>IF($A187="","",E187*L187/100)</f>
        <v/>
      </c>
      <c r="J187" s="7" t="n"/>
      <c r="K187" s="7">
        <f>IF($A187="","",N187*U187/100)</f>
        <v/>
      </c>
      <c r="L187" s="7">
        <f>IF($A187="","",N187-K187)</f>
        <v/>
      </c>
      <c r="M187" s="7">
        <f>IF($A187="","",L187-F187)</f>
        <v/>
      </c>
      <c r="N187" s="7" t="n"/>
      <c r="O187" s="7" t="n"/>
      <c r="P187" s="7" t="n"/>
      <c r="R187" s="14" t="n"/>
      <c r="V187">
        <f>IF($A187="","",IF(COUNTIF($A$2:$A187,$A187)=1,1,0))</f>
        <v/>
      </c>
      <c r="W187">
        <f>IF($V187=1,SUMPRODUCT(--($Y$2:$Y$1501&lt;$Y187))+1,"")</f>
        <v/>
      </c>
      <c r="X187">
        <f>IF($A187="","",IF(OR($T187=TRUE(),$T187="TRUE"),1,0))</f>
        <v/>
      </c>
      <c r="Y187">
        <f>IF($V187=1,IFERROR(IF(VALUE($A187)&lt;100000000,VALUE($A187),1000000000),IFERROR(IF(VALUE(MID($A187,2,20))&lt;100000000,VALUE(MID($A187,2,20)),1000000000),1000000000))+ROW()/100000,"")</f>
        <v/>
      </c>
    </row>
    <row r="188">
      <c r="F188" s="7">
        <f>IF($A188="","",E188*L188/100)</f>
        <v/>
      </c>
      <c r="J188" s="7" t="n"/>
      <c r="K188" s="7">
        <f>IF($A188="","",N188*U188/100)</f>
        <v/>
      </c>
      <c r="L188" s="7">
        <f>IF($A188="","",N188-K188)</f>
        <v/>
      </c>
      <c r="M188" s="7">
        <f>IF($A188="","",L188-F188)</f>
        <v/>
      </c>
      <c r="N188" s="7" t="n"/>
      <c r="O188" s="7" t="n"/>
      <c r="P188" s="7" t="n"/>
      <c r="R188" s="14" t="n"/>
      <c r="V188">
        <f>IF($A188="","",IF(COUNTIF($A$2:$A188,$A188)=1,1,0))</f>
        <v/>
      </c>
      <c r="W188">
        <f>IF($V188=1,SUMPRODUCT(--($Y$2:$Y$1501&lt;$Y188))+1,"")</f>
        <v/>
      </c>
      <c r="X188">
        <f>IF($A188="","",IF(OR($T188=TRUE(),$T188="TRUE"),1,0))</f>
        <v/>
      </c>
      <c r="Y188">
        <f>IF($V188=1,IFERROR(IF(VALUE($A188)&lt;100000000,VALUE($A188),1000000000),IFERROR(IF(VALUE(MID($A188,2,20))&lt;100000000,VALUE(MID($A188,2,20)),1000000000),1000000000))+ROW()/100000,"")</f>
        <v/>
      </c>
    </row>
    <row r="189">
      <c r="F189" s="7">
        <f>IF($A189="","",E189*L189/100)</f>
        <v/>
      </c>
      <c r="J189" s="7" t="n"/>
      <c r="K189" s="7">
        <f>IF($A189="","",N189*U189/100)</f>
        <v/>
      </c>
      <c r="L189" s="7">
        <f>IF($A189="","",N189-K189)</f>
        <v/>
      </c>
      <c r="M189" s="7">
        <f>IF($A189="","",L189-F189)</f>
        <v/>
      </c>
      <c r="N189" s="7" t="n"/>
      <c r="O189" s="7" t="n"/>
      <c r="P189" s="7" t="n"/>
      <c r="R189" s="14" t="n"/>
      <c r="V189">
        <f>IF($A189="","",IF(COUNTIF($A$2:$A189,$A189)=1,1,0))</f>
        <v/>
      </c>
      <c r="W189">
        <f>IF($V189=1,SUMPRODUCT(--($Y$2:$Y$1501&lt;$Y189))+1,"")</f>
        <v/>
      </c>
      <c r="X189">
        <f>IF($A189="","",IF(OR($T189=TRUE(),$T189="TRUE"),1,0))</f>
        <v/>
      </c>
      <c r="Y189">
        <f>IF($V189=1,IFERROR(IF(VALUE($A189)&lt;100000000,VALUE($A189),1000000000),IFERROR(IF(VALUE(MID($A189,2,20))&lt;100000000,VALUE(MID($A189,2,20)),1000000000),1000000000))+ROW()/100000,"")</f>
        <v/>
      </c>
    </row>
    <row r="190">
      <c r="F190" s="7">
        <f>IF($A190="","",E190*L190/100)</f>
        <v/>
      </c>
      <c r="J190" s="7" t="n"/>
      <c r="K190" s="7">
        <f>IF($A190="","",N190*U190/100)</f>
        <v/>
      </c>
      <c r="L190" s="7">
        <f>IF($A190="","",N190-K190)</f>
        <v/>
      </c>
      <c r="M190" s="7">
        <f>IF($A190="","",L190-F190)</f>
        <v/>
      </c>
      <c r="N190" s="7" t="n"/>
      <c r="O190" s="7" t="n"/>
      <c r="P190" s="7" t="n"/>
      <c r="R190" s="14" t="n"/>
      <c r="V190">
        <f>IF($A190="","",IF(COUNTIF($A$2:$A190,$A190)=1,1,0))</f>
        <v/>
      </c>
      <c r="W190">
        <f>IF($V190=1,SUMPRODUCT(--($Y$2:$Y$1501&lt;$Y190))+1,"")</f>
        <v/>
      </c>
      <c r="X190">
        <f>IF($A190="","",IF(OR($T190=TRUE(),$T190="TRUE"),1,0))</f>
        <v/>
      </c>
      <c r="Y190">
        <f>IF($V190=1,IFERROR(IF(VALUE($A190)&lt;100000000,VALUE($A190),1000000000),IFERROR(IF(VALUE(MID($A190,2,20))&lt;100000000,VALUE(MID($A190,2,20)),1000000000),1000000000))+ROW()/100000,"")</f>
        <v/>
      </c>
    </row>
    <row r="191">
      <c r="F191" s="7">
        <f>IF($A191="","",E191*L191/100)</f>
        <v/>
      </c>
      <c r="J191" s="7" t="n"/>
      <c r="K191" s="7">
        <f>IF($A191="","",N191*U191/100)</f>
        <v/>
      </c>
      <c r="L191" s="7">
        <f>IF($A191="","",N191-K191)</f>
        <v/>
      </c>
      <c r="M191" s="7">
        <f>IF($A191="","",L191-F191)</f>
        <v/>
      </c>
      <c r="N191" s="7" t="n"/>
      <c r="O191" s="7" t="n"/>
      <c r="P191" s="7" t="n"/>
      <c r="R191" s="14" t="n"/>
      <c r="V191">
        <f>IF($A191="","",IF(COUNTIF($A$2:$A191,$A191)=1,1,0))</f>
        <v/>
      </c>
      <c r="W191">
        <f>IF($V191=1,SUMPRODUCT(--($Y$2:$Y$1501&lt;$Y191))+1,"")</f>
        <v/>
      </c>
      <c r="X191">
        <f>IF($A191="","",IF(OR($T191=TRUE(),$T191="TRUE"),1,0))</f>
        <v/>
      </c>
      <c r="Y191">
        <f>IF($V191=1,IFERROR(IF(VALUE($A191)&lt;100000000,VALUE($A191),1000000000),IFERROR(IF(VALUE(MID($A191,2,20))&lt;100000000,VALUE(MID($A191,2,20)),1000000000),1000000000))+ROW()/100000,"")</f>
        <v/>
      </c>
    </row>
    <row r="192">
      <c r="F192" s="7">
        <f>IF($A192="","",E192*L192/100)</f>
        <v/>
      </c>
      <c r="J192" s="7" t="n"/>
      <c r="K192" s="7">
        <f>IF($A192="","",N192*U192/100)</f>
        <v/>
      </c>
      <c r="L192" s="7">
        <f>IF($A192="","",N192-K192)</f>
        <v/>
      </c>
      <c r="M192" s="7">
        <f>IF($A192="","",L192-F192)</f>
        <v/>
      </c>
      <c r="N192" s="7" t="n"/>
      <c r="O192" s="7" t="n"/>
      <c r="P192" s="7" t="n"/>
      <c r="R192" s="14" t="n"/>
      <c r="V192">
        <f>IF($A192="","",IF(COUNTIF($A$2:$A192,$A192)=1,1,0))</f>
        <v/>
      </c>
      <c r="W192">
        <f>IF($V192=1,SUMPRODUCT(--($Y$2:$Y$1501&lt;$Y192))+1,"")</f>
        <v/>
      </c>
      <c r="X192">
        <f>IF($A192="","",IF(OR($T192=TRUE(),$T192="TRUE"),1,0))</f>
        <v/>
      </c>
      <c r="Y192">
        <f>IF($V192=1,IFERROR(IF(VALUE($A192)&lt;100000000,VALUE($A192),1000000000),IFERROR(IF(VALUE(MID($A192,2,20))&lt;100000000,VALUE(MID($A192,2,20)),1000000000),1000000000))+ROW()/100000,"")</f>
        <v/>
      </c>
    </row>
    <row r="193">
      <c r="F193" s="7">
        <f>IF($A193="","",E193*L193/100)</f>
        <v/>
      </c>
      <c r="J193" s="7" t="n"/>
      <c r="K193" s="7">
        <f>IF($A193="","",N193*U193/100)</f>
        <v/>
      </c>
      <c r="L193" s="7">
        <f>IF($A193="","",N193-K193)</f>
        <v/>
      </c>
      <c r="M193" s="7">
        <f>IF($A193="","",L193-F193)</f>
        <v/>
      </c>
      <c r="N193" s="7" t="n"/>
      <c r="O193" s="7" t="n"/>
      <c r="P193" s="7" t="n"/>
      <c r="R193" s="14" t="n"/>
      <c r="V193">
        <f>IF($A193="","",IF(COUNTIF($A$2:$A193,$A193)=1,1,0))</f>
        <v/>
      </c>
      <c r="W193">
        <f>IF($V193=1,SUMPRODUCT(--($Y$2:$Y$1501&lt;$Y193))+1,"")</f>
        <v/>
      </c>
      <c r="X193">
        <f>IF($A193="","",IF(OR($T193=TRUE(),$T193="TRUE"),1,0))</f>
        <v/>
      </c>
      <c r="Y193">
        <f>IF($V193=1,IFERROR(IF(VALUE($A193)&lt;100000000,VALUE($A193),1000000000),IFERROR(IF(VALUE(MID($A193,2,20))&lt;100000000,VALUE(MID($A193,2,20)),1000000000),1000000000))+ROW()/100000,"")</f>
        <v/>
      </c>
    </row>
    <row r="194">
      <c r="F194" s="7">
        <f>IF($A194="","",E194*L194/100)</f>
        <v/>
      </c>
      <c r="J194" s="7" t="n"/>
      <c r="K194" s="7">
        <f>IF($A194="","",N194*U194/100)</f>
        <v/>
      </c>
      <c r="L194" s="7">
        <f>IF($A194="","",N194-K194)</f>
        <v/>
      </c>
      <c r="M194" s="7">
        <f>IF($A194="","",L194-F194)</f>
        <v/>
      </c>
      <c r="N194" s="7" t="n"/>
      <c r="O194" s="7" t="n"/>
      <c r="P194" s="7" t="n"/>
      <c r="R194" s="14" t="n"/>
      <c r="V194">
        <f>IF($A194="","",IF(COUNTIF($A$2:$A194,$A194)=1,1,0))</f>
        <v/>
      </c>
      <c r="W194">
        <f>IF($V194=1,SUMPRODUCT(--($Y$2:$Y$1501&lt;$Y194))+1,"")</f>
        <v/>
      </c>
      <c r="X194">
        <f>IF($A194="","",IF(OR($T194=TRUE(),$T194="TRUE"),1,0))</f>
        <v/>
      </c>
      <c r="Y194">
        <f>IF($V194=1,IFERROR(IF(VALUE($A194)&lt;100000000,VALUE($A194),1000000000),IFERROR(IF(VALUE(MID($A194,2,20))&lt;100000000,VALUE(MID($A194,2,20)),1000000000),1000000000))+ROW()/100000,"")</f>
        <v/>
      </c>
    </row>
    <row r="195">
      <c r="F195" s="7">
        <f>IF($A195="","",E195*L195/100)</f>
        <v/>
      </c>
      <c r="J195" s="7" t="n"/>
      <c r="K195" s="7">
        <f>IF($A195="","",N195*U195/100)</f>
        <v/>
      </c>
      <c r="L195" s="7">
        <f>IF($A195="","",N195-K195)</f>
        <v/>
      </c>
      <c r="M195" s="7">
        <f>IF($A195="","",L195-F195)</f>
        <v/>
      </c>
      <c r="N195" s="7" t="n"/>
      <c r="O195" s="7" t="n"/>
      <c r="P195" s="7" t="n"/>
      <c r="R195" s="14" t="n"/>
      <c r="V195">
        <f>IF($A195="","",IF(COUNTIF($A$2:$A195,$A195)=1,1,0))</f>
        <v/>
      </c>
      <c r="W195">
        <f>IF($V195=1,SUMPRODUCT(--($Y$2:$Y$1501&lt;$Y195))+1,"")</f>
        <v/>
      </c>
      <c r="X195">
        <f>IF($A195="","",IF(OR($T195=TRUE(),$T195="TRUE"),1,0))</f>
        <v/>
      </c>
      <c r="Y195">
        <f>IF($V195=1,IFERROR(IF(VALUE($A195)&lt;100000000,VALUE($A195),1000000000),IFERROR(IF(VALUE(MID($A195,2,20))&lt;100000000,VALUE(MID($A195,2,20)),1000000000),1000000000))+ROW()/100000,"")</f>
        <v/>
      </c>
    </row>
    <row r="196">
      <c r="F196" s="7">
        <f>IF($A196="","",E196*L196/100)</f>
        <v/>
      </c>
      <c r="J196" s="7" t="n"/>
      <c r="K196" s="7">
        <f>IF($A196="","",N196*U196/100)</f>
        <v/>
      </c>
      <c r="L196" s="7">
        <f>IF($A196="","",N196-K196)</f>
        <v/>
      </c>
      <c r="M196" s="7">
        <f>IF($A196="","",L196-F196)</f>
        <v/>
      </c>
      <c r="N196" s="7" t="n"/>
      <c r="O196" s="7" t="n"/>
      <c r="P196" s="7" t="n"/>
      <c r="R196" s="14" t="n"/>
      <c r="V196">
        <f>IF($A196="","",IF(COUNTIF($A$2:$A196,$A196)=1,1,0))</f>
        <v/>
      </c>
      <c r="W196">
        <f>IF($V196=1,SUMPRODUCT(--($Y$2:$Y$1501&lt;$Y196))+1,"")</f>
        <v/>
      </c>
      <c r="X196">
        <f>IF($A196="","",IF(OR($T196=TRUE(),$T196="TRUE"),1,0))</f>
        <v/>
      </c>
      <c r="Y196">
        <f>IF($V196=1,IFERROR(IF(VALUE($A196)&lt;100000000,VALUE($A196),1000000000),IFERROR(IF(VALUE(MID($A196,2,20))&lt;100000000,VALUE(MID($A196,2,20)),1000000000),1000000000))+ROW()/100000,"")</f>
        <v/>
      </c>
    </row>
    <row r="197">
      <c r="F197" s="7">
        <f>IF($A197="","",E197*L197/100)</f>
        <v/>
      </c>
      <c r="J197" s="7" t="n"/>
      <c r="K197" s="7">
        <f>IF($A197="","",N197*U197/100)</f>
        <v/>
      </c>
      <c r="L197" s="7">
        <f>IF($A197="","",N197-K197)</f>
        <v/>
      </c>
      <c r="M197" s="7">
        <f>IF($A197="","",L197-F197)</f>
        <v/>
      </c>
      <c r="N197" s="7" t="n"/>
      <c r="O197" s="7" t="n"/>
      <c r="P197" s="7" t="n"/>
      <c r="R197" s="14" t="n"/>
      <c r="V197">
        <f>IF($A197="","",IF(COUNTIF($A$2:$A197,$A197)=1,1,0))</f>
        <v/>
      </c>
      <c r="W197">
        <f>IF($V197=1,SUMPRODUCT(--($Y$2:$Y$1501&lt;$Y197))+1,"")</f>
        <v/>
      </c>
      <c r="X197">
        <f>IF($A197="","",IF(OR($T197=TRUE(),$T197="TRUE"),1,0))</f>
        <v/>
      </c>
      <c r="Y197">
        <f>IF($V197=1,IFERROR(IF(VALUE($A197)&lt;100000000,VALUE($A197),1000000000),IFERROR(IF(VALUE(MID($A197,2,20))&lt;100000000,VALUE(MID($A197,2,20)),1000000000),1000000000))+ROW()/100000,"")</f>
        <v/>
      </c>
    </row>
    <row r="198">
      <c r="F198" s="7">
        <f>IF($A198="","",E198*L198/100)</f>
        <v/>
      </c>
      <c r="J198" s="7" t="n"/>
      <c r="K198" s="7">
        <f>IF($A198="","",N198*U198/100)</f>
        <v/>
      </c>
      <c r="L198" s="7">
        <f>IF($A198="","",N198-K198)</f>
        <v/>
      </c>
      <c r="M198" s="7">
        <f>IF($A198="","",L198-F198)</f>
        <v/>
      </c>
      <c r="N198" s="7" t="n"/>
      <c r="O198" s="7" t="n"/>
      <c r="P198" s="7" t="n"/>
      <c r="R198" s="14" t="n"/>
      <c r="V198">
        <f>IF($A198="","",IF(COUNTIF($A$2:$A198,$A198)=1,1,0))</f>
        <v/>
      </c>
      <c r="W198">
        <f>IF($V198=1,SUMPRODUCT(--($Y$2:$Y$1501&lt;$Y198))+1,"")</f>
        <v/>
      </c>
      <c r="X198">
        <f>IF($A198="","",IF(OR($T198=TRUE(),$T198="TRUE"),1,0))</f>
        <v/>
      </c>
      <c r="Y198">
        <f>IF($V198=1,IFERROR(IF(VALUE($A198)&lt;100000000,VALUE($A198),1000000000),IFERROR(IF(VALUE(MID($A198,2,20))&lt;100000000,VALUE(MID($A198,2,20)),1000000000),1000000000))+ROW()/100000,"")</f>
        <v/>
      </c>
    </row>
    <row r="199">
      <c r="F199" s="7">
        <f>IF($A199="","",E199*L199/100)</f>
        <v/>
      </c>
      <c r="J199" s="7" t="n"/>
      <c r="K199" s="7">
        <f>IF($A199="","",N199*U199/100)</f>
        <v/>
      </c>
      <c r="L199" s="7">
        <f>IF($A199="","",N199-K199)</f>
        <v/>
      </c>
      <c r="M199" s="7">
        <f>IF($A199="","",L199-F199)</f>
        <v/>
      </c>
      <c r="N199" s="7" t="n"/>
      <c r="O199" s="7" t="n"/>
      <c r="P199" s="7" t="n"/>
      <c r="R199" s="14" t="n"/>
      <c r="V199">
        <f>IF($A199="","",IF(COUNTIF($A$2:$A199,$A199)=1,1,0))</f>
        <v/>
      </c>
      <c r="W199">
        <f>IF($V199=1,SUMPRODUCT(--($Y$2:$Y$1501&lt;$Y199))+1,"")</f>
        <v/>
      </c>
      <c r="X199">
        <f>IF($A199="","",IF(OR($T199=TRUE(),$T199="TRUE"),1,0))</f>
        <v/>
      </c>
      <c r="Y199">
        <f>IF($V199=1,IFERROR(IF(VALUE($A199)&lt;100000000,VALUE($A199),1000000000),IFERROR(IF(VALUE(MID($A199,2,20))&lt;100000000,VALUE(MID($A199,2,20)),1000000000),1000000000))+ROW()/100000,"")</f>
        <v/>
      </c>
    </row>
    <row r="200">
      <c r="F200" s="7">
        <f>IF($A200="","",E200*L200/100)</f>
        <v/>
      </c>
      <c r="J200" s="7" t="n"/>
      <c r="K200" s="7">
        <f>IF($A200="","",N200*U200/100)</f>
        <v/>
      </c>
      <c r="L200" s="7">
        <f>IF($A200="","",N200-K200)</f>
        <v/>
      </c>
      <c r="M200" s="7">
        <f>IF($A200="","",L200-F200)</f>
        <v/>
      </c>
      <c r="N200" s="7" t="n"/>
      <c r="O200" s="7" t="n"/>
      <c r="P200" s="7" t="n"/>
      <c r="R200" s="14" t="n"/>
      <c r="V200">
        <f>IF($A200="","",IF(COUNTIF($A$2:$A200,$A200)=1,1,0))</f>
        <v/>
      </c>
      <c r="W200">
        <f>IF($V200=1,SUMPRODUCT(--($Y$2:$Y$1501&lt;$Y200))+1,"")</f>
        <v/>
      </c>
      <c r="X200">
        <f>IF($A200="","",IF(OR($T200=TRUE(),$T200="TRUE"),1,0))</f>
        <v/>
      </c>
      <c r="Y200">
        <f>IF($V200=1,IFERROR(IF(VALUE($A200)&lt;100000000,VALUE($A200),1000000000),IFERROR(IF(VALUE(MID($A200,2,20))&lt;100000000,VALUE(MID($A200,2,20)),1000000000),1000000000))+ROW()/100000,"")</f>
        <v/>
      </c>
    </row>
    <row r="201">
      <c r="F201" s="7">
        <f>IF($A201="","",E201*L201/100)</f>
        <v/>
      </c>
      <c r="J201" s="7" t="n"/>
      <c r="K201" s="7">
        <f>IF($A201="","",N201*U201/100)</f>
        <v/>
      </c>
      <c r="L201" s="7">
        <f>IF($A201="","",N201-K201)</f>
        <v/>
      </c>
      <c r="M201" s="7">
        <f>IF($A201="","",L201-F201)</f>
        <v/>
      </c>
      <c r="N201" s="7" t="n"/>
      <c r="O201" s="7" t="n"/>
      <c r="P201" s="7" t="n"/>
      <c r="R201" s="14" t="n"/>
      <c r="V201">
        <f>IF($A201="","",IF(COUNTIF($A$2:$A201,$A201)=1,1,0))</f>
        <v/>
      </c>
      <c r="W201">
        <f>IF($V201=1,SUMPRODUCT(--($Y$2:$Y$1501&lt;$Y201))+1,"")</f>
        <v/>
      </c>
      <c r="X201">
        <f>IF($A201="","",IF(OR($T201=TRUE(),$T201="TRUE"),1,0))</f>
        <v/>
      </c>
      <c r="Y201">
        <f>IF($V201=1,IFERROR(IF(VALUE($A201)&lt;100000000,VALUE($A201),1000000000),IFERROR(IF(VALUE(MID($A201,2,20))&lt;100000000,VALUE(MID($A201,2,20)),1000000000),1000000000))+ROW()/100000,"")</f>
        <v/>
      </c>
    </row>
    <row r="202">
      <c r="F202" s="7">
        <f>IF($A202="","",E202*L202/100)</f>
        <v/>
      </c>
      <c r="J202" s="7" t="n"/>
      <c r="K202" s="7">
        <f>IF($A202="","",N202*U202/100)</f>
        <v/>
      </c>
      <c r="L202" s="7">
        <f>IF($A202="","",N202-K202)</f>
        <v/>
      </c>
      <c r="M202" s="7">
        <f>IF($A202="","",L202-F202)</f>
        <v/>
      </c>
      <c r="N202" s="7" t="n"/>
      <c r="O202" s="7" t="n"/>
      <c r="P202" s="7" t="n"/>
      <c r="R202" s="14" t="n"/>
      <c r="V202">
        <f>IF($A202="","",IF(COUNTIF($A$2:$A202,$A202)=1,1,0))</f>
        <v/>
      </c>
      <c r="W202">
        <f>IF($V202=1,SUMPRODUCT(--($Y$2:$Y$1501&lt;$Y202))+1,"")</f>
        <v/>
      </c>
      <c r="X202">
        <f>IF($A202="","",IF(OR($T202=TRUE(),$T202="TRUE"),1,0))</f>
        <v/>
      </c>
      <c r="Y202">
        <f>IF($V202=1,IFERROR(IF(VALUE($A202)&lt;100000000,VALUE($A202),1000000000),IFERROR(IF(VALUE(MID($A202,2,20))&lt;100000000,VALUE(MID($A202,2,20)),1000000000),1000000000))+ROW()/100000,"")</f>
        <v/>
      </c>
    </row>
    <row r="203">
      <c r="F203" s="7">
        <f>IF($A203="","",E203*L203/100)</f>
        <v/>
      </c>
      <c r="J203" s="7" t="n"/>
      <c r="K203" s="7">
        <f>IF($A203="","",N203*U203/100)</f>
        <v/>
      </c>
      <c r="L203" s="7">
        <f>IF($A203="","",N203-K203)</f>
        <v/>
      </c>
      <c r="M203" s="7">
        <f>IF($A203="","",L203-F203)</f>
        <v/>
      </c>
      <c r="N203" s="7" t="n"/>
      <c r="O203" s="7" t="n"/>
      <c r="P203" s="7" t="n"/>
      <c r="R203" s="14" t="n"/>
      <c r="V203">
        <f>IF($A203="","",IF(COUNTIF($A$2:$A203,$A203)=1,1,0))</f>
        <v/>
      </c>
      <c r="W203">
        <f>IF($V203=1,SUMPRODUCT(--($Y$2:$Y$1501&lt;$Y203))+1,"")</f>
        <v/>
      </c>
      <c r="X203">
        <f>IF($A203="","",IF(OR($T203=TRUE(),$T203="TRUE"),1,0))</f>
        <v/>
      </c>
      <c r="Y203">
        <f>IF($V203=1,IFERROR(IF(VALUE($A203)&lt;100000000,VALUE($A203),1000000000),IFERROR(IF(VALUE(MID($A203,2,20))&lt;100000000,VALUE(MID($A203,2,20)),1000000000),1000000000))+ROW()/100000,"")</f>
        <v/>
      </c>
    </row>
    <row r="204">
      <c r="F204" s="7">
        <f>IF($A204="","",E204*L204/100)</f>
        <v/>
      </c>
      <c r="J204" s="7" t="n"/>
      <c r="K204" s="7">
        <f>IF($A204="","",N204*U204/100)</f>
        <v/>
      </c>
      <c r="L204" s="7">
        <f>IF($A204="","",N204-K204)</f>
        <v/>
      </c>
      <c r="M204" s="7">
        <f>IF($A204="","",L204-F204)</f>
        <v/>
      </c>
      <c r="N204" s="7" t="n"/>
      <c r="O204" s="7" t="n"/>
      <c r="P204" s="7" t="n"/>
      <c r="R204" s="14" t="n"/>
      <c r="V204">
        <f>IF($A204="","",IF(COUNTIF($A$2:$A204,$A204)=1,1,0))</f>
        <v/>
      </c>
      <c r="W204">
        <f>IF($V204=1,SUMPRODUCT(--($Y$2:$Y$1501&lt;$Y204))+1,"")</f>
        <v/>
      </c>
      <c r="X204">
        <f>IF($A204="","",IF(OR($T204=TRUE(),$T204="TRUE"),1,0))</f>
        <v/>
      </c>
      <c r="Y204">
        <f>IF($V204=1,IFERROR(IF(VALUE($A204)&lt;100000000,VALUE($A204),1000000000),IFERROR(IF(VALUE(MID($A204,2,20))&lt;100000000,VALUE(MID($A204,2,20)),1000000000),1000000000))+ROW()/100000,"")</f>
        <v/>
      </c>
    </row>
    <row r="205">
      <c r="F205" s="7">
        <f>IF($A205="","",E205*L205/100)</f>
        <v/>
      </c>
      <c r="J205" s="7" t="n"/>
      <c r="K205" s="7">
        <f>IF($A205="","",N205*U205/100)</f>
        <v/>
      </c>
      <c r="L205" s="7">
        <f>IF($A205="","",N205-K205)</f>
        <v/>
      </c>
      <c r="M205" s="7">
        <f>IF($A205="","",L205-F205)</f>
        <v/>
      </c>
      <c r="N205" s="7" t="n"/>
      <c r="O205" s="7" t="n"/>
      <c r="P205" s="7" t="n"/>
      <c r="R205" s="14" t="n"/>
      <c r="V205">
        <f>IF($A205="","",IF(COUNTIF($A$2:$A205,$A205)=1,1,0))</f>
        <v/>
      </c>
      <c r="W205">
        <f>IF($V205=1,SUMPRODUCT(--($Y$2:$Y$1501&lt;$Y205))+1,"")</f>
        <v/>
      </c>
      <c r="X205">
        <f>IF($A205="","",IF(OR($T205=TRUE(),$T205="TRUE"),1,0))</f>
        <v/>
      </c>
      <c r="Y205">
        <f>IF($V205=1,IFERROR(IF(VALUE($A205)&lt;100000000,VALUE($A205),1000000000),IFERROR(IF(VALUE(MID($A205,2,20))&lt;100000000,VALUE(MID($A205,2,20)),1000000000),1000000000))+ROW()/100000,"")</f>
        <v/>
      </c>
    </row>
    <row r="206">
      <c r="F206" s="7">
        <f>IF($A206="","",E206*L206/100)</f>
        <v/>
      </c>
      <c r="J206" s="7" t="n"/>
      <c r="K206" s="7">
        <f>IF($A206="","",N206*U206/100)</f>
        <v/>
      </c>
      <c r="L206" s="7">
        <f>IF($A206="","",N206-K206)</f>
        <v/>
      </c>
      <c r="M206" s="7">
        <f>IF($A206="","",L206-F206)</f>
        <v/>
      </c>
      <c r="N206" s="7" t="n"/>
      <c r="O206" s="7" t="n"/>
      <c r="P206" s="7" t="n"/>
      <c r="R206" s="14" t="n"/>
      <c r="V206">
        <f>IF($A206="","",IF(COUNTIF($A$2:$A206,$A206)=1,1,0))</f>
        <v/>
      </c>
      <c r="W206">
        <f>IF($V206=1,SUMPRODUCT(--($Y$2:$Y$1501&lt;$Y206))+1,"")</f>
        <v/>
      </c>
      <c r="X206">
        <f>IF($A206="","",IF(OR($T206=TRUE(),$T206="TRUE"),1,0))</f>
        <v/>
      </c>
      <c r="Y206">
        <f>IF($V206=1,IFERROR(IF(VALUE($A206)&lt;100000000,VALUE($A206),1000000000),IFERROR(IF(VALUE(MID($A206,2,20))&lt;100000000,VALUE(MID($A206,2,20)),1000000000),1000000000))+ROW()/100000,"")</f>
        <v/>
      </c>
    </row>
    <row r="207">
      <c r="F207" s="7">
        <f>IF($A207="","",E207*L207/100)</f>
        <v/>
      </c>
      <c r="J207" s="7" t="n"/>
      <c r="K207" s="7">
        <f>IF($A207="","",N207*U207/100)</f>
        <v/>
      </c>
      <c r="L207" s="7">
        <f>IF($A207="","",N207-K207)</f>
        <v/>
      </c>
      <c r="M207" s="7">
        <f>IF($A207="","",L207-F207)</f>
        <v/>
      </c>
      <c r="N207" s="7" t="n"/>
      <c r="O207" s="7" t="n"/>
      <c r="P207" s="7" t="n"/>
      <c r="R207" s="14" t="n"/>
      <c r="V207">
        <f>IF($A207="","",IF(COUNTIF($A$2:$A207,$A207)=1,1,0))</f>
        <v/>
      </c>
      <c r="W207">
        <f>IF($V207=1,SUMPRODUCT(--($Y$2:$Y$1501&lt;$Y207))+1,"")</f>
        <v/>
      </c>
      <c r="X207">
        <f>IF($A207="","",IF(OR($T207=TRUE(),$T207="TRUE"),1,0))</f>
        <v/>
      </c>
      <c r="Y207">
        <f>IF($V207=1,IFERROR(IF(VALUE($A207)&lt;100000000,VALUE($A207),1000000000),IFERROR(IF(VALUE(MID($A207,2,20))&lt;100000000,VALUE(MID($A207,2,20)),1000000000),1000000000))+ROW()/100000,"")</f>
        <v/>
      </c>
    </row>
    <row r="208">
      <c r="F208" s="7">
        <f>IF($A208="","",E208*L208/100)</f>
        <v/>
      </c>
      <c r="J208" s="7" t="n"/>
      <c r="K208" s="7">
        <f>IF($A208="","",N208*U208/100)</f>
        <v/>
      </c>
      <c r="L208" s="7">
        <f>IF($A208="","",N208-K208)</f>
        <v/>
      </c>
      <c r="M208" s="7">
        <f>IF($A208="","",L208-F208)</f>
        <v/>
      </c>
      <c r="N208" s="7" t="n"/>
      <c r="O208" s="7" t="n"/>
      <c r="P208" s="7" t="n"/>
      <c r="R208" s="14" t="n"/>
      <c r="V208">
        <f>IF($A208="","",IF(COUNTIF($A$2:$A208,$A208)=1,1,0))</f>
        <v/>
      </c>
      <c r="W208">
        <f>IF($V208=1,SUMPRODUCT(--($Y$2:$Y$1501&lt;$Y208))+1,"")</f>
        <v/>
      </c>
      <c r="X208">
        <f>IF($A208="","",IF(OR($T208=TRUE(),$T208="TRUE"),1,0))</f>
        <v/>
      </c>
      <c r="Y208">
        <f>IF($V208=1,IFERROR(IF(VALUE($A208)&lt;100000000,VALUE($A208),1000000000),IFERROR(IF(VALUE(MID($A208,2,20))&lt;100000000,VALUE(MID($A208,2,20)),1000000000),1000000000))+ROW()/100000,"")</f>
        <v/>
      </c>
    </row>
    <row r="209">
      <c r="F209" s="7">
        <f>IF($A209="","",E209*L209/100)</f>
        <v/>
      </c>
      <c r="J209" s="7" t="n"/>
      <c r="K209" s="7">
        <f>IF($A209="","",N209*U209/100)</f>
        <v/>
      </c>
      <c r="L209" s="7">
        <f>IF($A209="","",N209-K209)</f>
        <v/>
      </c>
      <c r="M209" s="7">
        <f>IF($A209="","",L209-F209)</f>
        <v/>
      </c>
      <c r="N209" s="7" t="n"/>
      <c r="O209" s="7" t="n"/>
      <c r="P209" s="7" t="n"/>
      <c r="R209" s="14" t="n"/>
      <c r="V209">
        <f>IF($A209="","",IF(COUNTIF($A$2:$A209,$A209)=1,1,0))</f>
        <v/>
      </c>
      <c r="W209">
        <f>IF($V209=1,SUMPRODUCT(--($Y$2:$Y$1501&lt;$Y209))+1,"")</f>
        <v/>
      </c>
      <c r="X209">
        <f>IF($A209="","",IF(OR($T209=TRUE(),$T209="TRUE"),1,0))</f>
        <v/>
      </c>
      <c r="Y209">
        <f>IF($V209=1,IFERROR(IF(VALUE($A209)&lt;100000000,VALUE($A209),1000000000),IFERROR(IF(VALUE(MID($A209,2,20))&lt;100000000,VALUE(MID($A209,2,20)),1000000000),1000000000))+ROW()/100000,"")</f>
        <v/>
      </c>
    </row>
    <row r="210">
      <c r="F210" s="7">
        <f>IF($A210="","",E210*L210/100)</f>
        <v/>
      </c>
      <c r="J210" s="7" t="n"/>
      <c r="K210" s="7">
        <f>IF($A210="","",N210*U210/100)</f>
        <v/>
      </c>
      <c r="L210" s="7">
        <f>IF($A210="","",N210-K210)</f>
        <v/>
      </c>
      <c r="M210" s="7">
        <f>IF($A210="","",L210-F210)</f>
        <v/>
      </c>
      <c r="N210" s="7" t="n"/>
      <c r="O210" s="7" t="n"/>
      <c r="P210" s="7" t="n"/>
      <c r="R210" s="14" t="n"/>
      <c r="V210">
        <f>IF($A210="","",IF(COUNTIF($A$2:$A210,$A210)=1,1,0))</f>
        <v/>
      </c>
      <c r="W210">
        <f>IF($V210=1,SUMPRODUCT(--($Y$2:$Y$1501&lt;$Y210))+1,"")</f>
        <v/>
      </c>
      <c r="X210">
        <f>IF($A210="","",IF(OR($T210=TRUE(),$T210="TRUE"),1,0))</f>
        <v/>
      </c>
      <c r="Y210">
        <f>IF($V210=1,IFERROR(IF(VALUE($A210)&lt;100000000,VALUE($A210),1000000000),IFERROR(IF(VALUE(MID($A210,2,20))&lt;100000000,VALUE(MID($A210,2,20)),1000000000),1000000000))+ROW()/100000,"")</f>
        <v/>
      </c>
    </row>
    <row r="211">
      <c r="F211" s="7">
        <f>IF($A211="","",E211*L211/100)</f>
        <v/>
      </c>
      <c r="J211" s="7" t="n"/>
      <c r="K211" s="7">
        <f>IF($A211="","",N211*U211/100)</f>
        <v/>
      </c>
      <c r="L211" s="7">
        <f>IF($A211="","",N211-K211)</f>
        <v/>
      </c>
      <c r="M211" s="7">
        <f>IF($A211="","",L211-F211)</f>
        <v/>
      </c>
      <c r="N211" s="7" t="n"/>
      <c r="O211" s="7" t="n"/>
      <c r="P211" s="7" t="n"/>
      <c r="R211" s="14" t="n"/>
      <c r="V211">
        <f>IF($A211="","",IF(COUNTIF($A$2:$A211,$A211)=1,1,0))</f>
        <v/>
      </c>
      <c r="W211">
        <f>IF($V211=1,SUMPRODUCT(--($Y$2:$Y$1501&lt;$Y211))+1,"")</f>
        <v/>
      </c>
      <c r="X211">
        <f>IF($A211="","",IF(OR($T211=TRUE(),$T211="TRUE"),1,0))</f>
        <v/>
      </c>
      <c r="Y211">
        <f>IF($V211=1,IFERROR(IF(VALUE($A211)&lt;100000000,VALUE($A211),1000000000),IFERROR(IF(VALUE(MID($A211,2,20))&lt;100000000,VALUE(MID($A211,2,20)),1000000000),1000000000))+ROW()/100000,"")</f>
        <v/>
      </c>
    </row>
    <row r="212">
      <c r="F212" s="7">
        <f>IF($A212="","",E212*L212/100)</f>
        <v/>
      </c>
      <c r="J212" s="7" t="n"/>
      <c r="K212" s="7">
        <f>IF($A212="","",N212*U212/100)</f>
        <v/>
      </c>
      <c r="L212" s="7">
        <f>IF($A212="","",N212-K212)</f>
        <v/>
      </c>
      <c r="M212" s="7">
        <f>IF($A212="","",L212-F212)</f>
        <v/>
      </c>
      <c r="N212" s="7" t="n"/>
      <c r="O212" s="7" t="n"/>
      <c r="P212" s="7" t="n"/>
      <c r="R212" s="14" t="n"/>
      <c r="V212">
        <f>IF($A212="","",IF(COUNTIF($A$2:$A212,$A212)=1,1,0))</f>
        <v/>
      </c>
      <c r="W212">
        <f>IF($V212=1,SUMPRODUCT(--($Y$2:$Y$1501&lt;$Y212))+1,"")</f>
        <v/>
      </c>
      <c r="X212">
        <f>IF($A212="","",IF(OR($T212=TRUE(),$T212="TRUE"),1,0))</f>
        <v/>
      </c>
      <c r="Y212">
        <f>IF($V212=1,IFERROR(IF(VALUE($A212)&lt;100000000,VALUE($A212),1000000000),IFERROR(IF(VALUE(MID($A212,2,20))&lt;100000000,VALUE(MID($A212,2,20)),1000000000),1000000000))+ROW()/100000,"")</f>
        <v/>
      </c>
    </row>
    <row r="213">
      <c r="F213" s="7">
        <f>IF($A213="","",E213*L213/100)</f>
        <v/>
      </c>
      <c r="J213" s="7" t="n"/>
      <c r="K213" s="7">
        <f>IF($A213="","",N213*U213/100)</f>
        <v/>
      </c>
      <c r="L213" s="7">
        <f>IF($A213="","",N213-K213)</f>
        <v/>
      </c>
      <c r="M213" s="7">
        <f>IF($A213="","",L213-F213)</f>
        <v/>
      </c>
      <c r="N213" s="7" t="n"/>
      <c r="O213" s="7" t="n"/>
      <c r="P213" s="7" t="n"/>
      <c r="R213" s="14" t="n"/>
      <c r="V213">
        <f>IF($A213="","",IF(COUNTIF($A$2:$A213,$A213)=1,1,0))</f>
        <v/>
      </c>
      <c r="W213">
        <f>IF($V213=1,SUMPRODUCT(--($Y$2:$Y$1501&lt;$Y213))+1,"")</f>
        <v/>
      </c>
      <c r="X213">
        <f>IF($A213="","",IF(OR($T213=TRUE(),$T213="TRUE"),1,0))</f>
        <v/>
      </c>
      <c r="Y213">
        <f>IF($V213=1,IFERROR(IF(VALUE($A213)&lt;100000000,VALUE($A213),1000000000),IFERROR(IF(VALUE(MID($A213,2,20))&lt;100000000,VALUE(MID($A213,2,20)),1000000000),1000000000))+ROW()/100000,"")</f>
        <v/>
      </c>
    </row>
    <row r="214">
      <c r="F214" s="7">
        <f>IF($A214="","",E214*L214/100)</f>
        <v/>
      </c>
      <c r="J214" s="7" t="n"/>
      <c r="K214" s="7">
        <f>IF($A214="","",N214*U214/100)</f>
        <v/>
      </c>
      <c r="L214" s="7">
        <f>IF($A214="","",N214-K214)</f>
        <v/>
      </c>
      <c r="M214" s="7">
        <f>IF($A214="","",L214-F214)</f>
        <v/>
      </c>
      <c r="N214" s="7" t="n"/>
      <c r="O214" s="7" t="n"/>
      <c r="P214" s="7" t="n"/>
      <c r="R214" s="14" t="n"/>
      <c r="V214">
        <f>IF($A214="","",IF(COUNTIF($A$2:$A214,$A214)=1,1,0))</f>
        <v/>
      </c>
      <c r="W214">
        <f>IF($V214=1,SUMPRODUCT(--($Y$2:$Y$1501&lt;$Y214))+1,"")</f>
        <v/>
      </c>
      <c r="X214">
        <f>IF($A214="","",IF(OR($T214=TRUE(),$T214="TRUE"),1,0))</f>
        <v/>
      </c>
      <c r="Y214">
        <f>IF($V214=1,IFERROR(IF(VALUE($A214)&lt;100000000,VALUE($A214),1000000000),IFERROR(IF(VALUE(MID($A214,2,20))&lt;100000000,VALUE(MID($A214,2,20)),1000000000),1000000000))+ROW()/100000,"")</f>
        <v/>
      </c>
    </row>
    <row r="215">
      <c r="F215" s="7">
        <f>IF($A215="","",E215*L215/100)</f>
        <v/>
      </c>
      <c r="J215" s="7" t="n"/>
      <c r="K215" s="7">
        <f>IF($A215="","",N215*U215/100)</f>
        <v/>
      </c>
      <c r="L215" s="7">
        <f>IF($A215="","",N215-K215)</f>
        <v/>
      </c>
      <c r="M215" s="7">
        <f>IF($A215="","",L215-F215)</f>
        <v/>
      </c>
      <c r="N215" s="7" t="n"/>
      <c r="O215" s="7" t="n"/>
      <c r="P215" s="7" t="n"/>
      <c r="R215" s="14" t="n"/>
      <c r="V215">
        <f>IF($A215="","",IF(COUNTIF($A$2:$A215,$A215)=1,1,0))</f>
        <v/>
      </c>
      <c r="W215">
        <f>IF($V215=1,SUMPRODUCT(--($Y$2:$Y$1501&lt;$Y215))+1,"")</f>
        <v/>
      </c>
      <c r="X215">
        <f>IF($A215="","",IF(OR($T215=TRUE(),$T215="TRUE"),1,0))</f>
        <v/>
      </c>
      <c r="Y215">
        <f>IF($V215=1,IFERROR(IF(VALUE($A215)&lt;100000000,VALUE($A215),1000000000),IFERROR(IF(VALUE(MID($A215,2,20))&lt;100000000,VALUE(MID($A215,2,20)),1000000000),1000000000))+ROW()/100000,"")</f>
        <v/>
      </c>
    </row>
    <row r="216">
      <c r="F216" s="7">
        <f>IF($A216="","",E216*L216/100)</f>
        <v/>
      </c>
      <c r="J216" s="7" t="n"/>
      <c r="K216" s="7">
        <f>IF($A216="","",N216*U216/100)</f>
        <v/>
      </c>
      <c r="L216" s="7">
        <f>IF($A216="","",N216-K216)</f>
        <v/>
      </c>
      <c r="M216" s="7">
        <f>IF($A216="","",L216-F216)</f>
        <v/>
      </c>
      <c r="N216" s="7" t="n"/>
      <c r="O216" s="7" t="n"/>
      <c r="P216" s="7" t="n"/>
      <c r="R216" s="14" t="n"/>
      <c r="V216">
        <f>IF($A216="","",IF(COUNTIF($A$2:$A216,$A216)=1,1,0))</f>
        <v/>
      </c>
      <c r="W216">
        <f>IF($V216=1,SUMPRODUCT(--($Y$2:$Y$1501&lt;$Y216))+1,"")</f>
        <v/>
      </c>
      <c r="X216">
        <f>IF($A216="","",IF(OR($T216=TRUE(),$T216="TRUE"),1,0))</f>
        <v/>
      </c>
      <c r="Y216">
        <f>IF($V216=1,IFERROR(IF(VALUE($A216)&lt;100000000,VALUE($A216),1000000000),IFERROR(IF(VALUE(MID($A216,2,20))&lt;100000000,VALUE(MID($A216,2,20)),1000000000),1000000000))+ROW()/100000,"")</f>
        <v/>
      </c>
    </row>
    <row r="217">
      <c r="F217" s="7">
        <f>IF($A217="","",E217*L217/100)</f>
        <v/>
      </c>
      <c r="J217" s="7" t="n"/>
      <c r="K217" s="7">
        <f>IF($A217="","",N217*U217/100)</f>
        <v/>
      </c>
      <c r="L217" s="7">
        <f>IF($A217="","",N217-K217)</f>
        <v/>
      </c>
      <c r="M217" s="7">
        <f>IF($A217="","",L217-F217)</f>
        <v/>
      </c>
      <c r="N217" s="7" t="n"/>
      <c r="O217" s="7" t="n"/>
      <c r="P217" s="7" t="n"/>
      <c r="R217" s="14" t="n"/>
      <c r="V217">
        <f>IF($A217="","",IF(COUNTIF($A$2:$A217,$A217)=1,1,0))</f>
        <v/>
      </c>
      <c r="W217">
        <f>IF($V217=1,SUMPRODUCT(--($Y$2:$Y$1501&lt;$Y217))+1,"")</f>
        <v/>
      </c>
      <c r="X217">
        <f>IF($A217="","",IF(OR($T217=TRUE(),$T217="TRUE"),1,0))</f>
        <v/>
      </c>
      <c r="Y217">
        <f>IF($V217=1,IFERROR(IF(VALUE($A217)&lt;100000000,VALUE($A217),1000000000),IFERROR(IF(VALUE(MID($A217,2,20))&lt;100000000,VALUE(MID($A217,2,20)),1000000000),1000000000))+ROW()/100000,"")</f>
        <v/>
      </c>
    </row>
    <row r="218">
      <c r="F218" s="7">
        <f>IF($A218="","",E218*L218/100)</f>
        <v/>
      </c>
      <c r="J218" s="7" t="n"/>
      <c r="K218" s="7">
        <f>IF($A218="","",N218*U218/100)</f>
        <v/>
      </c>
      <c r="L218" s="7">
        <f>IF($A218="","",N218-K218)</f>
        <v/>
      </c>
      <c r="M218" s="7">
        <f>IF($A218="","",L218-F218)</f>
        <v/>
      </c>
      <c r="N218" s="7" t="n"/>
      <c r="O218" s="7" t="n"/>
      <c r="P218" s="7" t="n"/>
      <c r="R218" s="14" t="n"/>
      <c r="V218">
        <f>IF($A218="","",IF(COUNTIF($A$2:$A218,$A218)=1,1,0))</f>
        <v/>
      </c>
      <c r="W218">
        <f>IF($V218=1,SUMPRODUCT(--($Y$2:$Y$1501&lt;$Y218))+1,"")</f>
        <v/>
      </c>
      <c r="X218">
        <f>IF($A218="","",IF(OR($T218=TRUE(),$T218="TRUE"),1,0))</f>
        <v/>
      </c>
      <c r="Y218">
        <f>IF($V218=1,IFERROR(IF(VALUE($A218)&lt;100000000,VALUE($A218),1000000000),IFERROR(IF(VALUE(MID($A218,2,20))&lt;100000000,VALUE(MID($A218,2,20)),1000000000),1000000000))+ROW()/100000,"")</f>
        <v/>
      </c>
    </row>
    <row r="219">
      <c r="F219" s="7">
        <f>IF($A219="","",E219*L219/100)</f>
        <v/>
      </c>
      <c r="J219" s="7" t="n"/>
      <c r="K219" s="7">
        <f>IF($A219="","",N219*U219/100)</f>
        <v/>
      </c>
      <c r="L219" s="7">
        <f>IF($A219="","",N219-K219)</f>
        <v/>
      </c>
      <c r="M219" s="7">
        <f>IF($A219="","",L219-F219)</f>
        <v/>
      </c>
      <c r="N219" s="7" t="n"/>
      <c r="O219" s="7" t="n"/>
      <c r="P219" s="7" t="n"/>
      <c r="R219" s="14" t="n"/>
      <c r="V219">
        <f>IF($A219="","",IF(COUNTIF($A$2:$A219,$A219)=1,1,0))</f>
        <v/>
      </c>
      <c r="W219">
        <f>IF($V219=1,SUMPRODUCT(--($Y$2:$Y$1501&lt;$Y219))+1,"")</f>
        <v/>
      </c>
      <c r="X219">
        <f>IF($A219="","",IF(OR($T219=TRUE(),$T219="TRUE"),1,0))</f>
        <v/>
      </c>
      <c r="Y219">
        <f>IF($V219=1,IFERROR(IF(VALUE($A219)&lt;100000000,VALUE($A219),1000000000),IFERROR(IF(VALUE(MID($A219,2,20))&lt;100000000,VALUE(MID($A219,2,20)),1000000000),1000000000))+ROW()/100000,"")</f>
        <v/>
      </c>
    </row>
    <row r="220">
      <c r="F220" s="7">
        <f>IF($A220="","",E220*L220/100)</f>
        <v/>
      </c>
      <c r="J220" s="7" t="n"/>
      <c r="K220" s="7">
        <f>IF($A220="","",N220*U220/100)</f>
        <v/>
      </c>
      <c r="L220" s="7">
        <f>IF($A220="","",N220-K220)</f>
        <v/>
      </c>
      <c r="M220" s="7">
        <f>IF($A220="","",L220-F220)</f>
        <v/>
      </c>
      <c r="N220" s="7" t="n"/>
      <c r="O220" s="7" t="n"/>
      <c r="P220" s="7" t="n"/>
      <c r="R220" s="14" t="n"/>
      <c r="V220">
        <f>IF($A220="","",IF(COUNTIF($A$2:$A220,$A220)=1,1,0))</f>
        <v/>
      </c>
      <c r="W220">
        <f>IF($V220=1,SUMPRODUCT(--($Y$2:$Y$1501&lt;$Y220))+1,"")</f>
        <v/>
      </c>
      <c r="X220">
        <f>IF($A220="","",IF(OR($T220=TRUE(),$T220="TRUE"),1,0))</f>
        <v/>
      </c>
      <c r="Y220">
        <f>IF($V220=1,IFERROR(IF(VALUE($A220)&lt;100000000,VALUE($A220),1000000000),IFERROR(IF(VALUE(MID($A220,2,20))&lt;100000000,VALUE(MID($A220,2,20)),1000000000),1000000000))+ROW()/100000,"")</f>
        <v/>
      </c>
    </row>
    <row r="221">
      <c r="F221" s="7">
        <f>IF($A221="","",E221*L221/100)</f>
        <v/>
      </c>
      <c r="J221" s="7" t="n"/>
      <c r="K221" s="7">
        <f>IF($A221="","",N221*U221/100)</f>
        <v/>
      </c>
      <c r="L221" s="7">
        <f>IF($A221="","",N221-K221)</f>
        <v/>
      </c>
      <c r="M221" s="7">
        <f>IF($A221="","",L221-F221)</f>
        <v/>
      </c>
      <c r="N221" s="7" t="n"/>
      <c r="O221" s="7" t="n"/>
      <c r="P221" s="7" t="n"/>
      <c r="R221" s="14" t="n"/>
      <c r="V221">
        <f>IF($A221="","",IF(COUNTIF($A$2:$A221,$A221)=1,1,0))</f>
        <v/>
      </c>
      <c r="W221">
        <f>IF($V221=1,SUMPRODUCT(--($Y$2:$Y$1501&lt;$Y221))+1,"")</f>
        <v/>
      </c>
      <c r="X221">
        <f>IF($A221="","",IF(OR($T221=TRUE(),$T221="TRUE"),1,0))</f>
        <v/>
      </c>
      <c r="Y221">
        <f>IF($V221=1,IFERROR(IF(VALUE($A221)&lt;100000000,VALUE($A221),1000000000),IFERROR(IF(VALUE(MID($A221,2,20))&lt;100000000,VALUE(MID($A221,2,20)),1000000000),1000000000))+ROW()/100000,"")</f>
        <v/>
      </c>
    </row>
    <row r="222">
      <c r="F222" s="7">
        <f>IF($A222="","",E222*L222/100)</f>
        <v/>
      </c>
      <c r="J222" s="7" t="n"/>
      <c r="K222" s="7">
        <f>IF($A222="","",N222*U222/100)</f>
        <v/>
      </c>
      <c r="L222" s="7">
        <f>IF($A222="","",N222-K222)</f>
        <v/>
      </c>
      <c r="M222" s="7">
        <f>IF($A222="","",L222-F222)</f>
        <v/>
      </c>
      <c r="N222" s="7" t="n"/>
      <c r="O222" s="7" t="n"/>
      <c r="P222" s="7" t="n"/>
      <c r="R222" s="14" t="n"/>
      <c r="V222">
        <f>IF($A222="","",IF(COUNTIF($A$2:$A222,$A222)=1,1,0))</f>
        <v/>
      </c>
      <c r="W222">
        <f>IF($V222=1,SUMPRODUCT(--($Y$2:$Y$1501&lt;$Y222))+1,"")</f>
        <v/>
      </c>
      <c r="X222">
        <f>IF($A222="","",IF(OR($T222=TRUE(),$T222="TRUE"),1,0))</f>
        <v/>
      </c>
      <c r="Y222">
        <f>IF($V222=1,IFERROR(IF(VALUE($A222)&lt;100000000,VALUE($A222),1000000000),IFERROR(IF(VALUE(MID($A222,2,20))&lt;100000000,VALUE(MID($A222,2,20)),1000000000),1000000000))+ROW()/100000,"")</f>
        <v/>
      </c>
    </row>
    <row r="223">
      <c r="F223" s="7">
        <f>IF($A223="","",E223*L223/100)</f>
        <v/>
      </c>
      <c r="J223" s="7" t="n"/>
      <c r="K223" s="7">
        <f>IF($A223="","",N223*U223/100)</f>
        <v/>
      </c>
      <c r="L223" s="7">
        <f>IF($A223="","",N223-K223)</f>
        <v/>
      </c>
      <c r="M223" s="7">
        <f>IF($A223="","",L223-F223)</f>
        <v/>
      </c>
      <c r="N223" s="7" t="n"/>
      <c r="O223" s="7" t="n"/>
      <c r="P223" s="7" t="n"/>
      <c r="R223" s="14" t="n"/>
      <c r="V223">
        <f>IF($A223="","",IF(COUNTIF($A$2:$A223,$A223)=1,1,0))</f>
        <v/>
      </c>
      <c r="W223">
        <f>IF($V223=1,SUMPRODUCT(--($Y$2:$Y$1501&lt;$Y223))+1,"")</f>
        <v/>
      </c>
      <c r="X223">
        <f>IF($A223="","",IF(OR($T223=TRUE(),$T223="TRUE"),1,0))</f>
        <v/>
      </c>
      <c r="Y223">
        <f>IF($V223=1,IFERROR(IF(VALUE($A223)&lt;100000000,VALUE($A223),1000000000),IFERROR(IF(VALUE(MID($A223,2,20))&lt;100000000,VALUE(MID($A223,2,20)),1000000000),1000000000))+ROW()/100000,"")</f>
        <v/>
      </c>
    </row>
    <row r="224">
      <c r="F224" s="7">
        <f>IF($A224="","",E224*L224/100)</f>
        <v/>
      </c>
      <c r="J224" s="7" t="n"/>
      <c r="K224" s="7">
        <f>IF($A224="","",N224*U224/100)</f>
        <v/>
      </c>
      <c r="L224" s="7">
        <f>IF($A224="","",N224-K224)</f>
        <v/>
      </c>
      <c r="M224" s="7">
        <f>IF($A224="","",L224-F224)</f>
        <v/>
      </c>
      <c r="N224" s="7" t="n"/>
      <c r="O224" s="7" t="n"/>
      <c r="P224" s="7" t="n"/>
      <c r="R224" s="14" t="n"/>
      <c r="V224">
        <f>IF($A224="","",IF(COUNTIF($A$2:$A224,$A224)=1,1,0))</f>
        <v/>
      </c>
      <c r="W224">
        <f>IF($V224=1,SUMPRODUCT(--($Y$2:$Y$1501&lt;$Y224))+1,"")</f>
        <v/>
      </c>
      <c r="X224">
        <f>IF($A224="","",IF(OR($T224=TRUE(),$T224="TRUE"),1,0))</f>
        <v/>
      </c>
      <c r="Y224">
        <f>IF($V224=1,IFERROR(IF(VALUE($A224)&lt;100000000,VALUE($A224),1000000000),IFERROR(IF(VALUE(MID($A224,2,20))&lt;100000000,VALUE(MID($A224,2,20)),1000000000),1000000000))+ROW()/100000,"")</f>
        <v/>
      </c>
    </row>
    <row r="225">
      <c r="F225" s="7">
        <f>IF($A225="","",E225*L225/100)</f>
        <v/>
      </c>
      <c r="J225" s="7" t="n"/>
      <c r="K225" s="7">
        <f>IF($A225="","",N225*U225/100)</f>
        <v/>
      </c>
      <c r="L225" s="7">
        <f>IF($A225="","",N225-K225)</f>
        <v/>
      </c>
      <c r="M225" s="7">
        <f>IF($A225="","",L225-F225)</f>
        <v/>
      </c>
      <c r="N225" s="7" t="n"/>
      <c r="O225" s="7" t="n"/>
      <c r="P225" s="7" t="n"/>
      <c r="R225" s="14" t="n"/>
      <c r="V225">
        <f>IF($A225="","",IF(COUNTIF($A$2:$A225,$A225)=1,1,0))</f>
        <v/>
      </c>
      <c r="W225">
        <f>IF($V225=1,SUMPRODUCT(--($Y$2:$Y$1501&lt;$Y225))+1,"")</f>
        <v/>
      </c>
      <c r="X225">
        <f>IF($A225="","",IF(OR($T225=TRUE(),$T225="TRUE"),1,0))</f>
        <v/>
      </c>
      <c r="Y225">
        <f>IF($V225=1,IFERROR(IF(VALUE($A225)&lt;100000000,VALUE($A225),1000000000),IFERROR(IF(VALUE(MID($A225,2,20))&lt;100000000,VALUE(MID($A225,2,20)),1000000000),1000000000))+ROW()/100000,"")</f>
        <v/>
      </c>
    </row>
    <row r="226">
      <c r="F226" s="7">
        <f>IF($A226="","",E226*L226/100)</f>
        <v/>
      </c>
      <c r="J226" s="7" t="n"/>
      <c r="K226" s="7">
        <f>IF($A226="","",N226*U226/100)</f>
        <v/>
      </c>
      <c r="L226" s="7">
        <f>IF($A226="","",N226-K226)</f>
        <v/>
      </c>
      <c r="M226" s="7">
        <f>IF($A226="","",L226-F226)</f>
        <v/>
      </c>
      <c r="N226" s="7" t="n"/>
      <c r="O226" s="7" t="n"/>
      <c r="P226" s="7" t="n"/>
      <c r="R226" s="14" t="n"/>
      <c r="V226">
        <f>IF($A226="","",IF(COUNTIF($A$2:$A226,$A226)=1,1,0))</f>
        <v/>
      </c>
      <c r="W226">
        <f>IF($V226=1,SUMPRODUCT(--($Y$2:$Y$1501&lt;$Y226))+1,"")</f>
        <v/>
      </c>
      <c r="X226">
        <f>IF($A226="","",IF(OR($T226=TRUE(),$T226="TRUE"),1,0))</f>
        <v/>
      </c>
      <c r="Y226">
        <f>IF($V226=1,IFERROR(IF(VALUE($A226)&lt;100000000,VALUE($A226),1000000000),IFERROR(IF(VALUE(MID($A226,2,20))&lt;100000000,VALUE(MID($A226,2,20)),1000000000),1000000000))+ROW()/100000,"")</f>
        <v/>
      </c>
    </row>
    <row r="227">
      <c r="F227" s="7">
        <f>IF($A227="","",E227*L227/100)</f>
        <v/>
      </c>
      <c r="J227" s="7" t="n"/>
      <c r="K227" s="7">
        <f>IF($A227="","",N227*U227/100)</f>
        <v/>
      </c>
      <c r="L227" s="7">
        <f>IF($A227="","",N227-K227)</f>
        <v/>
      </c>
      <c r="M227" s="7">
        <f>IF($A227="","",L227-F227)</f>
        <v/>
      </c>
      <c r="N227" s="7" t="n"/>
      <c r="O227" s="7" t="n"/>
      <c r="P227" s="7" t="n"/>
      <c r="R227" s="14" t="n"/>
      <c r="V227">
        <f>IF($A227="","",IF(COUNTIF($A$2:$A227,$A227)=1,1,0))</f>
        <v/>
      </c>
      <c r="W227">
        <f>IF($V227=1,SUMPRODUCT(--($Y$2:$Y$1501&lt;$Y227))+1,"")</f>
        <v/>
      </c>
      <c r="X227">
        <f>IF($A227="","",IF(OR($T227=TRUE(),$T227="TRUE"),1,0))</f>
        <v/>
      </c>
      <c r="Y227">
        <f>IF($V227=1,IFERROR(IF(VALUE($A227)&lt;100000000,VALUE($A227),1000000000),IFERROR(IF(VALUE(MID($A227,2,20))&lt;100000000,VALUE(MID($A227,2,20)),1000000000),1000000000))+ROW()/100000,"")</f>
        <v/>
      </c>
    </row>
    <row r="228">
      <c r="F228" s="7">
        <f>IF($A228="","",E228*L228/100)</f>
        <v/>
      </c>
      <c r="J228" s="7" t="n"/>
      <c r="K228" s="7">
        <f>IF($A228="","",N228*U228/100)</f>
        <v/>
      </c>
      <c r="L228" s="7">
        <f>IF($A228="","",N228-K228)</f>
        <v/>
      </c>
      <c r="M228" s="7">
        <f>IF($A228="","",L228-F228)</f>
        <v/>
      </c>
      <c r="N228" s="7" t="n"/>
      <c r="O228" s="7" t="n"/>
      <c r="P228" s="7" t="n"/>
      <c r="R228" s="14" t="n"/>
      <c r="V228">
        <f>IF($A228="","",IF(COUNTIF($A$2:$A228,$A228)=1,1,0))</f>
        <v/>
      </c>
      <c r="W228">
        <f>IF($V228=1,SUMPRODUCT(--($Y$2:$Y$1501&lt;$Y228))+1,"")</f>
        <v/>
      </c>
      <c r="X228">
        <f>IF($A228="","",IF(OR($T228=TRUE(),$T228="TRUE"),1,0))</f>
        <v/>
      </c>
      <c r="Y228">
        <f>IF($V228=1,IFERROR(IF(VALUE($A228)&lt;100000000,VALUE($A228),1000000000),IFERROR(IF(VALUE(MID($A228,2,20))&lt;100000000,VALUE(MID($A228,2,20)),1000000000),1000000000))+ROW()/100000,"")</f>
        <v/>
      </c>
    </row>
    <row r="229">
      <c r="F229" s="7">
        <f>IF($A229="","",E229*L229/100)</f>
        <v/>
      </c>
      <c r="J229" s="7" t="n"/>
      <c r="K229" s="7">
        <f>IF($A229="","",N229*U229/100)</f>
        <v/>
      </c>
      <c r="L229" s="7">
        <f>IF($A229="","",N229-K229)</f>
        <v/>
      </c>
      <c r="M229" s="7">
        <f>IF($A229="","",L229-F229)</f>
        <v/>
      </c>
      <c r="N229" s="7" t="n"/>
      <c r="O229" s="7" t="n"/>
      <c r="P229" s="7" t="n"/>
      <c r="R229" s="14" t="n"/>
      <c r="V229">
        <f>IF($A229="","",IF(COUNTIF($A$2:$A229,$A229)=1,1,0))</f>
        <v/>
      </c>
      <c r="W229">
        <f>IF($V229=1,SUMPRODUCT(--($Y$2:$Y$1501&lt;$Y229))+1,"")</f>
        <v/>
      </c>
      <c r="X229">
        <f>IF($A229="","",IF(OR($T229=TRUE(),$T229="TRUE"),1,0))</f>
        <v/>
      </c>
      <c r="Y229">
        <f>IF($V229=1,IFERROR(IF(VALUE($A229)&lt;100000000,VALUE($A229),1000000000),IFERROR(IF(VALUE(MID($A229,2,20))&lt;100000000,VALUE(MID($A229,2,20)),1000000000),1000000000))+ROW()/100000,"")</f>
        <v/>
      </c>
    </row>
    <row r="230">
      <c r="F230" s="7">
        <f>IF($A230="","",E230*L230/100)</f>
        <v/>
      </c>
      <c r="J230" s="7" t="n"/>
      <c r="K230" s="7">
        <f>IF($A230="","",N230*U230/100)</f>
        <v/>
      </c>
      <c r="L230" s="7">
        <f>IF($A230="","",N230-K230)</f>
        <v/>
      </c>
      <c r="M230" s="7">
        <f>IF($A230="","",L230-F230)</f>
        <v/>
      </c>
      <c r="N230" s="7" t="n"/>
      <c r="O230" s="7" t="n"/>
      <c r="P230" s="7" t="n"/>
      <c r="R230" s="14" t="n"/>
      <c r="V230">
        <f>IF($A230="","",IF(COUNTIF($A$2:$A230,$A230)=1,1,0))</f>
        <v/>
      </c>
      <c r="W230">
        <f>IF($V230=1,SUMPRODUCT(--($Y$2:$Y$1501&lt;$Y230))+1,"")</f>
        <v/>
      </c>
      <c r="X230">
        <f>IF($A230="","",IF(OR($T230=TRUE(),$T230="TRUE"),1,0))</f>
        <v/>
      </c>
      <c r="Y230">
        <f>IF($V230=1,IFERROR(IF(VALUE($A230)&lt;100000000,VALUE($A230),1000000000),IFERROR(IF(VALUE(MID($A230,2,20))&lt;100000000,VALUE(MID($A230,2,20)),1000000000),1000000000))+ROW()/100000,"")</f>
        <v/>
      </c>
    </row>
    <row r="231">
      <c r="F231" s="7">
        <f>IF($A231="","",E231*L231/100)</f>
        <v/>
      </c>
      <c r="J231" s="7" t="n"/>
      <c r="K231" s="7">
        <f>IF($A231="","",N231*U231/100)</f>
        <v/>
      </c>
      <c r="L231" s="7">
        <f>IF($A231="","",N231-K231)</f>
        <v/>
      </c>
      <c r="M231" s="7">
        <f>IF($A231="","",L231-F231)</f>
        <v/>
      </c>
      <c r="N231" s="7" t="n"/>
      <c r="O231" s="7" t="n"/>
      <c r="P231" s="7" t="n"/>
      <c r="R231" s="14" t="n"/>
      <c r="V231">
        <f>IF($A231="","",IF(COUNTIF($A$2:$A231,$A231)=1,1,0))</f>
        <v/>
      </c>
      <c r="W231">
        <f>IF($V231=1,SUMPRODUCT(--($Y$2:$Y$1501&lt;$Y231))+1,"")</f>
        <v/>
      </c>
      <c r="X231">
        <f>IF($A231="","",IF(OR($T231=TRUE(),$T231="TRUE"),1,0))</f>
        <v/>
      </c>
      <c r="Y231">
        <f>IF($V231=1,IFERROR(IF(VALUE($A231)&lt;100000000,VALUE($A231),1000000000),IFERROR(IF(VALUE(MID($A231,2,20))&lt;100000000,VALUE(MID($A231,2,20)),1000000000),1000000000))+ROW()/100000,"")</f>
        <v/>
      </c>
    </row>
    <row r="232">
      <c r="F232" s="7">
        <f>IF($A232="","",E232*L232/100)</f>
        <v/>
      </c>
      <c r="J232" s="7" t="n"/>
      <c r="K232" s="7">
        <f>IF($A232="","",N232*U232/100)</f>
        <v/>
      </c>
      <c r="L232" s="7">
        <f>IF($A232="","",N232-K232)</f>
        <v/>
      </c>
      <c r="M232" s="7">
        <f>IF($A232="","",L232-F232)</f>
        <v/>
      </c>
      <c r="N232" s="7" t="n"/>
      <c r="O232" s="7" t="n"/>
      <c r="P232" s="7" t="n"/>
      <c r="R232" s="14" t="n"/>
      <c r="V232">
        <f>IF($A232="","",IF(COUNTIF($A$2:$A232,$A232)=1,1,0))</f>
        <v/>
      </c>
      <c r="W232">
        <f>IF($V232=1,SUMPRODUCT(--($Y$2:$Y$1501&lt;$Y232))+1,"")</f>
        <v/>
      </c>
      <c r="X232">
        <f>IF($A232="","",IF(OR($T232=TRUE(),$T232="TRUE"),1,0))</f>
        <v/>
      </c>
      <c r="Y232">
        <f>IF($V232=1,IFERROR(IF(VALUE($A232)&lt;100000000,VALUE($A232),1000000000),IFERROR(IF(VALUE(MID($A232,2,20))&lt;100000000,VALUE(MID($A232,2,20)),1000000000),1000000000))+ROW()/100000,"")</f>
        <v/>
      </c>
    </row>
    <row r="233">
      <c r="F233" s="7">
        <f>IF($A233="","",E233*L233/100)</f>
        <v/>
      </c>
      <c r="J233" s="7" t="n"/>
      <c r="K233" s="7">
        <f>IF($A233="","",N233*U233/100)</f>
        <v/>
      </c>
      <c r="L233" s="7">
        <f>IF($A233="","",N233-K233)</f>
        <v/>
      </c>
      <c r="M233" s="7">
        <f>IF($A233="","",L233-F233)</f>
        <v/>
      </c>
      <c r="N233" s="7" t="n"/>
      <c r="O233" s="7" t="n"/>
      <c r="P233" s="7" t="n"/>
      <c r="R233" s="14" t="n"/>
      <c r="V233">
        <f>IF($A233="","",IF(COUNTIF($A$2:$A233,$A233)=1,1,0))</f>
        <v/>
      </c>
      <c r="W233">
        <f>IF($V233=1,SUMPRODUCT(--($Y$2:$Y$1501&lt;$Y233))+1,"")</f>
        <v/>
      </c>
      <c r="X233">
        <f>IF($A233="","",IF(OR($T233=TRUE(),$T233="TRUE"),1,0))</f>
        <v/>
      </c>
      <c r="Y233">
        <f>IF($V233=1,IFERROR(IF(VALUE($A233)&lt;100000000,VALUE($A233),1000000000),IFERROR(IF(VALUE(MID($A233,2,20))&lt;100000000,VALUE(MID($A233,2,20)),1000000000),1000000000))+ROW()/100000,"")</f>
        <v/>
      </c>
    </row>
    <row r="234">
      <c r="F234" s="7">
        <f>IF($A234="","",E234*L234/100)</f>
        <v/>
      </c>
      <c r="J234" s="7" t="n"/>
      <c r="K234" s="7">
        <f>IF($A234="","",N234*U234/100)</f>
        <v/>
      </c>
      <c r="L234" s="7">
        <f>IF($A234="","",N234-K234)</f>
        <v/>
      </c>
      <c r="M234" s="7">
        <f>IF($A234="","",L234-F234)</f>
        <v/>
      </c>
      <c r="N234" s="7" t="n"/>
      <c r="O234" s="7" t="n"/>
      <c r="P234" s="7" t="n"/>
      <c r="R234" s="14" t="n"/>
      <c r="V234">
        <f>IF($A234="","",IF(COUNTIF($A$2:$A234,$A234)=1,1,0))</f>
        <v/>
      </c>
      <c r="W234">
        <f>IF($V234=1,SUMPRODUCT(--($Y$2:$Y$1501&lt;$Y234))+1,"")</f>
        <v/>
      </c>
      <c r="X234">
        <f>IF($A234="","",IF(OR($T234=TRUE(),$T234="TRUE"),1,0))</f>
        <v/>
      </c>
      <c r="Y234">
        <f>IF($V234=1,IFERROR(IF(VALUE($A234)&lt;100000000,VALUE($A234),1000000000),IFERROR(IF(VALUE(MID($A234,2,20))&lt;100000000,VALUE(MID($A234,2,20)),1000000000),1000000000))+ROW()/100000,"")</f>
        <v/>
      </c>
    </row>
    <row r="235">
      <c r="F235" s="7">
        <f>IF($A235="","",E235*L235/100)</f>
        <v/>
      </c>
      <c r="J235" s="7" t="n"/>
      <c r="K235" s="7">
        <f>IF($A235="","",N235*U235/100)</f>
        <v/>
      </c>
      <c r="L235" s="7">
        <f>IF($A235="","",N235-K235)</f>
        <v/>
      </c>
      <c r="M235" s="7">
        <f>IF($A235="","",L235-F235)</f>
        <v/>
      </c>
      <c r="N235" s="7" t="n"/>
      <c r="O235" s="7" t="n"/>
      <c r="P235" s="7" t="n"/>
      <c r="R235" s="14" t="n"/>
      <c r="V235">
        <f>IF($A235="","",IF(COUNTIF($A$2:$A235,$A235)=1,1,0))</f>
        <v/>
      </c>
      <c r="W235">
        <f>IF($V235=1,SUMPRODUCT(--($Y$2:$Y$1501&lt;$Y235))+1,"")</f>
        <v/>
      </c>
      <c r="X235">
        <f>IF($A235="","",IF(OR($T235=TRUE(),$T235="TRUE"),1,0))</f>
        <v/>
      </c>
      <c r="Y235">
        <f>IF($V235=1,IFERROR(IF(VALUE($A235)&lt;100000000,VALUE($A235),1000000000),IFERROR(IF(VALUE(MID($A235,2,20))&lt;100000000,VALUE(MID($A235,2,20)),1000000000),1000000000))+ROW()/100000,"")</f>
        <v/>
      </c>
    </row>
    <row r="236">
      <c r="F236" s="7">
        <f>IF($A236="","",E236*L236/100)</f>
        <v/>
      </c>
      <c r="J236" s="7" t="n"/>
      <c r="K236" s="7">
        <f>IF($A236="","",N236*U236/100)</f>
        <v/>
      </c>
      <c r="L236" s="7">
        <f>IF($A236="","",N236-K236)</f>
        <v/>
      </c>
      <c r="M236" s="7">
        <f>IF($A236="","",L236-F236)</f>
        <v/>
      </c>
      <c r="N236" s="7" t="n"/>
      <c r="O236" s="7" t="n"/>
      <c r="P236" s="7" t="n"/>
      <c r="R236" s="14" t="n"/>
      <c r="V236">
        <f>IF($A236="","",IF(COUNTIF($A$2:$A236,$A236)=1,1,0))</f>
        <v/>
      </c>
      <c r="W236">
        <f>IF($V236=1,SUMPRODUCT(--($Y$2:$Y$1501&lt;$Y236))+1,"")</f>
        <v/>
      </c>
      <c r="X236">
        <f>IF($A236="","",IF(OR($T236=TRUE(),$T236="TRUE"),1,0))</f>
        <v/>
      </c>
      <c r="Y236">
        <f>IF($V236=1,IFERROR(IF(VALUE($A236)&lt;100000000,VALUE($A236),1000000000),IFERROR(IF(VALUE(MID($A236,2,20))&lt;100000000,VALUE(MID($A236,2,20)),1000000000),1000000000))+ROW()/100000,"")</f>
        <v/>
      </c>
    </row>
    <row r="237">
      <c r="F237" s="7">
        <f>IF($A237="","",E237*L237/100)</f>
        <v/>
      </c>
      <c r="J237" s="7" t="n"/>
      <c r="K237" s="7">
        <f>IF($A237="","",N237*U237/100)</f>
        <v/>
      </c>
      <c r="L237" s="7">
        <f>IF($A237="","",N237-K237)</f>
        <v/>
      </c>
      <c r="M237" s="7">
        <f>IF($A237="","",L237-F237)</f>
        <v/>
      </c>
      <c r="N237" s="7" t="n"/>
      <c r="O237" s="7" t="n"/>
      <c r="P237" s="7" t="n"/>
      <c r="R237" s="14" t="n"/>
      <c r="V237">
        <f>IF($A237="","",IF(COUNTIF($A$2:$A237,$A237)=1,1,0))</f>
        <v/>
      </c>
      <c r="W237">
        <f>IF($V237=1,SUMPRODUCT(--($Y$2:$Y$1501&lt;$Y237))+1,"")</f>
        <v/>
      </c>
      <c r="X237">
        <f>IF($A237="","",IF(OR($T237=TRUE(),$T237="TRUE"),1,0))</f>
        <v/>
      </c>
      <c r="Y237">
        <f>IF($V237=1,IFERROR(IF(VALUE($A237)&lt;100000000,VALUE($A237),1000000000),IFERROR(IF(VALUE(MID($A237,2,20))&lt;100000000,VALUE(MID($A237,2,20)),1000000000),1000000000))+ROW()/100000,"")</f>
        <v/>
      </c>
    </row>
    <row r="238">
      <c r="F238" s="7">
        <f>IF($A238="","",E238*L238/100)</f>
        <v/>
      </c>
      <c r="J238" s="7" t="n"/>
      <c r="K238" s="7">
        <f>IF($A238="","",N238*U238/100)</f>
        <v/>
      </c>
      <c r="L238" s="7">
        <f>IF($A238="","",N238-K238)</f>
        <v/>
      </c>
      <c r="M238" s="7">
        <f>IF($A238="","",L238-F238)</f>
        <v/>
      </c>
      <c r="N238" s="7" t="n"/>
      <c r="O238" s="7" t="n"/>
      <c r="P238" s="7" t="n"/>
      <c r="R238" s="14" t="n"/>
      <c r="V238">
        <f>IF($A238="","",IF(COUNTIF($A$2:$A238,$A238)=1,1,0))</f>
        <v/>
      </c>
      <c r="W238">
        <f>IF($V238=1,SUMPRODUCT(--($Y$2:$Y$1501&lt;$Y238))+1,"")</f>
        <v/>
      </c>
      <c r="X238">
        <f>IF($A238="","",IF(OR($T238=TRUE(),$T238="TRUE"),1,0))</f>
        <v/>
      </c>
      <c r="Y238">
        <f>IF($V238=1,IFERROR(IF(VALUE($A238)&lt;100000000,VALUE($A238),1000000000),IFERROR(IF(VALUE(MID($A238,2,20))&lt;100000000,VALUE(MID($A238,2,20)),1000000000),1000000000))+ROW()/100000,"")</f>
        <v/>
      </c>
    </row>
    <row r="239">
      <c r="F239" s="7">
        <f>IF($A239="","",E239*L239/100)</f>
        <v/>
      </c>
      <c r="J239" s="7" t="n"/>
      <c r="K239" s="7">
        <f>IF($A239="","",N239*U239/100)</f>
        <v/>
      </c>
      <c r="L239" s="7">
        <f>IF($A239="","",N239-K239)</f>
        <v/>
      </c>
      <c r="M239" s="7">
        <f>IF($A239="","",L239-F239)</f>
        <v/>
      </c>
      <c r="N239" s="7" t="n"/>
      <c r="O239" s="7" t="n"/>
      <c r="P239" s="7" t="n"/>
      <c r="R239" s="14" t="n"/>
      <c r="V239">
        <f>IF($A239="","",IF(COUNTIF($A$2:$A239,$A239)=1,1,0))</f>
        <v/>
      </c>
      <c r="W239">
        <f>IF($V239=1,SUMPRODUCT(--($Y$2:$Y$1501&lt;$Y239))+1,"")</f>
        <v/>
      </c>
      <c r="X239">
        <f>IF($A239="","",IF(OR($T239=TRUE(),$T239="TRUE"),1,0))</f>
        <v/>
      </c>
      <c r="Y239">
        <f>IF($V239=1,IFERROR(IF(VALUE($A239)&lt;100000000,VALUE($A239),1000000000),IFERROR(IF(VALUE(MID($A239,2,20))&lt;100000000,VALUE(MID($A239,2,20)),1000000000),1000000000))+ROW()/100000,"")</f>
        <v/>
      </c>
    </row>
    <row r="240">
      <c r="F240" s="7">
        <f>IF($A240="","",E240*L240/100)</f>
        <v/>
      </c>
      <c r="J240" s="7" t="n"/>
      <c r="K240" s="7">
        <f>IF($A240="","",N240*U240/100)</f>
        <v/>
      </c>
      <c r="L240" s="7">
        <f>IF($A240="","",N240-K240)</f>
        <v/>
      </c>
      <c r="M240" s="7">
        <f>IF($A240="","",L240-F240)</f>
        <v/>
      </c>
      <c r="N240" s="7" t="n"/>
      <c r="O240" s="7" t="n"/>
      <c r="P240" s="7" t="n"/>
      <c r="R240" s="14" t="n"/>
      <c r="V240">
        <f>IF($A240="","",IF(COUNTIF($A$2:$A240,$A240)=1,1,0))</f>
        <v/>
      </c>
      <c r="W240">
        <f>IF($V240=1,SUMPRODUCT(--($Y$2:$Y$1501&lt;$Y240))+1,"")</f>
        <v/>
      </c>
      <c r="X240">
        <f>IF($A240="","",IF(OR($T240=TRUE(),$T240="TRUE"),1,0))</f>
        <v/>
      </c>
      <c r="Y240">
        <f>IF($V240=1,IFERROR(IF(VALUE($A240)&lt;100000000,VALUE($A240),1000000000),IFERROR(IF(VALUE(MID($A240,2,20))&lt;100000000,VALUE(MID($A240,2,20)),1000000000),1000000000))+ROW()/100000,"")</f>
        <v/>
      </c>
    </row>
    <row r="241">
      <c r="F241" s="7">
        <f>IF($A241="","",E241*L241/100)</f>
        <v/>
      </c>
      <c r="J241" s="7" t="n"/>
      <c r="K241" s="7">
        <f>IF($A241="","",N241*U241/100)</f>
        <v/>
      </c>
      <c r="L241" s="7">
        <f>IF($A241="","",N241-K241)</f>
        <v/>
      </c>
      <c r="M241" s="7">
        <f>IF($A241="","",L241-F241)</f>
        <v/>
      </c>
      <c r="N241" s="7" t="n"/>
      <c r="O241" s="7" t="n"/>
      <c r="P241" s="7" t="n"/>
      <c r="R241" s="14" t="n"/>
      <c r="V241">
        <f>IF($A241="","",IF(COUNTIF($A$2:$A241,$A241)=1,1,0))</f>
        <v/>
      </c>
      <c r="W241">
        <f>IF($V241=1,SUMPRODUCT(--($Y$2:$Y$1501&lt;$Y241))+1,"")</f>
        <v/>
      </c>
      <c r="X241">
        <f>IF($A241="","",IF(OR($T241=TRUE(),$T241="TRUE"),1,0))</f>
        <v/>
      </c>
      <c r="Y241">
        <f>IF($V241=1,IFERROR(IF(VALUE($A241)&lt;100000000,VALUE($A241),1000000000),IFERROR(IF(VALUE(MID($A241,2,20))&lt;100000000,VALUE(MID($A241,2,20)),1000000000),1000000000))+ROW()/100000,"")</f>
        <v/>
      </c>
    </row>
    <row r="242">
      <c r="F242" s="7">
        <f>IF($A242="","",E242*L242/100)</f>
        <v/>
      </c>
      <c r="J242" s="7" t="n"/>
      <c r="K242" s="7">
        <f>IF($A242="","",N242*U242/100)</f>
        <v/>
      </c>
      <c r="L242" s="7">
        <f>IF($A242="","",N242-K242)</f>
        <v/>
      </c>
      <c r="M242" s="7">
        <f>IF($A242="","",L242-F242)</f>
        <v/>
      </c>
      <c r="N242" s="7" t="n"/>
      <c r="O242" s="7" t="n"/>
      <c r="P242" s="7" t="n"/>
      <c r="R242" s="14" t="n"/>
      <c r="V242">
        <f>IF($A242="","",IF(COUNTIF($A$2:$A242,$A242)=1,1,0))</f>
        <v/>
      </c>
      <c r="W242">
        <f>IF($V242=1,SUMPRODUCT(--($Y$2:$Y$1501&lt;$Y242))+1,"")</f>
        <v/>
      </c>
      <c r="X242">
        <f>IF($A242="","",IF(OR($T242=TRUE(),$T242="TRUE"),1,0))</f>
        <v/>
      </c>
      <c r="Y242">
        <f>IF($V242=1,IFERROR(IF(VALUE($A242)&lt;100000000,VALUE($A242),1000000000),IFERROR(IF(VALUE(MID($A242,2,20))&lt;100000000,VALUE(MID($A242,2,20)),1000000000),1000000000))+ROW()/100000,"")</f>
        <v/>
      </c>
    </row>
    <row r="243">
      <c r="F243" s="7">
        <f>IF($A243="","",E243*L243/100)</f>
        <v/>
      </c>
      <c r="J243" s="7" t="n"/>
      <c r="K243" s="7">
        <f>IF($A243="","",N243*U243/100)</f>
        <v/>
      </c>
      <c r="L243" s="7">
        <f>IF($A243="","",N243-K243)</f>
        <v/>
      </c>
      <c r="M243" s="7">
        <f>IF($A243="","",L243-F243)</f>
        <v/>
      </c>
      <c r="N243" s="7" t="n"/>
      <c r="O243" s="7" t="n"/>
      <c r="P243" s="7" t="n"/>
      <c r="R243" s="14" t="n"/>
      <c r="V243">
        <f>IF($A243="","",IF(COUNTIF($A$2:$A243,$A243)=1,1,0))</f>
        <v/>
      </c>
      <c r="W243">
        <f>IF($V243=1,SUMPRODUCT(--($Y$2:$Y$1501&lt;$Y243))+1,"")</f>
        <v/>
      </c>
      <c r="X243">
        <f>IF($A243="","",IF(OR($T243=TRUE(),$T243="TRUE"),1,0))</f>
        <v/>
      </c>
      <c r="Y243">
        <f>IF($V243=1,IFERROR(IF(VALUE($A243)&lt;100000000,VALUE($A243),1000000000),IFERROR(IF(VALUE(MID($A243,2,20))&lt;100000000,VALUE(MID($A243,2,20)),1000000000),1000000000))+ROW()/100000,"")</f>
        <v/>
      </c>
    </row>
    <row r="244">
      <c r="F244" s="7">
        <f>IF($A244="","",E244*L244/100)</f>
        <v/>
      </c>
      <c r="J244" s="7" t="n"/>
      <c r="K244" s="7">
        <f>IF($A244="","",N244*U244/100)</f>
        <v/>
      </c>
      <c r="L244" s="7">
        <f>IF($A244="","",N244-K244)</f>
        <v/>
      </c>
      <c r="M244" s="7">
        <f>IF($A244="","",L244-F244)</f>
        <v/>
      </c>
      <c r="N244" s="7" t="n"/>
      <c r="O244" s="7" t="n"/>
      <c r="P244" s="7" t="n"/>
      <c r="R244" s="14" t="n"/>
      <c r="V244">
        <f>IF($A244="","",IF(COUNTIF($A$2:$A244,$A244)=1,1,0))</f>
        <v/>
      </c>
      <c r="W244">
        <f>IF($V244=1,SUMPRODUCT(--($Y$2:$Y$1501&lt;$Y244))+1,"")</f>
        <v/>
      </c>
      <c r="X244">
        <f>IF($A244="","",IF(OR($T244=TRUE(),$T244="TRUE"),1,0))</f>
        <v/>
      </c>
      <c r="Y244">
        <f>IF($V244=1,IFERROR(IF(VALUE($A244)&lt;100000000,VALUE($A244),1000000000),IFERROR(IF(VALUE(MID($A244,2,20))&lt;100000000,VALUE(MID($A244,2,20)),1000000000),1000000000))+ROW()/100000,"")</f>
        <v/>
      </c>
    </row>
    <row r="245">
      <c r="F245" s="7">
        <f>IF($A245="","",E245*L245/100)</f>
        <v/>
      </c>
      <c r="J245" s="7" t="n"/>
      <c r="K245" s="7">
        <f>IF($A245="","",N245*U245/100)</f>
        <v/>
      </c>
      <c r="L245" s="7">
        <f>IF($A245="","",N245-K245)</f>
        <v/>
      </c>
      <c r="M245" s="7">
        <f>IF($A245="","",L245-F245)</f>
        <v/>
      </c>
      <c r="N245" s="7" t="n"/>
      <c r="O245" s="7" t="n"/>
      <c r="P245" s="7" t="n"/>
      <c r="R245" s="14" t="n"/>
      <c r="V245">
        <f>IF($A245="","",IF(COUNTIF($A$2:$A245,$A245)=1,1,0))</f>
        <v/>
      </c>
      <c r="W245">
        <f>IF($V245=1,SUMPRODUCT(--($Y$2:$Y$1501&lt;$Y245))+1,"")</f>
        <v/>
      </c>
      <c r="X245">
        <f>IF($A245="","",IF(OR($T245=TRUE(),$T245="TRUE"),1,0))</f>
        <v/>
      </c>
      <c r="Y245">
        <f>IF($V245=1,IFERROR(IF(VALUE($A245)&lt;100000000,VALUE($A245),1000000000),IFERROR(IF(VALUE(MID($A245,2,20))&lt;100000000,VALUE(MID($A245,2,20)),1000000000),1000000000))+ROW()/100000,"")</f>
        <v/>
      </c>
    </row>
    <row r="246">
      <c r="F246" s="7">
        <f>IF($A246="","",E246*L246/100)</f>
        <v/>
      </c>
      <c r="J246" s="7" t="n"/>
      <c r="K246" s="7">
        <f>IF($A246="","",N246*U246/100)</f>
        <v/>
      </c>
      <c r="L246" s="7">
        <f>IF($A246="","",N246-K246)</f>
        <v/>
      </c>
      <c r="M246" s="7">
        <f>IF($A246="","",L246-F246)</f>
        <v/>
      </c>
      <c r="N246" s="7" t="n"/>
      <c r="O246" s="7" t="n"/>
      <c r="P246" s="7" t="n"/>
      <c r="R246" s="14" t="n"/>
      <c r="V246">
        <f>IF($A246="","",IF(COUNTIF($A$2:$A246,$A246)=1,1,0))</f>
        <v/>
      </c>
      <c r="W246">
        <f>IF($V246=1,SUMPRODUCT(--($Y$2:$Y$1501&lt;$Y246))+1,"")</f>
        <v/>
      </c>
      <c r="X246">
        <f>IF($A246="","",IF(OR($T246=TRUE(),$T246="TRUE"),1,0))</f>
        <v/>
      </c>
      <c r="Y246">
        <f>IF($V246=1,IFERROR(IF(VALUE($A246)&lt;100000000,VALUE($A246),1000000000),IFERROR(IF(VALUE(MID($A246,2,20))&lt;100000000,VALUE(MID($A246,2,20)),1000000000),1000000000))+ROW()/100000,"")</f>
        <v/>
      </c>
    </row>
    <row r="247">
      <c r="F247" s="7">
        <f>IF($A247="","",E247*L247/100)</f>
        <v/>
      </c>
      <c r="J247" s="7" t="n"/>
      <c r="K247" s="7">
        <f>IF($A247="","",N247*U247/100)</f>
        <v/>
      </c>
      <c r="L247" s="7">
        <f>IF($A247="","",N247-K247)</f>
        <v/>
      </c>
      <c r="M247" s="7">
        <f>IF($A247="","",L247-F247)</f>
        <v/>
      </c>
      <c r="N247" s="7" t="n"/>
      <c r="O247" s="7" t="n"/>
      <c r="P247" s="7" t="n"/>
      <c r="R247" s="14" t="n"/>
      <c r="V247">
        <f>IF($A247="","",IF(COUNTIF($A$2:$A247,$A247)=1,1,0))</f>
        <v/>
      </c>
      <c r="W247">
        <f>IF($V247=1,SUMPRODUCT(--($Y$2:$Y$1501&lt;$Y247))+1,"")</f>
        <v/>
      </c>
      <c r="X247">
        <f>IF($A247="","",IF(OR($T247=TRUE(),$T247="TRUE"),1,0))</f>
        <v/>
      </c>
      <c r="Y247">
        <f>IF($V247=1,IFERROR(IF(VALUE($A247)&lt;100000000,VALUE($A247),1000000000),IFERROR(IF(VALUE(MID($A247,2,20))&lt;100000000,VALUE(MID($A247,2,20)),1000000000),1000000000))+ROW()/100000,"")</f>
        <v/>
      </c>
    </row>
    <row r="248">
      <c r="F248" s="7">
        <f>IF($A248="","",E248*L248/100)</f>
        <v/>
      </c>
      <c r="J248" s="7" t="n"/>
      <c r="K248" s="7">
        <f>IF($A248="","",N248*U248/100)</f>
        <v/>
      </c>
      <c r="L248" s="7">
        <f>IF($A248="","",N248-K248)</f>
        <v/>
      </c>
      <c r="M248" s="7">
        <f>IF($A248="","",L248-F248)</f>
        <v/>
      </c>
      <c r="N248" s="7" t="n"/>
      <c r="O248" s="7" t="n"/>
      <c r="P248" s="7" t="n"/>
      <c r="R248" s="14" t="n"/>
      <c r="V248">
        <f>IF($A248="","",IF(COUNTIF($A$2:$A248,$A248)=1,1,0))</f>
        <v/>
      </c>
      <c r="W248">
        <f>IF($V248=1,SUMPRODUCT(--($Y$2:$Y$1501&lt;$Y248))+1,"")</f>
        <v/>
      </c>
      <c r="X248">
        <f>IF($A248="","",IF(OR($T248=TRUE(),$T248="TRUE"),1,0))</f>
        <v/>
      </c>
      <c r="Y248">
        <f>IF($V248=1,IFERROR(IF(VALUE($A248)&lt;100000000,VALUE($A248),1000000000),IFERROR(IF(VALUE(MID($A248,2,20))&lt;100000000,VALUE(MID($A248,2,20)),1000000000),1000000000))+ROW()/100000,"")</f>
        <v/>
      </c>
    </row>
    <row r="249">
      <c r="F249" s="7">
        <f>IF($A249="","",E249*L249/100)</f>
        <v/>
      </c>
      <c r="J249" s="7" t="n"/>
      <c r="K249" s="7">
        <f>IF($A249="","",N249*U249/100)</f>
        <v/>
      </c>
      <c r="L249" s="7">
        <f>IF($A249="","",N249-K249)</f>
        <v/>
      </c>
      <c r="M249" s="7">
        <f>IF($A249="","",L249-F249)</f>
        <v/>
      </c>
      <c r="N249" s="7" t="n"/>
      <c r="O249" s="7" t="n"/>
      <c r="P249" s="7" t="n"/>
      <c r="R249" s="14" t="n"/>
      <c r="V249">
        <f>IF($A249="","",IF(COUNTIF($A$2:$A249,$A249)=1,1,0))</f>
        <v/>
      </c>
      <c r="W249">
        <f>IF($V249=1,SUMPRODUCT(--($Y$2:$Y$1501&lt;$Y249))+1,"")</f>
        <v/>
      </c>
      <c r="X249">
        <f>IF($A249="","",IF(OR($T249=TRUE(),$T249="TRUE"),1,0))</f>
        <v/>
      </c>
      <c r="Y249">
        <f>IF($V249=1,IFERROR(IF(VALUE($A249)&lt;100000000,VALUE($A249),1000000000),IFERROR(IF(VALUE(MID($A249,2,20))&lt;100000000,VALUE(MID($A249,2,20)),1000000000),1000000000))+ROW()/100000,"")</f>
        <v/>
      </c>
    </row>
    <row r="250">
      <c r="F250" s="7">
        <f>IF($A250="","",E250*L250/100)</f>
        <v/>
      </c>
      <c r="J250" s="7" t="n"/>
      <c r="K250" s="7">
        <f>IF($A250="","",N250*U250/100)</f>
        <v/>
      </c>
      <c r="L250" s="7">
        <f>IF($A250="","",N250-K250)</f>
        <v/>
      </c>
      <c r="M250" s="7">
        <f>IF($A250="","",L250-F250)</f>
        <v/>
      </c>
      <c r="N250" s="7" t="n"/>
      <c r="O250" s="7" t="n"/>
      <c r="P250" s="7" t="n"/>
      <c r="R250" s="14" t="n"/>
      <c r="V250">
        <f>IF($A250="","",IF(COUNTIF($A$2:$A250,$A250)=1,1,0))</f>
        <v/>
      </c>
      <c r="W250">
        <f>IF($V250=1,SUMPRODUCT(--($Y$2:$Y$1501&lt;$Y250))+1,"")</f>
        <v/>
      </c>
      <c r="X250">
        <f>IF($A250="","",IF(OR($T250=TRUE(),$T250="TRUE"),1,0))</f>
        <v/>
      </c>
      <c r="Y250">
        <f>IF($V250=1,IFERROR(IF(VALUE($A250)&lt;100000000,VALUE($A250),1000000000),IFERROR(IF(VALUE(MID($A250,2,20))&lt;100000000,VALUE(MID($A250,2,20)),1000000000),1000000000))+ROW()/100000,"")</f>
        <v/>
      </c>
    </row>
    <row r="251">
      <c r="F251" s="7">
        <f>IF($A251="","",E251*L251/100)</f>
        <v/>
      </c>
      <c r="J251" s="7" t="n"/>
      <c r="K251" s="7">
        <f>IF($A251="","",N251*U251/100)</f>
        <v/>
      </c>
      <c r="L251" s="7">
        <f>IF($A251="","",N251-K251)</f>
        <v/>
      </c>
      <c r="M251" s="7">
        <f>IF($A251="","",L251-F251)</f>
        <v/>
      </c>
      <c r="N251" s="7" t="n"/>
      <c r="O251" s="7" t="n"/>
      <c r="P251" s="7" t="n"/>
      <c r="R251" s="14" t="n"/>
      <c r="V251">
        <f>IF($A251="","",IF(COUNTIF($A$2:$A251,$A251)=1,1,0))</f>
        <v/>
      </c>
      <c r="W251">
        <f>IF($V251=1,SUMPRODUCT(--($Y$2:$Y$1501&lt;$Y251))+1,"")</f>
        <v/>
      </c>
      <c r="X251">
        <f>IF($A251="","",IF(OR($T251=TRUE(),$T251="TRUE"),1,0))</f>
        <v/>
      </c>
      <c r="Y251">
        <f>IF($V251=1,IFERROR(IF(VALUE($A251)&lt;100000000,VALUE($A251),1000000000),IFERROR(IF(VALUE(MID($A251,2,20))&lt;100000000,VALUE(MID($A251,2,20)),1000000000),1000000000))+ROW()/100000,"")</f>
        <v/>
      </c>
    </row>
    <row r="252">
      <c r="F252" s="7">
        <f>IF($A252="","",E252*L252/100)</f>
        <v/>
      </c>
      <c r="J252" s="7" t="n"/>
      <c r="K252" s="7">
        <f>IF($A252="","",N252*U252/100)</f>
        <v/>
      </c>
      <c r="L252" s="7">
        <f>IF($A252="","",N252-K252)</f>
        <v/>
      </c>
      <c r="M252" s="7">
        <f>IF($A252="","",L252-F252)</f>
        <v/>
      </c>
      <c r="N252" s="7" t="n"/>
      <c r="O252" s="7" t="n"/>
      <c r="P252" s="7" t="n"/>
      <c r="R252" s="14" t="n"/>
      <c r="V252">
        <f>IF($A252="","",IF(COUNTIF($A$2:$A252,$A252)=1,1,0))</f>
        <v/>
      </c>
      <c r="W252">
        <f>IF($V252=1,SUMPRODUCT(--($Y$2:$Y$1501&lt;$Y252))+1,"")</f>
        <v/>
      </c>
      <c r="X252">
        <f>IF($A252="","",IF(OR($T252=TRUE(),$T252="TRUE"),1,0))</f>
        <v/>
      </c>
      <c r="Y252">
        <f>IF($V252=1,IFERROR(IF(VALUE($A252)&lt;100000000,VALUE($A252),1000000000),IFERROR(IF(VALUE(MID($A252,2,20))&lt;100000000,VALUE(MID($A252,2,20)),1000000000),1000000000))+ROW()/100000,"")</f>
        <v/>
      </c>
    </row>
    <row r="253">
      <c r="F253" s="7">
        <f>IF($A253="","",E253*L253/100)</f>
        <v/>
      </c>
      <c r="J253" s="7" t="n"/>
      <c r="K253" s="7">
        <f>IF($A253="","",N253*U253/100)</f>
        <v/>
      </c>
      <c r="L253" s="7">
        <f>IF($A253="","",N253-K253)</f>
        <v/>
      </c>
      <c r="M253" s="7">
        <f>IF($A253="","",L253-F253)</f>
        <v/>
      </c>
      <c r="N253" s="7" t="n"/>
      <c r="O253" s="7" t="n"/>
      <c r="P253" s="7" t="n"/>
      <c r="R253" s="14" t="n"/>
      <c r="V253">
        <f>IF($A253="","",IF(COUNTIF($A$2:$A253,$A253)=1,1,0))</f>
        <v/>
      </c>
      <c r="W253">
        <f>IF($V253=1,SUMPRODUCT(--($Y$2:$Y$1501&lt;$Y253))+1,"")</f>
        <v/>
      </c>
      <c r="X253">
        <f>IF($A253="","",IF(OR($T253=TRUE(),$T253="TRUE"),1,0))</f>
        <v/>
      </c>
      <c r="Y253">
        <f>IF($V253=1,IFERROR(IF(VALUE($A253)&lt;100000000,VALUE($A253),1000000000),IFERROR(IF(VALUE(MID($A253,2,20))&lt;100000000,VALUE(MID($A253,2,20)),1000000000),1000000000))+ROW()/100000,"")</f>
        <v/>
      </c>
    </row>
    <row r="254">
      <c r="F254" s="7">
        <f>IF($A254="","",E254*L254/100)</f>
        <v/>
      </c>
      <c r="J254" s="7" t="n"/>
      <c r="K254" s="7">
        <f>IF($A254="","",N254*U254/100)</f>
        <v/>
      </c>
      <c r="L254" s="7">
        <f>IF($A254="","",N254-K254)</f>
        <v/>
      </c>
      <c r="M254" s="7">
        <f>IF($A254="","",L254-F254)</f>
        <v/>
      </c>
      <c r="N254" s="7" t="n"/>
      <c r="O254" s="7" t="n"/>
      <c r="P254" s="7" t="n"/>
      <c r="R254" s="14" t="n"/>
      <c r="V254">
        <f>IF($A254="","",IF(COUNTIF($A$2:$A254,$A254)=1,1,0))</f>
        <v/>
      </c>
      <c r="W254">
        <f>IF($V254=1,SUMPRODUCT(--($Y$2:$Y$1501&lt;$Y254))+1,"")</f>
        <v/>
      </c>
      <c r="X254">
        <f>IF($A254="","",IF(OR($T254=TRUE(),$T254="TRUE"),1,0))</f>
        <v/>
      </c>
      <c r="Y254">
        <f>IF($V254=1,IFERROR(IF(VALUE($A254)&lt;100000000,VALUE($A254),1000000000),IFERROR(IF(VALUE(MID($A254,2,20))&lt;100000000,VALUE(MID($A254,2,20)),1000000000),1000000000))+ROW()/100000,"")</f>
        <v/>
      </c>
    </row>
    <row r="255">
      <c r="F255" s="7">
        <f>IF($A255="","",E255*L255/100)</f>
        <v/>
      </c>
      <c r="J255" s="7" t="n"/>
      <c r="K255" s="7">
        <f>IF($A255="","",N255*U255/100)</f>
        <v/>
      </c>
      <c r="L255" s="7">
        <f>IF($A255="","",N255-K255)</f>
        <v/>
      </c>
      <c r="M255" s="7">
        <f>IF($A255="","",L255-F255)</f>
        <v/>
      </c>
      <c r="N255" s="7" t="n"/>
      <c r="O255" s="7" t="n"/>
      <c r="P255" s="7" t="n"/>
      <c r="R255" s="14" t="n"/>
      <c r="V255">
        <f>IF($A255="","",IF(COUNTIF($A$2:$A255,$A255)=1,1,0))</f>
        <v/>
      </c>
      <c r="W255">
        <f>IF($V255=1,SUMPRODUCT(--($Y$2:$Y$1501&lt;$Y255))+1,"")</f>
        <v/>
      </c>
      <c r="X255">
        <f>IF($A255="","",IF(OR($T255=TRUE(),$T255="TRUE"),1,0))</f>
        <v/>
      </c>
      <c r="Y255">
        <f>IF($V255=1,IFERROR(IF(VALUE($A255)&lt;100000000,VALUE($A255),1000000000),IFERROR(IF(VALUE(MID($A255,2,20))&lt;100000000,VALUE(MID($A255,2,20)),1000000000),1000000000))+ROW()/100000,"")</f>
        <v/>
      </c>
    </row>
    <row r="256">
      <c r="F256" s="7">
        <f>IF($A256="","",E256*L256/100)</f>
        <v/>
      </c>
      <c r="J256" s="7" t="n"/>
      <c r="K256" s="7">
        <f>IF($A256="","",N256*U256/100)</f>
        <v/>
      </c>
      <c r="L256" s="7">
        <f>IF($A256="","",N256-K256)</f>
        <v/>
      </c>
      <c r="M256" s="7">
        <f>IF($A256="","",L256-F256)</f>
        <v/>
      </c>
      <c r="N256" s="7" t="n"/>
      <c r="O256" s="7" t="n"/>
      <c r="P256" s="7" t="n"/>
      <c r="R256" s="14" t="n"/>
      <c r="V256">
        <f>IF($A256="","",IF(COUNTIF($A$2:$A256,$A256)=1,1,0))</f>
        <v/>
      </c>
      <c r="W256">
        <f>IF($V256=1,SUMPRODUCT(--($Y$2:$Y$1501&lt;$Y256))+1,"")</f>
        <v/>
      </c>
      <c r="X256">
        <f>IF($A256="","",IF(OR($T256=TRUE(),$T256="TRUE"),1,0))</f>
        <v/>
      </c>
      <c r="Y256">
        <f>IF($V256=1,IFERROR(IF(VALUE($A256)&lt;100000000,VALUE($A256),1000000000),IFERROR(IF(VALUE(MID($A256,2,20))&lt;100000000,VALUE(MID($A256,2,20)),1000000000),1000000000))+ROW()/100000,"")</f>
        <v/>
      </c>
    </row>
    <row r="257">
      <c r="F257" s="7">
        <f>IF($A257="","",E257*L257/100)</f>
        <v/>
      </c>
      <c r="J257" s="7" t="n"/>
      <c r="K257" s="7">
        <f>IF($A257="","",N257*U257/100)</f>
        <v/>
      </c>
      <c r="L257" s="7">
        <f>IF($A257="","",N257-K257)</f>
        <v/>
      </c>
      <c r="M257" s="7">
        <f>IF($A257="","",L257-F257)</f>
        <v/>
      </c>
      <c r="N257" s="7" t="n"/>
      <c r="O257" s="7" t="n"/>
      <c r="P257" s="7" t="n"/>
      <c r="R257" s="14" t="n"/>
      <c r="V257">
        <f>IF($A257="","",IF(COUNTIF($A$2:$A257,$A257)=1,1,0))</f>
        <v/>
      </c>
      <c r="W257">
        <f>IF($V257=1,SUMPRODUCT(--($Y$2:$Y$1501&lt;$Y257))+1,"")</f>
        <v/>
      </c>
      <c r="X257">
        <f>IF($A257="","",IF(OR($T257=TRUE(),$T257="TRUE"),1,0))</f>
        <v/>
      </c>
      <c r="Y257">
        <f>IF($V257=1,IFERROR(IF(VALUE($A257)&lt;100000000,VALUE($A257),1000000000),IFERROR(IF(VALUE(MID($A257,2,20))&lt;100000000,VALUE(MID($A257,2,20)),1000000000),1000000000))+ROW()/100000,"")</f>
        <v/>
      </c>
    </row>
    <row r="258">
      <c r="F258" s="7">
        <f>IF($A258="","",E258*L258/100)</f>
        <v/>
      </c>
      <c r="J258" s="7" t="n"/>
      <c r="K258" s="7">
        <f>IF($A258="","",N258*U258/100)</f>
        <v/>
      </c>
      <c r="L258" s="7">
        <f>IF($A258="","",N258-K258)</f>
        <v/>
      </c>
      <c r="M258" s="7">
        <f>IF($A258="","",L258-F258)</f>
        <v/>
      </c>
      <c r="N258" s="7" t="n"/>
      <c r="O258" s="7" t="n"/>
      <c r="P258" s="7" t="n"/>
      <c r="R258" s="14" t="n"/>
      <c r="V258">
        <f>IF($A258="","",IF(COUNTIF($A$2:$A258,$A258)=1,1,0))</f>
        <v/>
      </c>
      <c r="W258">
        <f>IF($V258=1,SUMPRODUCT(--($Y$2:$Y$1501&lt;$Y258))+1,"")</f>
        <v/>
      </c>
      <c r="X258">
        <f>IF($A258="","",IF(OR($T258=TRUE(),$T258="TRUE"),1,0))</f>
        <v/>
      </c>
      <c r="Y258">
        <f>IF($V258=1,IFERROR(IF(VALUE($A258)&lt;100000000,VALUE($A258),1000000000),IFERROR(IF(VALUE(MID($A258,2,20))&lt;100000000,VALUE(MID($A258,2,20)),1000000000),1000000000))+ROW()/100000,"")</f>
        <v/>
      </c>
    </row>
    <row r="259">
      <c r="F259" s="7">
        <f>IF($A259="","",E259*L259/100)</f>
        <v/>
      </c>
      <c r="J259" s="7" t="n"/>
      <c r="K259" s="7">
        <f>IF($A259="","",N259*U259/100)</f>
        <v/>
      </c>
      <c r="L259" s="7">
        <f>IF($A259="","",N259-K259)</f>
        <v/>
      </c>
      <c r="M259" s="7">
        <f>IF($A259="","",L259-F259)</f>
        <v/>
      </c>
      <c r="N259" s="7" t="n"/>
      <c r="O259" s="7" t="n"/>
      <c r="P259" s="7" t="n"/>
      <c r="R259" s="14" t="n"/>
      <c r="V259">
        <f>IF($A259="","",IF(COUNTIF($A$2:$A259,$A259)=1,1,0))</f>
        <v/>
      </c>
      <c r="W259">
        <f>IF($V259=1,SUMPRODUCT(--($Y$2:$Y$1501&lt;$Y259))+1,"")</f>
        <v/>
      </c>
      <c r="X259">
        <f>IF($A259="","",IF(OR($T259=TRUE(),$T259="TRUE"),1,0))</f>
        <v/>
      </c>
      <c r="Y259">
        <f>IF($V259=1,IFERROR(IF(VALUE($A259)&lt;100000000,VALUE($A259),1000000000),IFERROR(IF(VALUE(MID($A259,2,20))&lt;100000000,VALUE(MID($A259,2,20)),1000000000),1000000000))+ROW()/100000,"")</f>
        <v/>
      </c>
    </row>
    <row r="260">
      <c r="F260" s="7">
        <f>IF($A260="","",E260*L260/100)</f>
        <v/>
      </c>
      <c r="J260" s="7" t="n"/>
      <c r="K260" s="7">
        <f>IF($A260="","",N260*U260/100)</f>
        <v/>
      </c>
      <c r="L260" s="7">
        <f>IF($A260="","",N260-K260)</f>
        <v/>
      </c>
      <c r="M260" s="7">
        <f>IF($A260="","",L260-F260)</f>
        <v/>
      </c>
      <c r="N260" s="7" t="n"/>
      <c r="O260" s="7" t="n"/>
      <c r="P260" s="7" t="n"/>
      <c r="R260" s="14" t="n"/>
      <c r="V260">
        <f>IF($A260="","",IF(COUNTIF($A$2:$A260,$A260)=1,1,0))</f>
        <v/>
      </c>
      <c r="W260">
        <f>IF($V260=1,SUMPRODUCT(--($Y$2:$Y$1501&lt;$Y260))+1,"")</f>
        <v/>
      </c>
      <c r="X260">
        <f>IF($A260="","",IF(OR($T260=TRUE(),$T260="TRUE"),1,0))</f>
        <v/>
      </c>
      <c r="Y260">
        <f>IF($V260=1,IFERROR(IF(VALUE($A260)&lt;100000000,VALUE($A260),1000000000),IFERROR(IF(VALUE(MID($A260,2,20))&lt;100000000,VALUE(MID($A260,2,20)),1000000000),1000000000))+ROW()/100000,"")</f>
        <v/>
      </c>
    </row>
    <row r="261">
      <c r="F261" s="7">
        <f>IF($A261="","",E261*L261/100)</f>
        <v/>
      </c>
      <c r="J261" s="7" t="n"/>
      <c r="K261" s="7">
        <f>IF($A261="","",N261*U261/100)</f>
        <v/>
      </c>
      <c r="L261" s="7">
        <f>IF($A261="","",N261-K261)</f>
        <v/>
      </c>
      <c r="M261" s="7">
        <f>IF($A261="","",L261-F261)</f>
        <v/>
      </c>
      <c r="N261" s="7" t="n"/>
      <c r="O261" s="7" t="n"/>
      <c r="P261" s="7" t="n"/>
      <c r="R261" s="14" t="n"/>
      <c r="V261">
        <f>IF($A261="","",IF(COUNTIF($A$2:$A261,$A261)=1,1,0))</f>
        <v/>
      </c>
      <c r="W261">
        <f>IF($V261=1,SUMPRODUCT(--($Y$2:$Y$1501&lt;$Y261))+1,"")</f>
        <v/>
      </c>
      <c r="X261">
        <f>IF($A261="","",IF(OR($T261=TRUE(),$T261="TRUE"),1,0))</f>
        <v/>
      </c>
      <c r="Y261">
        <f>IF($V261=1,IFERROR(IF(VALUE($A261)&lt;100000000,VALUE($A261),1000000000),IFERROR(IF(VALUE(MID($A261,2,20))&lt;100000000,VALUE(MID($A261,2,20)),1000000000),1000000000))+ROW()/100000,"")</f>
        <v/>
      </c>
    </row>
    <row r="262">
      <c r="F262" s="7">
        <f>IF($A262="","",E262*L262/100)</f>
        <v/>
      </c>
      <c r="J262" s="7" t="n"/>
      <c r="K262" s="7">
        <f>IF($A262="","",N262*U262/100)</f>
        <v/>
      </c>
      <c r="L262" s="7">
        <f>IF($A262="","",N262-K262)</f>
        <v/>
      </c>
      <c r="M262" s="7">
        <f>IF($A262="","",L262-F262)</f>
        <v/>
      </c>
      <c r="N262" s="7" t="n"/>
      <c r="O262" s="7" t="n"/>
      <c r="P262" s="7" t="n"/>
      <c r="R262" s="14" t="n"/>
      <c r="V262">
        <f>IF($A262="","",IF(COUNTIF($A$2:$A262,$A262)=1,1,0))</f>
        <v/>
      </c>
      <c r="W262">
        <f>IF($V262=1,SUMPRODUCT(--($Y$2:$Y$1501&lt;$Y262))+1,"")</f>
        <v/>
      </c>
      <c r="X262">
        <f>IF($A262="","",IF(OR($T262=TRUE(),$T262="TRUE"),1,0))</f>
        <v/>
      </c>
      <c r="Y262">
        <f>IF($V262=1,IFERROR(IF(VALUE($A262)&lt;100000000,VALUE($A262),1000000000),IFERROR(IF(VALUE(MID($A262,2,20))&lt;100000000,VALUE(MID($A262,2,20)),1000000000),1000000000))+ROW()/100000,"")</f>
        <v/>
      </c>
    </row>
    <row r="263">
      <c r="F263" s="7">
        <f>IF($A263="","",E263*L263/100)</f>
        <v/>
      </c>
      <c r="J263" s="7" t="n"/>
      <c r="K263" s="7">
        <f>IF($A263="","",N263*U263/100)</f>
        <v/>
      </c>
      <c r="L263" s="7">
        <f>IF($A263="","",N263-K263)</f>
        <v/>
      </c>
      <c r="M263" s="7">
        <f>IF($A263="","",L263-F263)</f>
        <v/>
      </c>
      <c r="N263" s="7" t="n"/>
      <c r="O263" s="7" t="n"/>
      <c r="P263" s="7" t="n"/>
      <c r="R263" s="14" t="n"/>
      <c r="V263">
        <f>IF($A263="","",IF(COUNTIF($A$2:$A263,$A263)=1,1,0))</f>
        <v/>
      </c>
      <c r="W263">
        <f>IF($V263=1,SUMPRODUCT(--($Y$2:$Y$1501&lt;$Y263))+1,"")</f>
        <v/>
      </c>
      <c r="X263">
        <f>IF($A263="","",IF(OR($T263=TRUE(),$T263="TRUE"),1,0))</f>
        <v/>
      </c>
      <c r="Y263">
        <f>IF($V263=1,IFERROR(IF(VALUE($A263)&lt;100000000,VALUE($A263),1000000000),IFERROR(IF(VALUE(MID($A263,2,20))&lt;100000000,VALUE(MID($A263,2,20)),1000000000),1000000000))+ROW()/100000,"")</f>
        <v/>
      </c>
    </row>
    <row r="264">
      <c r="F264" s="7">
        <f>IF($A264="","",E264*L264/100)</f>
        <v/>
      </c>
      <c r="J264" s="7" t="n"/>
      <c r="K264" s="7">
        <f>IF($A264="","",N264*U264/100)</f>
        <v/>
      </c>
      <c r="L264" s="7">
        <f>IF($A264="","",N264-K264)</f>
        <v/>
      </c>
      <c r="M264" s="7">
        <f>IF($A264="","",L264-F264)</f>
        <v/>
      </c>
      <c r="N264" s="7" t="n"/>
      <c r="O264" s="7" t="n"/>
      <c r="P264" s="7" t="n"/>
      <c r="R264" s="14" t="n"/>
      <c r="V264">
        <f>IF($A264="","",IF(COUNTIF($A$2:$A264,$A264)=1,1,0))</f>
        <v/>
      </c>
      <c r="W264">
        <f>IF($V264=1,SUMPRODUCT(--($Y$2:$Y$1501&lt;$Y264))+1,"")</f>
        <v/>
      </c>
      <c r="X264">
        <f>IF($A264="","",IF(OR($T264=TRUE(),$T264="TRUE"),1,0))</f>
        <v/>
      </c>
      <c r="Y264">
        <f>IF($V264=1,IFERROR(IF(VALUE($A264)&lt;100000000,VALUE($A264),1000000000),IFERROR(IF(VALUE(MID($A264,2,20))&lt;100000000,VALUE(MID($A264,2,20)),1000000000),1000000000))+ROW()/100000,"")</f>
        <v/>
      </c>
    </row>
    <row r="265">
      <c r="F265" s="7">
        <f>IF($A265="","",E265*L265/100)</f>
        <v/>
      </c>
      <c r="J265" s="7" t="n"/>
      <c r="K265" s="7">
        <f>IF($A265="","",N265*U265/100)</f>
        <v/>
      </c>
      <c r="L265" s="7">
        <f>IF($A265="","",N265-K265)</f>
        <v/>
      </c>
      <c r="M265" s="7">
        <f>IF($A265="","",L265-F265)</f>
        <v/>
      </c>
      <c r="N265" s="7" t="n"/>
      <c r="O265" s="7" t="n"/>
      <c r="P265" s="7" t="n"/>
      <c r="R265" s="14" t="n"/>
      <c r="V265">
        <f>IF($A265="","",IF(COUNTIF($A$2:$A265,$A265)=1,1,0))</f>
        <v/>
      </c>
      <c r="W265">
        <f>IF($V265=1,SUMPRODUCT(--($Y$2:$Y$1501&lt;$Y265))+1,"")</f>
        <v/>
      </c>
      <c r="X265">
        <f>IF($A265="","",IF(OR($T265=TRUE(),$T265="TRUE"),1,0))</f>
        <v/>
      </c>
      <c r="Y265">
        <f>IF($V265=1,IFERROR(IF(VALUE($A265)&lt;100000000,VALUE($A265),1000000000),IFERROR(IF(VALUE(MID($A265,2,20))&lt;100000000,VALUE(MID($A265,2,20)),1000000000),1000000000))+ROW()/100000,"")</f>
        <v/>
      </c>
    </row>
    <row r="266">
      <c r="F266" s="7">
        <f>IF($A266="","",E266*L266/100)</f>
        <v/>
      </c>
      <c r="J266" s="7" t="n"/>
      <c r="K266" s="7">
        <f>IF($A266="","",N266*U266/100)</f>
        <v/>
      </c>
      <c r="L266" s="7">
        <f>IF($A266="","",N266-K266)</f>
        <v/>
      </c>
      <c r="M266" s="7">
        <f>IF($A266="","",L266-F266)</f>
        <v/>
      </c>
      <c r="N266" s="7" t="n"/>
      <c r="O266" s="7" t="n"/>
      <c r="P266" s="7" t="n"/>
      <c r="R266" s="14" t="n"/>
      <c r="V266">
        <f>IF($A266="","",IF(COUNTIF($A$2:$A266,$A266)=1,1,0))</f>
        <v/>
      </c>
      <c r="W266">
        <f>IF($V266=1,SUMPRODUCT(--($Y$2:$Y$1501&lt;$Y266))+1,"")</f>
        <v/>
      </c>
      <c r="X266">
        <f>IF($A266="","",IF(OR($T266=TRUE(),$T266="TRUE"),1,0))</f>
        <v/>
      </c>
      <c r="Y266">
        <f>IF($V266=1,IFERROR(IF(VALUE($A266)&lt;100000000,VALUE($A266),1000000000),IFERROR(IF(VALUE(MID($A266,2,20))&lt;100000000,VALUE(MID($A266,2,20)),1000000000),1000000000))+ROW()/100000,"")</f>
        <v/>
      </c>
    </row>
    <row r="267">
      <c r="F267" s="7">
        <f>IF($A267="","",E267*L267/100)</f>
        <v/>
      </c>
      <c r="J267" s="7" t="n"/>
      <c r="K267" s="7">
        <f>IF($A267="","",N267*U267/100)</f>
        <v/>
      </c>
      <c r="L267" s="7">
        <f>IF($A267="","",N267-K267)</f>
        <v/>
      </c>
      <c r="M267" s="7">
        <f>IF($A267="","",L267-F267)</f>
        <v/>
      </c>
      <c r="N267" s="7" t="n"/>
      <c r="O267" s="7" t="n"/>
      <c r="P267" s="7" t="n"/>
      <c r="R267" s="14" t="n"/>
      <c r="V267">
        <f>IF($A267="","",IF(COUNTIF($A$2:$A267,$A267)=1,1,0))</f>
        <v/>
      </c>
      <c r="W267">
        <f>IF($V267=1,SUMPRODUCT(--($Y$2:$Y$1501&lt;$Y267))+1,"")</f>
        <v/>
      </c>
      <c r="X267">
        <f>IF($A267="","",IF(OR($T267=TRUE(),$T267="TRUE"),1,0))</f>
        <v/>
      </c>
      <c r="Y267">
        <f>IF($V267=1,IFERROR(IF(VALUE($A267)&lt;100000000,VALUE($A267),1000000000),IFERROR(IF(VALUE(MID($A267,2,20))&lt;100000000,VALUE(MID($A267,2,20)),1000000000),1000000000))+ROW()/100000,"")</f>
        <v/>
      </c>
    </row>
    <row r="268">
      <c r="F268" s="7">
        <f>IF($A268="","",E268*L268/100)</f>
        <v/>
      </c>
      <c r="J268" s="7" t="n"/>
      <c r="K268" s="7">
        <f>IF($A268="","",N268*U268/100)</f>
        <v/>
      </c>
      <c r="L268" s="7">
        <f>IF($A268="","",N268-K268)</f>
        <v/>
      </c>
      <c r="M268" s="7">
        <f>IF($A268="","",L268-F268)</f>
        <v/>
      </c>
      <c r="N268" s="7" t="n"/>
      <c r="O268" s="7" t="n"/>
      <c r="P268" s="7" t="n"/>
      <c r="R268" s="14" t="n"/>
      <c r="V268">
        <f>IF($A268="","",IF(COUNTIF($A$2:$A268,$A268)=1,1,0))</f>
        <v/>
      </c>
      <c r="W268">
        <f>IF($V268=1,SUMPRODUCT(--($Y$2:$Y$1501&lt;$Y268))+1,"")</f>
        <v/>
      </c>
      <c r="X268">
        <f>IF($A268="","",IF(OR($T268=TRUE(),$T268="TRUE"),1,0))</f>
        <v/>
      </c>
      <c r="Y268">
        <f>IF($V268=1,IFERROR(IF(VALUE($A268)&lt;100000000,VALUE($A268),1000000000),IFERROR(IF(VALUE(MID($A268,2,20))&lt;100000000,VALUE(MID($A268,2,20)),1000000000),1000000000))+ROW()/100000,"")</f>
        <v/>
      </c>
    </row>
    <row r="269">
      <c r="F269" s="7">
        <f>IF($A269="","",E269*L269/100)</f>
        <v/>
      </c>
      <c r="J269" s="7" t="n"/>
      <c r="K269" s="7">
        <f>IF($A269="","",N269*U269/100)</f>
        <v/>
      </c>
      <c r="L269" s="7">
        <f>IF($A269="","",N269-K269)</f>
        <v/>
      </c>
      <c r="M269" s="7">
        <f>IF($A269="","",L269-F269)</f>
        <v/>
      </c>
      <c r="N269" s="7" t="n"/>
      <c r="O269" s="7" t="n"/>
      <c r="P269" s="7" t="n"/>
      <c r="R269" s="14" t="n"/>
      <c r="V269">
        <f>IF($A269="","",IF(COUNTIF($A$2:$A269,$A269)=1,1,0))</f>
        <v/>
      </c>
      <c r="W269">
        <f>IF($V269=1,SUMPRODUCT(--($Y$2:$Y$1501&lt;$Y269))+1,"")</f>
        <v/>
      </c>
      <c r="X269">
        <f>IF($A269="","",IF(OR($T269=TRUE(),$T269="TRUE"),1,0))</f>
        <v/>
      </c>
      <c r="Y269">
        <f>IF($V269=1,IFERROR(IF(VALUE($A269)&lt;100000000,VALUE($A269),1000000000),IFERROR(IF(VALUE(MID($A269,2,20))&lt;100000000,VALUE(MID($A269,2,20)),1000000000),1000000000))+ROW()/100000,"")</f>
        <v/>
      </c>
    </row>
    <row r="270">
      <c r="F270" s="7">
        <f>IF($A270="","",E270*L270/100)</f>
        <v/>
      </c>
      <c r="J270" s="7" t="n"/>
      <c r="K270" s="7">
        <f>IF($A270="","",N270*U270/100)</f>
        <v/>
      </c>
      <c r="L270" s="7">
        <f>IF($A270="","",N270-K270)</f>
        <v/>
      </c>
      <c r="M270" s="7">
        <f>IF($A270="","",L270-F270)</f>
        <v/>
      </c>
      <c r="N270" s="7" t="n"/>
      <c r="O270" s="7" t="n"/>
      <c r="P270" s="7" t="n"/>
      <c r="R270" s="14" t="n"/>
      <c r="V270">
        <f>IF($A270="","",IF(COUNTIF($A$2:$A270,$A270)=1,1,0))</f>
        <v/>
      </c>
      <c r="W270">
        <f>IF($V270=1,SUMPRODUCT(--($Y$2:$Y$1501&lt;$Y270))+1,"")</f>
        <v/>
      </c>
      <c r="X270">
        <f>IF($A270="","",IF(OR($T270=TRUE(),$T270="TRUE"),1,0))</f>
        <v/>
      </c>
      <c r="Y270">
        <f>IF($V270=1,IFERROR(IF(VALUE($A270)&lt;100000000,VALUE($A270),1000000000),IFERROR(IF(VALUE(MID($A270,2,20))&lt;100000000,VALUE(MID($A270,2,20)),1000000000),1000000000))+ROW()/100000,"")</f>
        <v/>
      </c>
    </row>
    <row r="271">
      <c r="F271" s="7">
        <f>IF($A271="","",E271*L271/100)</f>
        <v/>
      </c>
      <c r="J271" s="7" t="n"/>
      <c r="K271" s="7">
        <f>IF($A271="","",N271*U271/100)</f>
        <v/>
      </c>
      <c r="L271" s="7">
        <f>IF($A271="","",N271-K271)</f>
        <v/>
      </c>
      <c r="M271" s="7">
        <f>IF($A271="","",L271-F271)</f>
        <v/>
      </c>
      <c r="N271" s="7" t="n"/>
      <c r="O271" s="7" t="n"/>
      <c r="P271" s="7" t="n"/>
      <c r="R271" s="14" t="n"/>
      <c r="V271">
        <f>IF($A271="","",IF(COUNTIF($A$2:$A271,$A271)=1,1,0))</f>
        <v/>
      </c>
      <c r="W271">
        <f>IF($V271=1,SUMPRODUCT(--($Y$2:$Y$1501&lt;$Y271))+1,"")</f>
        <v/>
      </c>
      <c r="X271">
        <f>IF($A271="","",IF(OR($T271=TRUE(),$T271="TRUE"),1,0))</f>
        <v/>
      </c>
      <c r="Y271">
        <f>IF($V271=1,IFERROR(IF(VALUE($A271)&lt;100000000,VALUE($A271),1000000000),IFERROR(IF(VALUE(MID($A271,2,20))&lt;100000000,VALUE(MID($A271,2,20)),1000000000),1000000000))+ROW()/100000,"")</f>
        <v/>
      </c>
    </row>
    <row r="272">
      <c r="F272" s="7">
        <f>IF($A272="","",E272*L272/100)</f>
        <v/>
      </c>
      <c r="J272" s="7" t="n"/>
      <c r="K272" s="7">
        <f>IF($A272="","",N272*U272/100)</f>
        <v/>
      </c>
      <c r="L272" s="7">
        <f>IF($A272="","",N272-K272)</f>
        <v/>
      </c>
      <c r="M272" s="7">
        <f>IF($A272="","",L272-F272)</f>
        <v/>
      </c>
      <c r="N272" s="7" t="n"/>
      <c r="O272" s="7" t="n"/>
      <c r="P272" s="7" t="n"/>
      <c r="R272" s="14" t="n"/>
      <c r="V272">
        <f>IF($A272="","",IF(COUNTIF($A$2:$A272,$A272)=1,1,0))</f>
        <v/>
      </c>
      <c r="W272">
        <f>IF($V272=1,SUMPRODUCT(--($Y$2:$Y$1501&lt;$Y272))+1,"")</f>
        <v/>
      </c>
      <c r="X272">
        <f>IF($A272="","",IF(OR($T272=TRUE(),$T272="TRUE"),1,0))</f>
        <v/>
      </c>
      <c r="Y272">
        <f>IF($V272=1,IFERROR(IF(VALUE($A272)&lt;100000000,VALUE($A272),1000000000),IFERROR(IF(VALUE(MID($A272,2,20))&lt;100000000,VALUE(MID($A272,2,20)),1000000000),1000000000))+ROW()/100000,"")</f>
        <v/>
      </c>
    </row>
    <row r="273">
      <c r="F273" s="7">
        <f>IF($A273="","",E273*L273/100)</f>
        <v/>
      </c>
      <c r="J273" s="7" t="n"/>
      <c r="K273" s="7">
        <f>IF($A273="","",N273*U273/100)</f>
        <v/>
      </c>
      <c r="L273" s="7">
        <f>IF($A273="","",N273-K273)</f>
        <v/>
      </c>
      <c r="M273" s="7">
        <f>IF($A273="","",L273-F273)</f>
        <v/>
      </c>
      <c r="N273" s="7" t="n"/>
      <c r="O273" s="7" t="n"/>
      <c r="P273" s="7" t="n"/>
      <c r="R273" s="14" t="n"/>
      <c r="V273">
        <f>IF($A273="","",IF(COUNTIF($A$2:$A273,$A273)=1,1,0))</f>
        <v/>
      </c>
      <c r="W273">
        <f>IF($V273=1,SUMPRODUCT(--($Y$2:$Y$1501&lt;$Y273))+1,"")</f>
        <v/>
      </c>
      <c r="X273">
        <f>IF($A273="","",IF(OR($T273=TRUE(),$T273="TRUE"),1,0))</f>
        <v/>
      </c>
      <c r="Y273">
        <f>IF($V273=1,IFERROR(IF(VALUE($A273)&lt;100000000,VALUE($A273),1000000000),IFERROR(IF(VALUE(MID($A273,2,20))&lt;100000000,VALUE(MID($A273,2,20)),1000000000),1000000000))+ROW()/100000,"")</f>
        <v/>
      </c>
    </row>
    <row r="274">
      <c r="F274" s="7">
        <f>IF($A274="","",E274*L274/100)</f>
        <v/>
      </c>
      <c r="J274" s="7" t="n"/>
      <c r="K274" s="7">
        <f>IF($A274="","",N274*U274/100)</f>
        <v/>
      </c>
      <c r="L274" s="7">
        <f>IF($A274="","",N274-K274)</f>
        <v/>
      </c>
      <c r="M274" s="7">
        <f>IF($A274="","",L274-F274)</f>
        <v/>
      </c>
      <c r="N274" s="7" t="n"/>
      <c r="O274" s="7" t="n"/>
      <c r="P274" s="7" t="n"/>
      <c r="R274" s="14" t="n"/>
      <c r="V274">
        <f>IF($A274="","",IF(COUNTIF($A$2:$A274,$A274)=1,1,0))</f>
        <v/>
      </c>
      <c r="W274">
        <f>IF($V274=1,SUMPRODUCT(--($Y$2:$Y$1501&lt;$Y274))+1,"")</f>
        <v/>
      </c>
      <c r="X274">
        <f>IF($A274="","",IF(OR($T274=TRUE(),$T274="TRUE"),1,0))</f>
        <v/>
      </c>
      <c r="Y274">
        <f>IF($V274=1,IFERROR(IF(VALUE($A274)&lt;100000000,VALUE($A274),1000000000),IFERROR(IF(VALUE(MID($A274,2,20))&lt;100000000,VALUE(MID($A274,2,20)),1000000000),1000000000))+ROW()/100000,"")</f>
        <v/>
      </c>
    </row>
    <row r="275">
      <c r="F275" s="7">
        <f>IF($A275="","",E275*L275/100)</f>
        <v/>
      </c>
      <c r="J275" s="7" t="n"/>
      <c r="K275" s="7">
        <f>IF($A275="","",N275*U275/100)</f>
        <v/>
      </c>
      <c r="L275" s="7">
        <f>IF($A275="","",N275-K275)</f>
        <v/>
      </c>
      <c r="M275" s="7">
        <f>IF($A275="","",L275-F275)</f>
        <v/>
      </c>
      <c r="N275" s="7" t="n"/>
      <c r="O275" s="7" t="n"/>
      <c r="P275" s="7" t="n"/>
      <c r="R275" s="14" t="n"/>
      <c r="V275">
        <f>IF($A275="","",IF(COUNTIF($A$2:$A275,$A275)=1,1,0))</f>
        <v/>
      </c>
      <c r="W275">
        <f>IF($V275=1,SUMPRODUCT(--($Y$2:$Y$1501&lt;$Y275))+1,"")</f>
        <v/>
      </c>
      <c r="X275">
        <f>IF($A275="","",IF(OR($T275=TRUE(),$T275="TRUE"),1,0))</f>
        <v/>
      </c>
      <c r="Y275">
        <f>IF($V275=1,IFERROR(IF(VALUE($A275)&lt;100000000,VALUE($A275),1000000000),IFERROR(IF(VALUE(MID($A275,2,20))&lt;100000000,VALUE(MID($A275,2,20)),1000000000),1000000000))+ROW()/100000,"")</f>
        <v/>
      </c>
    </row>
    <row r="276">
      <c r="F276" s="7">
        <f>IF($A276="","",E276*L276/100)</f>
        <v/>
      </c>
      <c r="J276" s="7" t="n"/>
      <c r="K276" s="7">
        <f>IF($A276="","",N276*U276/100)</f>
        <v/>
      </c>
      <c r="L276" s="7">
        <f>IF($A276="","",N276-K276)</f>
        <v/>
      </c>
      <c r="M276" s="7">
        <f>IF($A276="","",L276-F276)</f>
        <v/>
      </c>
      <c r="N276" s="7" t="n"/>
      <c r="O276" s="7" t="n"/>
      <c r="P276" s="7" t="n"/>
      <c r="R276" s="14" t="n"/>
      <c r="V276">
        <f>IF($A276="","",IF(COUNTIF($A$2:$A276,$A276)=1,1,0))</f>
        <v/>
      </c>
      <c r="W276">
        <f>IF($V276=1,SUMPRODUCT(--($Y$2:$Y$1501&lt;$Y276))+1,"")</f>
        <v/>
      </c>
      <c r="X276">
        <f>IF($A276="","",IF(OR($T276=TRUE(),$T276="TRUE"),1,0))</f>
        <v/>
      </c>
      <c r="Y276">
        <f>IF($V276=1,IFERROR(IF(VALUE($A276)&lt;100000000,VALUE($A276),1000000000),IFERROR(IF(VALUE(MID($A276,2,20))&lt;100000000,VALUE(MID($A276,2,20)),1000000000),1000000000))+ROW()/100000,"")</f>
        <v/>
      </c>
    </row>
    <row r="277">
      <c r="F277" s="7">
        <f>IF($A277="","",E277*L277/100)</f>
        <v/>
      </c>
      <c r="J277" s="7" t="n"/>
      <c r="K277" s="7">
        <f>IF($A277="","",N277*U277/100)</f>
        <v/>
      </c>
      <c r="L277" s="7">
        <f>IF($A277="","",N277-K277)</f>
        <v/>
      </c>
      <c r="M277" s="7">
        <f>IF($A277="","",L277-F277)</f>
        <v/>
      </c>
      <c r="N277" s="7" t="n"/>
      <c r="O277" s="7" t="n"/>
      <c r="P277" s="7" t="n"/>
      <c r="R277" s="14" t="n"/>
      <c r="V277">
        <f>IF($A277="","",IF(COUNTIF($A$2:$A277,$A277)=1,1,0))</f>
        <v/>
      </c>
      <c r="W277">
        <f>IF($V277=1,SUMPRODUCT(--($Y$2:$Y$1501&lt;$Y277))+1,"")</f>
        <v/>
      </c>
      <c r="X277">
        <f>IF($A277="","",IF(OR($T277=TRUE(),$T277="TRUE"),1,0))</f>
        <v/>
      </c>
      <c r="Y277">
        <f>IF($V277=1,IFERROR(IF(VALUE($A277)&lt;100000000,VALUE($A277),1000000000),IFERROR(IF(VALUE(MID($A277,2,20))&lt;100000000,VALUE(MID($A277,2,20)),1000000000),1000000000))+ROW()/100000,"")</f>
        <v/>
      </c>
    </row>
    <row r="278">
      <c r="F278" s="7">
        <f>IF($A278="","",E278*L278/100)</f>
        <v/>
      </c>
      <c r="J278" s="7" t="n"/>
      <c r="K278" s="7">
        <f>IF($A278="","",N278*U278/100)</f>
        <v/>
      </c>
      <c r="L278" s="7">
        <f>IF($A278="","",N278-K278)</f>
        <v/>
      </c>
      <c r="M278" s="7">
        <f>IF($A278="","",L278-F278)</f>
        <v/>
      </c>
      <c r="N278" s="7" t="n"/>
      <c r="O278" s="7" t="n"/>
      <c r="P278" s="7" t="n"/>
      <c r="R278" s="14" t="n"/>
      <c r="V278">
        <f>IF($A278="","",IF(COUNTIF($A$2:$A278,$A278)=1,1,0))</f>
        <v/>
      </c>
      <c r="W278">
        <f>IF($V278=1,SUMPRODUCT(--($Y$2:$Y$1501&lt;$Y278))+1,"")</f>
        <v/>
      </c>
      <c r="X278">
        <f>IF($A278="","",IF(OR($T278=TRUE(),$T278="TRUE"),1,0))</f>
        <v/>
      </c>
      <c r="Y278">
        <f>IF($V278=1,IFERROR(IF(VALUE($A278)&lt;100000000,VALUE($A278),1000000000),IFERROR(IF(VALUE(MID($A278,2,20))&lt;100000000,VALUE(MID($A278,2,20)),1000000000),1000000000))+ROW()/100000,"")</f>
        <v/>
      </c>
    </row>
    <row r="279">
      <c r="F279" s="7">
        <f>IF($A279="","",E279*L279/100)</f>
        <v/>
      </c>
      <c r="J279" s="7" t="n"/>
      <c r="K279" s="7">
        <f>IF($A279="","",N279*U279/100)</f>
        <v/>
      </c>
      <c r="L279" s="7">
        <f>IF($A279="","",N279-K279)</f>
        <v/>
      </c>
      <c r="M279" s="7">
        <f>IF($A279="","",L279-F279)</f>
        <v/>
      </c>
      <c r="N279" s="7" t="n"/>
      <c r="O279" s="7" t="n"/>
      <c r="P279" s="7" t="n"/>
      <c r="R279" s="14" t="n"/>
      <c r="V279">
        <f>IF($A279="","",IF(COUNTIF($A$2:$A279,$A279)=1,1,0))</f>
        <v/>
      </c>
      <c r="W279">
        <f>IF($V279=1,SUMPRODUCT(--($Y$2:$Y$1501&lt;$Y279))+1,"")</f>
        <v/>
      </c>
      <c r="X279">
        <f>IF($A279="","",IF(OR($T279=TRUE(),$T279="TRUE"),1,0))</f>
        <v/>
      </c>
      <c r="Y279">
        <f>IF($V279=1,IFERROR(IF(VALUE($A279)&lt;100000000,VALUE($A279),1000000000),IFERROR(IF(VALUE(MID($A279,2,20))&lt;100000000,VALUE(MID($A279,2,20)),1000000000),1000000000))+ROW()/100000,"")</f>
        <v/>
      </c>
    </row>
    <row r="280">
      <c r="F280" s="7">
        <f>IF($A280="","",E280*L280/100)</f>
        <v/>
      </c>
      <c r="J280" s="7" t="n"/>
      <c r="K280" s="7">
        <f>IF($A280="","",N280*U280/100)</f>
        <v/>
      </c>
      <c r="L280" s="7">
        <f>IF($A280="","",N280-K280)</f>
        <v/>
      </c>
      <c r="M280" s="7">
        <f>IF($A280="","",L280-F280)</f>
        <v/>
      </c>
      <c r="N280" s="7" t="n"/>
      <c r="O280" s="7" t="n"/>
      <c r="P280" s="7" t="n"/>
      <c r="R280" s="14" t="n"/>
      <c r="V280">
        <f>IF($A280="","",IF(COUNTIF($A$2:$A280,$A280)=1,1,0))</f>
        <v/>
      </c>
      <c r="W280">
        <f>IF($V280=1,SUMPRODUCT(--($Y$2:$Y$1501&lt;$Y280))+1,"")</f>
        <v/>
      </c>
      <c r="X280">
        <f>IF($A280="","",IF(OR($T280=TRUE(),$T280="TRUE"),1,0))</f>
        <v/>
      </c>
      <c r="Y280">
        <f>IF($V280=1,IFERROR(IF(VALUE($A280)&lt;100000000,VALUE($A280),1000000000),IFERROR(IF(VALUE(MID($A280,2,20))&lt;100000000,VALUE(MID($A280,2,20)),1000000000),1000000000))+ROW()/100000,"")</f>
        <v/>
      </c>
    </row>
    <row r="281">
      <c r="F281" s="7">
        <f>IF($A281="","",E281*L281/100)</f>
        <v/>
      </c>
      <c r="J281" s="7" t="n"/>
      <c r="K281" s="7">
        <f>IF($A281="","",N281*U281/100)</f>
        <v/>
      </c>
      <c r="L281" s="7">
        <f>IF($A281="","",N281-K281)</f>
        <v/>
      </c>
      <c r="M281" s="7">
        <f>IF($A281="","",L281-F281)</f>
        <v/>
      </c>
      <c r="N281" s="7" t="n"/>
      <c r="O281" s="7" t="n"/>
      <c r="P281" s="7" t="n"/>
      <c r="R281" s="14" t="n"/>
      <c r="V281">
        <f>IF($A281="","",IF(COUNTIF($A$2:$A281,$A281)=1,1,0))</f>
        <v/>
      </c>
      <c r="W281">
        <f>IF($V281=1,SUMPRODUCT(--($Y$2:$Y$1501&lt;$Y281))+1,"")</f>
        <v/>
      </c>
      <c r="X281">
        <f>IF($A281="","",IF(OR($T281=TRUE(),$T281="TRUE"),1,0))</f>
        <v/>
      </c>
      <c r="Y281">
        <f>IF($V281=1,IFERROR(IF(VALUE($A281)&lt;100000000,VALUE($A281),1000000000),IFERROR(IF(VALUE(MID($A281,2,20))&lt;100000000,VALUE(MID($A281,2,20)),1000000000),1000000000))+ROW()/100000,"")</f>
        <v/>
      </c>
    </row>
    <row r="282">
      <c r="F282" s="7">
        <f>IF($A282="","",E282*L282/100)</f>
        <v/>
      </c>
      <c r="J282" s="7" t="n"/>
      <c r="K282" s="7">
        <f>IF($A282="","",N282*U282/100)</f>
        <v/>
      </c>
      <c r="L282" s="7">
        <f>IF($A282="","",N282-K282)</f>
        <v/>
      </c>
      <c r="M282" s="7">
        <f>IF($A282="","",L282-F282)</f>
        <v/>
      </c>
      <c r="N282" s="7" t="n"/>
      <c r="O282" s="7" t="n"/>
      <c r="P282" s="7" t="n"/>
      <c r="R282" s="14" t="n"/>
      <c r="V282">
        <f>IF($A282="","",IF(COUNTIF($A$2:$A282,$A282)=1,1,0))</f>
        <v/>
      </c>
      <c r="W282">
        <f>IF($V282=1,SUMPRODUCT(--($Y$2:$Y$1501&lt;$Y282))+1,"")</f>
        <v/>
      </c>
      <c r="X282">
        <f>IF($A282="","",IF(OR($T282=TRUE(),$T282="TRUE"),1,0))</f>
        <v/>
      </c>
      <c r="Y282">
        <f>IF($V282=1,IFERROR(IF(VALUE($A282)&lt;100000000,VALUE($A282),1000000000),IFERROR(IF(VALUE(MID($A282,2,20))&lt;100000000,VALUE(MID($A282,2,20)),1000000000),1000000000))+ROW()/100000,"")</f>
        <v/>
      </c>
    </row>
    <row r="283">
      <c r="F283" s="7">
        <f>IF($A283="","",E283*L283/100)</f>
        <v/>
      </c>
      <c r="J283" s="7" t="n"/>
      <c r="K283" s="7">
        <f>IF($A283="","",N283*U283/100)</f>
        <v/>
      </c>
      <c r="L283" s="7">
        <f>IF($A283="","",N283-K283)</f>
        <v/>
      </c>
      <c r="M283" s="7">
        <f>IF($A283="","",L283-F283)</f>
        <v/>
      </c>
      <c r="N283" s="7" t="n"/>
      <c r="O283" s="7" t="n"/>
      <c r="P283" s="7" t="n"/>
      <c r="R283" s="14" t="n"/>
      <c r="V283">
        <f>IF($A283="","",IF(COUNTIF($A$2:$A283,$A283)=1,1,0))</f>
        <v/>
      </c>
      <c r="W283">
        <f>IF($V283=1,SUMPRODUCT(--($Y$2:$Y$1501&lt;$Y283))+1,"")</f>
        <v/>
      </c>
      <c r="X283">
        <f>IF($A283="","",IF(OR($T283=TRUE(),$T283="TRUE"),1,0))</f>
        <v/>
      </c>
      <c r="Y283">
        <f>IF($V283=1,IFERROR(IF(VALUE($A283)&lt;100000000,VALUE($A283),1000000000),IFERROR(IF(VALUE(MID($A283,2,20))&lt;100000000,VALUE(MID($A283,2,20)),1000000000),1000000000))+ROW()/100000,"")</f>
        <v/>
      </c>
    </row>
    <row r="284">
      <c r="F284" s="7">
        <f>IF($A284="","",E284*L284/100)</f>
        <v/>
      </c>
      <c r="J284" s="7" t="n"/>
      <c r="K284" s="7">
        <f>IF($A284="","",N284*U284/100)</f>
        <v/>
      </c>
      <c r="L284" s="7">
        <f>IF($A284="","",N284-K284)</f>
        <v/>
      </c>
      <c r="M284" s="7">
        <f>IF($A284="","",L284-F284)</f>
        <v/>
      </c>
      <c r="N284" s="7" t="n"/>
      <c r="O284" s="7" t="n"/>
      <c r="P284" s="7" t="n"/>
      <c r="R284" s="14" t="n"/>
      <c r="V284">
        <f>IF($A284="","",IF(COUNTIF($A$2:$A284,$A284)=1,1,0))</f>
        <v/>
      </c>
      <c r="W284">
        <f>IF($V284=1,SUMPRODUCT(--($Y$2:$Y$1501&lt;$Y284))+1,"")</f>
        <v/>
      </c>
      <c r="X284">
        <f>IF($A284="","",IF(OR($T284=TRUE(),$T284="TRUE"),1,0))</f>
        <v/>
      </c>
      <c r="Y284">
        <f>IF($V284=1,IFERROR(IF(VALUE($A284)&lt;100000000,VALUE($A284),1000000000),IFERROR(IF(VALUE(MID($A284,2,20))&lt;100000000,VALUE(MID($A284,2,20)),1000000000),1000000000))+ROW()/100000,"")</f>
        <v/>
      </c>
    </row>
    <row r="285">
      <c r="F285" s="7">
        <f>IF($A285="","",E285*L285/100)</f>
        <v/>
      </c>
      <c r="J285" s="7" t="n"/>
      <c r="K285" s="7">
        <f>IF($A285="","",N285*U285/100)</f>
        <v/>
      </c>
      <c r="L285" s="7">
        <f>IF($A285="","",N285-K285)</f>
        <v/>
      </c>
      <c r="M285" s="7">
        <f>IF($A285="","",L285-F285)</f>
        <v/>
      </c>
      <c r="N285" s="7" t="n"/>
      <c r="O285" s="7" t="n"/>
      <c r="P285" s="7" t="n"/>
      <c r="R285" s="14" t="n"/>
      <c r="V285">
        <f>IF($A285="","",IF(COUNTIF($A$2:$A285,$A285)=1,1,0))</f>
        <v/>
      </c>
      <c r="W285">
        <f>IF($V285=1,SUMPRODUCT(--($Y$2:$Y$1501&lt;$Y285))+1,"")</f>
        <v/>
      </c>
      <c r="X285">
        <f>IF($A285="","",IF(OR($T285=TRUE(),$T285="TRUE"),1,0))</f>
        <v/>
      </c>
      <c r="Y285">
        <f>IF($V285=1,IFERROR(IF(VALUE($A285)&lt;100000000,VALUE($A285),1000000000),IFERROR(IF(VALUE(MID($A285,2,20))&lt;100000000,VALUE(MID($A285,2,20)),1000000000),1000000000))+ROW()/100000,"")</f>
        <v/>
      </c>
    </row>
    <row r="286">
      <c r="F286" s="7">
        <f>IF($A286="","",E286*L286/100)</f>
        <v/>
      </c>
      <c r="J286" s="7" t="n"/>
      <c r="K286" s="7">
        <f>IF($A286="","",N286*U286/100)</f>
        <v/>
      </c>
      <c r="L286" s="7">
        <f>IF($A286="","",N286-K286)</f>
        <v/>
      </c>
      <c r="M286" s="7">
        <f>IF($A286="","",L286-F286)</f>
        <v/>
      </c>
      <c r="N286" s="7" t="n"/>
      <c r="O286" s="7" t="n"/>
      <c r="P286" s="7" t="n"/>
      <c r="R286" s="14" t="n"/>
      <c r="V286">
        <f>IF($A286="","",IF(COUNTIF($A$2:$A286,$A286)=1,1,0))</f>
        <v/>
      </c>
      <c r="W286">
        <f>IF($V286=1,SUMPRODUCT(--($Y$2:$Y$1501&lt;$Y286))+1,"")</f>
        <v/>
      </c>
      <c r="X286">
        <f>IF($A286="","",IF(OR($T286=TRUE(),$T286="TRUE"),1,0))</f>
        <v/>
      </c>
      <c r="Y286">
        <f>IF($V286=1,IFERROR(IF(VALUE($A286)&lt;100000000,VALUE($A286),1000000000),IFERROR(IF(VALUE(MID($A286,2,20))&lt;100000000,VALUE(MID($A286,2,20)),1000000000),1000000000))+ROW()/100000,"")</f>
        <v/>
      </c>
    </row>
    <row r="287">
      <c r="F287" s="7">
        <f>IF($A287="","",E287*L287/100)</f>
        <v/>
      </c>
      <c r="J287" s="7" t="n"/>
      <c r="K287" s="7">
        <f>IF($A287="","",N287*U287/100)</f>
        <v/>
      </c>
      <c r="L287" s="7">
        <f>IF($A287="","",N287-K287)</f>
        <v/>
      </c>
      <c r="M287" s="7">
        <f>IF($A287="","",L287-F287)</f>
        <v/>
      </c>
      <c r="N287" s="7" t="n"/>
      <c r="O287" s="7" t="n"/>
      <c r="P287" s="7" t="n"/>
      <c r="R287" s="14" t="n"/>
      <c r="V287">
        <f>IF($A287="","",IF(COUNTIF($A$2:$A287,$A287)=1,1,0))</f>
        <v/>
      </c>
      <c r="W287">
        <f>IF($V287=1,SUMPRODUCT(--($Y$2:$Y$1501&lt;$Y287))+1,"")</f>
        <v/>
      </c>
      <c r="X287">
        <f>IF($A287="","",IF(OR($T287=TRUE(),$T287="TRUE"),1,0))</f>
        <v/>
      </c>
      <c r="Y287">
        <f>IF($V287=1,IFERROR(IF(VALUE($A287)&lt;100000000,VALUE($A287),1000000000),IFERROR(IF(VALUE(MID($A287,2,20))&lt;100000000,VALUE(MID($A287,2,20)),1000000000),1000000000))+ROW()/100000,"")</f>
        <v/>
      </c>
    </row>
    <row r="288">
      <c r="F288" s="7">
        <f>IF($A288="","",E288*L288/100)</f>
        <v/>
      </c>
      <c r="J288" s="7" t="n"/>
      <c r="K288" s="7">
        <f>IF($A288="","",N288*U288/100)</f>
        <v/>
      </c>
      <c r="L288" s="7">
        <f>IF($A288="","",N288-K288)</f>
        <v/>
      </c>
      <c r="M288" s="7">
        <f>IF($A288="","",L288-F288)</f>
        <v/>
      </c>
      <c r="N288" s="7" t="n"/>
      <c r="O288" s="7" t="n"/>
      <c r="P288" s="7" t="n"/>
      <c r="R288" s="14" t="n"/>
      <c r="V288">
        <f>IF($A288="","",IF(COUNTIF($A$2:$A288,$A288)=1,1,0))</f>
        <v/>
      </c>
      <c r="W288">
        <f>IF($V288=1,SUMPRODUCT(--($Y$2:$Y$1501&lt;$Y288))+1,"")</f>
        <v/>
      </c>
      <c r="X288">
        <f>IF($A288="","",IF(OR($T288=TRUE(),$T288="TRUE"),1,0))</f>
        <v/>
      </c>
      <c r="Y288">
        <f>IF($V288=1,IFERROR(IF(VALUE($A288)&lt;100000000,VALUE($A288),1000000000),IFERROR(IF(VALUE(MID($A288,2,20))&lt;100000000,VALUE(MID($A288,2,20)),1000000000),1000000000))+ROW()/100000,"")</f>
        <v/>
      </c>
    </row>
    <row r="289">
      <c r="F289" s="7">
        <f>IF($A289="","",E289*L289/100)</f>
        <v/>
      </c>
      <c r="J289" s="7" t="n"/>
      <c r="K289" s="7">
        <f>IF($A289="","",N289*U289/100)</f>
        <v/>
      </c>
      <c r="L289" s="7">
        <f>IF($A289="","",N289-K289)</f>
        <v/>
      </c>
      <c r="M289" s="7">
        <f>IF($A289="","",L289-F289)</f>
        <v/>
      </c>
      <c r="N289" s="7" t="n"/>
      <c r="O289" s="7" t="n"/>
      <c r="P289" s="7" t="n"/>
      <c r="R289" s="14" t="n"/>
      <c r="V289">
        <f>IF($A289="","",IF(COUNTIF($A$2:$A289,$A289)=1,1,0))</f>
        <v/>
      </c>
      <c r="W289">
        <f>IF($V289=1,SUMPRODUCT(--($Y$2:$Y$1501&lt;$Y289))+1,"")</f>
        <v/>
      </c>
      <c r="X289">
        <f>IF($A289="","",IF(OR($T289=TRUE(),$T289="TRUE"),1,0))</f>
        <v/>
      </c>
      <c r="Y289">
        <f>IF($V289=1,IFERROR(IF(VALUE($A289)&lt;100000000,VALUE($A289),1000000000),IFERROR(IF(VALUE(MID($A289,2,20))&lt;100000000,VALUE(MID($A289,2,20)),1000000000),1000000000))+ROW()/100000,"")</f>
        <v/>
      </c>
    </row>
    <row r="290">
      <c r="F290" s="7">
        <f>IF($A290="","",E290*L290/100)</f>
        <v/>
      </c>
      <c r="J290" s="7" t="n"/>
      <c r="K290" s="7">
        <f>IF($A290="","",N290*U290/100)</f>
        <v/>
      </c>
      <c r="L290" s="7">
        <f>IF($A290="","",N290-K290)</f>
        <v/>
      </c>
      <c r="M290" s="7">
        <f>IF($A290="","",L290-F290)</f>
        <v/>
      </c>
      <c r="N290" s="7" t="n"/>
      <c r="O290" s="7" t="n"/>
      <c r="P290" s="7" t="n"/>
      <c r="R290" s="14" t="n"/>
      <c r="V290">
        <f>IF($A290="","",IF(COUNTIF($A$2:$A290,$A290)=1,1,0))</f>
        <v/>
      </c>
      <c r="W290">
        <f>IF($V290=1,SUMPRODUCT(--($Y$2:$Y$1501&lt;$Y290))+1,"")</f>
        <v/>
      </c>
      <c r="X290">
        <f>IF($A290="","",IF(OR($T290=TRUE(),$T290="TRUE"),1,0))</f>
        <v/>
      </c>
      <c r="Y290">
        <f>IF($V290=1,IFERROR(IF(VALUE($A290)&lt;100000000,VALUE($A290),1000000000),IFERROR(IF(VALUE(MID($A290,2,20))&lt;100000000,VALUE(MID($A290,2,20)),1000000000),1000000000))+ROW()/100000,"")</f>
        <v/>
      </c>
    </row>
    <row r="291">
      <c r="F291" s="7">
        <f>IF($A291="","",E291*L291/100)</f>
        <v/>
      </c>
      <c r="J291" s="7" t="n"/>
      <c r="K291" s="7">
        <f>IF($A291="","",N291*U291/100)</f>
        <v/>
      </c>
      <c r="L291" s="7">
        <f>IF($A291="","",N291-K291)</f>
        <v/>
      </c>
      <c r="M291" s="7">
        <f>IF($A291="","",L291-F291)</f>
        <v/>
      </c>
      <c r="N291" s="7" t="n"/>
      <c r="O291" s="7" t="n"/>
      <c r="P291" s="7" t="n"/>
      <c r="R291" s="14" t="n"/>
      <c r="V291">
        <f>IF($A291="","",IF(COUNTIF($A$2:$A291,$A291)=1,1,0))</f>
        <v/>
      </c>
      <c r="W291">
        <f>IF($V291=1,SUMPRODUCT(--($Y$2:$Y$1501&lt;$Y291))+1,"")</f>
        <v/>
      </c>
      <c r="X291">
        <f>IF($A291="","",IF(OR($T291=TRUE(),$T291="TRUE"),1,0))</f>
        <v/>
      </c>
      <c r="Y291">
        <f>IF($V291=1,IFERROR(IF(VALUE($A291)&lt;100000000,VALUE($A291),1000000000),IFERROR(IF(VALUE(MID($A291,2,20))&lt;100000000,VALUE(MID($A291,2,20)),1000000000),1000000000))+ROW()/100000,"")</f>
        <v/>
      </c>
    </row>
    <row r="292">
      <c r="F292" s="7">
        <f>IF($A292="","",E292*L292/100)</f>
        <v/>
      </c>
      <c r="J292" s="7" t="n"/>
      <c r="K292" s="7">
        <f>IF($A292="","",N292*U292/100)</f>
        <v/>
      </c>
      <c r="L292" s="7">
        <f>IF($A292="","",N292-K292)</f>
        <v/>
      </c>
      <c r="M292" s="7">
        <f>IF($A292="","",L292-F292)</f>
        <v/>
      </c>
      <c r="N292" s="7" t="n"/>
      <c r="O292" s="7" t="n"/>
      <c r="P292" s="7" t="n"/>
      <c r="R292" s="14" t="n"/>
      <c r="V292">
        <f>IF($A292="","",IF(COUNTIF($A$2:$A292,$A292)=1,1,0))</f>
        <v/>
      </c>
      <c r="W292">
        <f>IF($V292=1,SUMPRODUCT(--($Y$2:$Y$1501&lt;$Y292))+1,"")</f>
        <v/>
      </c>
      <c r="X292">
        <f>IF($A292="","",IF(OR($T292=TRUE(),$T292="TRUE"),1,0))</f>
        <v/>
      </c>
      <c r="Y292">
        <f>IF($V292=1,IFERROR(IF(VALUE($A292)&lt;100000000,VALUE($A292),1000000000),IFERROR(IF(VALUE(MID($A292,2,20))&lt;100000000,VALUE(MID($A292,2,20)),1000000000),1000000000))+ROW()/100000,"")</f>
        <v/>
      </c>
    </row>
    <row r="293">
      <c r="F293" s="7">
        <f>IF($A293="","",E293*L293/100)</f>
        <v/>
      </c>
      <c r="J293" s="7" t="n"/>
      <c r="K293" s="7">
        <f>IF($A293="","",N293*U293/100)</f>
        <v/>
      </c>
      <c r="L293" s="7">
        <f>IF($A293="","",N293-K293)</f>
        <v/>
      </c>
      <c r="M293" s="7">
        <f>IF($A293="","",L293-F293)</f>
        <v/>
      </c>
      <c r="N293" s="7" t="n"/>
      <c r="O293" s="7" t="n"/>
      <c r="P293" s="7" t="n"/>
      <c r="R293" s="14" t="n"/>
      <c r="V293">
        <f>IF($A293="","",IF(COUNTIF($A$2:$A293,$A293)=1,1,0))</f>
        <v/>
      </c>
      <c r="W293">
        <f>IF($V293=1,SUMPRODUCT(--($Y$2:$Y$1501&lt;$Y293))+1,"")</f>
        <v/>
      </c>
      <c r="X293">
        <f>IF($A293="","",IF(OR($T293=TRUE(),$T293="TRUE"),1,0))</f>
        <v/>
      </c>
      <c r="Y293">
        <f>IF($V293=1,IFERROR(IF(VALUE($A293)&lt;100000000,VALUE($A293),1000000000),IFERROR(IF(VALUE(MID($A293,2,20))&lt;100000000,VALUE(MID($A293,2,20)),1000000000),1000000000))+ROW()/100000,"")</f>
        <v/>
      </c>
    </row>
    <row r="294">
      <c r="F294" s="7">
        <f>IF($A294="","",E294*L294/100)</f>
        <v/>
      </c>
      <c r="J294" s="7" t="n"/>
      <c r="K294" s="7">
        <f>IF($A294="","",N294*U294/100)</f>
        <v/>
      </c>
      <c r="L294" s="7">
        <f>IF($A294="","",N294-K294)</f>
        <v/>
      </c>
      <c r="M294" s="7">
        <f>IF($A294="","",L294-F294)</f>
        <v/>
      </c>
      <c r="N294" s="7" t="n"/>
      <c r="O294" s="7" t="n"/>
      <c r="P294" s="7" t="n"/>
      <c r="R294" s="14" t="n"/>
      <c r="V294">
        <f>IF($A294="","",IF(COUNTIF($A$2:$A294,$A294)=1,1,0))</f>
        <v/>
      </c>
      <c r="W294">
        <f>IF($V294=1,SUMPRODUCT(--($Y$2:$Y$1501&lt;$Y294))+1,"")</f>
        <v/>
      </c>
      <c r="X294">
        <f>IF($A294="","",IF(OR($T294=TRUE(),$T294="TRUE"),1,0))</f>
        <v/>
      </c>
      <c r="Y294">
        <f>IF($V294=1,IFERROR(IF(VALUE($A294)&lt;100000000,VALUE($A294),1000000000),IFERROR(IF(VALUE(MID($A294,2,20))&lt;100000000,VALUE(MID($A294,2,20)),1000000000),1000000000))+ROW()/100000,"")</f>
        <v/>
      </c>
    </row>
    <row r="295">
      <c r="F295" s="7">
        <f>IF($A295="","",E295*L295/100)</f>
        <v/>
      </c>
      <c r="J295" s="7" t="n"/>
      <c r="K295" s="7">
        <f>IF($A295="","",N295*U295/100)</f>
        <v/>
      </c>
      <c r="L295" s="7">
        <f>IF($A295="","",N295-K295)</f>
        <v/>
      </c>
      <c r="M295" s="7">
        <f>IF($A295="","",L295-F295)</f>
        <v/>
      </c>
      <c r="N295" s="7" t="n"/>
      <c r="O295" s="7" t="n"/>
      <c r="P295" s="7" t="n"/>
      <c r="R295" s="14" t="n"/>
      <c r="V295">
        <f>IF($A295="","",IF(COUNTIF($A$2:$A295,$A295)=1,1,0))</f>
        <v/>
      </c>
      <c r="W295">
        <f>IF($V295=1,SUMPRODUCT(--($Y$2:$Y$1501&lt;$Y295))+1,"")</f>
        <v/>
      </c>
      <c r="X295">
        <f>IF($A295="","",IF(OR($T295=TRUE(),$T295="TRUE"),1,0))</f>
        <v/>
      </c>
      <c r="Y295">
        <f>IF($V295=1,IFERROR(IF(VALUE($A295)&lt;100000000,VALUE($A295),1000000000),IFERROR(IF(VALUE(MID($A295,2,20))&lt;100000000,VALUE(MID($A295,2,20)),1000000000),1000000000))+ROW()/100000,"")</f>
        <v/>
      </c>
    </row>
    <row r="296">
      <c r="F296" s="7">
        <f>IF($A296="","",E296*L296/100)</f>
        <v/>
      </c>
      <c r="J296" s="7" t="n"/>
      <c r="K296" s="7">
        <f>IF($A296="","",N296*U296/100)</f>
        <v/>
      </c>
      <c r="L296" s="7">
        <f>IF($A296="","",N296-K296)</f>
        <v/>
      </c>
      <c r="M296" s="7">
        <f>IF($A296="","",L296-F296)</f>
        <v/>
      </c>
      <c r="N296" s="7" t="n"/>
      <c r="O296" s="7" t="n"/>
      <c r="P296" s="7" t="n"/>
      <c r="R296" s="14" t="n"/>
      <c r="V296">
        <f>IF($A296="","",IF(COUNTIF($A$2:$A296,$A296)=1,1,0))</f>
        <v/>
      </c>
      <c r="W296">
        <f>IF($V296=1,SUMPRODUCT(--($Y$2:$Y$1501&lt;$Y296))+1,"")</f>
        <v/>
      </c>
      <c r="X296">
        <f>IF($A296="","",IF(OR($T296=TRUE(),$T296="TRUE"),1,0))</f>
        <v/>
      </c>
      <c r="Y296">
        <f>IF($V296=1,IFERROR(IF(VALUE($A296)&lt;100000000,VALUE($A296),1000000000),IFERROR(IF(VALUE(MID($A296,2,20))&lt;100000000,VALUE(MID($A296,2,20)),1000000000),1000000000))+ROW()/100000,"")</f>
        <v/>
      </c>
    </row>
    <row r="297">
      <c r="F297" s="7">
        <f>IF($A297="","",E297*L297/100)</f>
        <v/>
      </c>
      <c r="J297" s="7" t="n"/>
      <c r="K297" s="7">
        <f>IF($A297="","",N297*U297/100)</f>
        <v/>
      </c>
      <c r="L297" s="7">
        <f>IF($A297="","",N297-K297)</f>
        <v/>
      </c>
      <c r="M297" s="7">
        <f>IF($A297="","",L297-F297)</f>
        <v/>
      </c>
      <c r="N297" s="7" t="n"/>
      <c r="O297" s="7" t="n"/>
      <c r="P297" s="7" t="n"/>
      <c r="R297" s="14" t="n"/>
      <c r="V297">
        <f>IF($A297="","",IF(COUNTIF($A$2:$A297,$A297)=1,1,0))</f>
        <v/>
      </c>
      <c r="W297">
        <f>IF($V297=1,SUMPRODUCT(--($Y$2:$Y$1501&lt;$Y297))+1,"")</f>
        <v/>
      </c>
      <c r="X297">
        <f>IF($A297="","",IF(OR($T297=TRUE(),$T297="TRUE"),1,0))</f>
        <v/>
      </c>
      <c r="Y297">
        <f>IF($V297=1,IFERROR(IF(VALUE($A297)&lt;100000000,VALUE($A297),1000000000),IFERROR(IF(VALUE(MID($A297,2,20))&lt;100000000,VALUE(MID($A297,2,20)),1000000000),1000000000))+ROW()/100000,"")</f>
        <v/>
      </c>
    </row>
    <row r="298">
      <c r="F298" s="7">
        <f>IF($A298="","",E298*L298/100)</f>
        <v/>
      </c>
      <c r="J298" s="7" t="n"/>
      <c r="K298" s="7">
        <f>IF($A298="","",N298*U298/100)</f>
        <v/>
      </c>
      <c r="L298" s="7">
        <f>IF($A298="","",N298-K298)</f>
        <v/>
      </c>
      <c r="M298" s="7">
        <f>IF($A298="","",L298-F298)</f>
        <v/>
      </c>
      <c r="N298" s="7" t="n"/>
      <c r="O298" s="7" t="n"/>
      <c r="P298" s="7" t="n"/>
      <c r="R298" s="14" t="n"/>
      <c r="V298">
        <f>IF($A298="","",IF(COUNTIF($A$2:$A298,$A298)=1,1,0))</f>
        <v/>
      </c>
      <c r="W298">
        <f>IF($V298=1,SUMPRODUCT(--($Y$2:$Y$1501&lt;$Y298))+1,"")</f>
        <v/>
      </c>
      <c r="X298">
        <f>IF($A298="","",IF(OR($T298=TRUE(),$T298="TRUE"),1,0))</f>
        <v/>
      </c>
      <c r="Y298">
        <f>IF($V298=1,IFERROR(IF(VALUE($A298)&lt;100000000,VALUE($A298),1000000000),IFERROR(IF(VALUE(MID($A298,2,20))&lt;100000000,VALUE(MID($A298,2,20)),1000000000),1000000000))+ROW()/100000,"")</f>
        <v/>
      </c>
    </row>
    <row r="299">
      <c r="F299" s="7">
        <f>IF($A299="","",E299*L299/100)</f>
        <v/>
      </c>
      <c r="J299" s="7" t="n"/>
      <c r="K299" s="7">
        <f>IF($A299="","",N299*U299/100)</f>
        <v/>
      </c>
      <c r="L299" s="7">
        <f>IF($A299="","",N299-K299)</f>
        <v/>
      </c>
      <c r="M299" s="7">
        <f>IF($A299="","",L299-F299)</f>
        <v/>
      </c>
      <c r="N299" s="7" t="n"/>
      <c r="O299" s="7" t="n"/>
      <c r="P299" s="7" t="n"/>
      <c r="R299" s="14" t="n"/>
      <c r="V299">
        <f>IF($A299="","",IF(COUNTIF($A$2:$A299,$A299)=1,1,0))</f>
        <v/>
      </c>
      <c r="W299">
        <f>IF($V299=1,SUMPRODUCT(--($Y$2:$Y$1501&lt;$Y299))+1,"")</f>
        <v/>
      </c>
      <c r="X299">
        <f>IF($A299="","",IF(OR($T299=TRUE(),$T299="TRUE"),1,0))</f>
        <v/>
      </c>
      <c r="Y299">
        <f>IF($V299=1,IFERROR(IF(VALUE($A299)&lt;100000000,VALUE($A299),1000000000),IFERROR(IF(VALUE(MID($A299,2,20))&lt;100000000,VALUE(MID($A299,2,20)),1000000000),1000000000))+ROW()/100000,"")</f>
        <v/>
      </c>
    </row>
    <row r="300">
      <c r="F300" s="7">
        <f>IF($A300="","",E300*L300/100)</f>
        <v/>
      </c>
      <c r="J300" s="7" t="n"/>
      <c r="K300" s="7">
        <f>IF($A300="","",N300*U300/100)</f>
        <v/>
      </c>
      <c r="L300" s="7">
        <f>IF($A300="","",N300-K300)</f>
        <v/>
      </c>
      <c r="M300" s="7">
        <f>IF($A300="","",L300-F300)</f>
        <v/>
      </c>
      <c r="N300" s="7" t="n"/>
      <c r="O300" s="7" t="n"/>
      <c r="P300" s="7" t="n"/>
      <c r="R300" s="14" t="n"/>
      <c r="V300">
        <f>IF($A300="","",IF(COUNTIF($A$2:$A300,$A300)=1,1,0))</f>
        <v/>
      </c>
      <c r="W300">
        <f>IF($V300=1,SUMPRODUCT(--($Y$2:$Y$1501&lt;$Y300))+1,"")</f>
        <v/>
      </c>
      <c r="X300">
        <f>IF($A300="","",IF(OR($T300=TRUE(),$T300="TRUE"),1,0))</f>
        <v/>
      </c>
      <c r="Y300">
        <f>IF($V300=1,IFERROR(IF(VALUE($A300)&lt;100000000,VALUE($A300),1000000000),IFERROR(IF(VALUE(MID($A300,2,20))&lt;100000000,VALUE(MID($A300,2,20)),1000000000),1000000000))+ROW()/100000,"")</f>
        <v/>
      </c>
    </row>
    <row r="301">
      <c r="F301" s="7">
        <f>IF($A301="","",E301*L301/100)</f>
        <v/>
      </c>
      <c r="J301" s="7" t="n"/>
      <c r="K301" s="7">
        <f>IF($A301="","",N301*U301/100)</f>
        <v/>
      </c>
      <c r="L301" s="7">
        <f>IF($A301="","",N301-K301)</f>
        <v/>
      </c>
      <c r="M301" s="7">
        <f>IF($A301="","",L301-F301)</f>
        <v/>
      </c>
      <c r="N301" s="7" t="n"/>
      <c r="O301" s="7" t="n"/>
      <c r="P301" s="7" t="n"/>
      <c r="R301" s="14" t="n"/>
      <c r="V301">
        <f>IF($A301="","",IF(COUNTIF($A$2:$A301,$A301)=1,1,0))</f>
        <v/>
      </c>
      <c r="W301">
        <f>IF($V301=1,SUMPRODUCT(--($Y$2:$Y$1501&lt;$Y301))+1,"")</f>
        <v/>
      </c>
      <c r="X301">
        <f>IF($A301="","",IF(OR($T301=TRUE(),$T301="TRUE"),1,0))</f>
        <v/>
      </c>
      <c r="Y301">
        <f>IF($V301=1,IFERROR(IF(VALUE($A301)&lt;100000000,VALUE($A301),1000000000),IFERROR(IF(VALUE(MID($A301,2,20))&lt;100000000,VALUE(MID($A301,2,20)),1000000000),1000000000))+ROW()/100000,"")</f>
        <v/>
      </c>
    </row>
    <row r="302">
      <c r="F302" s="7">
        <f>IF($A302="","",E302*L302/100)</f>
        <v/>
      </c>
      <c r="J302" s="7" t="n"/>
      <c r="K302" s="7">
        <f>IF($A302="","",N302*U302/100)</f>
        <v/>
      </c>
      <c r="L302" s="7">
        <f>IF($A302="","",N302-K302)</f>
        <v/>
      </c>
      <c r="M302" s="7">
        <f>IF($A302="","",L302-F302)</f>
        <v/>
      </c>
      <c r="N302" s="7" t="n"/>
      <c r="O302" s="7" t="n"/>
      <c r="P302" s="7" t="n"/>
      <c r="R302" s="14" t="n"/>
      <c r="V302">
        <f>IF($A302="","",IF(COUNTIF($A$2:$A302,$A302)=1,1,0))</f>
        <v/>
      </c>
      <c r="W302">
        <f>IF($V302=1,SUMPRODUCT(--($Y$2:$Y$1501&lt;$Y302))+1,"")</f>
        <v/>
      </c>
      <c r="X302">
        <f>IF($A302="","",IF(OR($T302=TRUE(),$T302="TRUE"),1,0))</f>
        <v/>
      </c>
      <c r="Y302">
        <f>IF($V302=1,IFERROR(IF(VALUE($A302)&lt;100000000,VALUE($A302),1000000000),IFERROR(IF(VALUE(MID($A302,2,20))&lt;100000000,VALUE(MID($A302,2,20)),1000000000),1000000000))+ROW()/100000,"")</f>
        <v/>
      </c>
    </row>
    <row r="303">
      <c r="F303" s="7">
        <f>IF($A303="","",E303*L303/100)</f>
        <v/>
      </c>
      <c r="J303" s="7" t="n"/>
      <c r="K303" s="7">
        <f>IF($A303="","",N303*U303/100)</f>
        <v/>
      </c>
      <c r="L303" s="7">
        <f>IF($A303="","",N303-K303)</f>
        <v/>
      </c>
      <c r="M303" s="7">
        <f>IF($A303="","",L303-F303)</f>
        <v/>
      </c>
      <c r="N303" s="7" t="n"/>
      <c r="O303" s="7" t="n"/>
      <c r="P303" s="7" t="n"/>
      <c r="R303" s="14" t="n"/>
      <c r="V303">
        <f>IF($A303="","",IF(COUNTIF($A$2:$A303,$A303)=1,1,0))</f>
        <v/>
      </c>
      <c r="W303">
        <f>IF($V303=1,SUMPRODUCT(--($Y$2:$Y$1501&lt;$Y303))+1,"")</f>
        <v/>
      </c>
      <c r="X303">
        <f>IF($A303="","",IF(OR($T303=TRUE(),$T303="TRUE"),1,0))</f>
        <v/>
      </c>
      <c r="Y303">
        <f>IF($V303=1,IFERROR(IF(VALUE($A303)&lt;100000000,VALUE($A303),1000000000),IFERROR(IF(VALUE(MID($A303,2,20))&lt;100000000,VALUE(MID($A303,2,20)),1000000000),1000000000))+ROW()/100000,"")</f>
        <v/>
      </c>
    </row>
    <row r="304">
      <c r="F304" s="7">
        <f>IF($A304="","",E304*L304/100)</f>
        <v/>
      </c>
      <c r="J304" s="7" t="n"/>
      <c r="K304" s="7">
        <f>IF($A304="","",N304*U304/100)</f>
        <v/>
      </c>
      <c r="L304" s="7">
        <f>IF($A304="","",N304-K304)</f>
        <v/>
      </c>
      <c r="M304" s="7">
        <f>IF($A304="","",L304-F304)</f>
        <v/>
      </c>
      <c r="N304" s="7" t="n"/>
      <c r="O304" s="7" t="n"/>
      <c r="P304" s="7" t="n"/>
      <c r="R304" s="14" t="n"/>
      <c r="V304">
        <f>IF($A304="","",IF(COUNTIF($A$2:$A304,$A304)=1,1,0))</f>
        <v/>
      </c>
      <c r="W304">
        <f>IF($V304=1,SUMPRODUCT(--($Y$2:$Y$1501&lt;$Y304))+1,"")</f>
        <v/>
      </c>
      <c r="X304">
        <f>IF($A304="","",IF(OR($T304=TRUE(),$T304="TRUE"),1,0))</f>
        <v/>
      </c>
      <c r="Y304">
        <f>IF($V304=1,IFERROR(IF(VALUE($A304)&lt;100000000,VALUE($A304),1000000000),IFERROR(IF(VALUE(MID($A304,2,20))&lt;100000000,VALUE(MID($A304,2,20)),1000000000),1000000000))+ROW()/100000,"")</f>
        <v/>
      </c>
    </row>
    <row r="305">
      <c r="F305" s="7">
        <f>IF($A305="","",E305*L305/100)</f>
        <v/>
      </c>
      <c r="J305" s="7" t="n"/>
      <c r="K305" s="7">
        <f>IF($A305="","",N305*U305/100)</f>
        <v/>
      </c>
      <c r="L305" s="7">
        <f>IF($A305="","",N305-K305)</f>
        <v/>
      </c>
      <c r="M305" s="7">
        <f>IF($A305="","",L305-F305)</f>
        <v/>
      </c>
      <c r="N305" s="7" t="n"/>
      <c r="O305" s="7" t="n"/>
      <c r="P305" s="7" t="n"/>
      <c r="R305" s="14" t="n"/>
      <c r="V305">
        <f>IF($A305="","",IF(COUNTIF($A$2:$A305,$A305)=1,1,0))</f>
        <v/>
      </c>
      <c r="W305">
        <f>IF($V305=1,SUMPRODUCT(--($Y$2:$Y$1501&lt;$Y305))+1,"")</f>
        <v/>
      </c>
      <c r="X305">
        <f>IF($A305="","",IF(OR($T305=TRUE(),$T305="TRUE"),1,0))</f>
        <v/>
      </c>
      <c r="Y305">
        <f>IF($V305=1,IFERROR(IF(VALUE($A305)&lt;100000000,VALUE($A305),1000000000),IFERROR(IF(VALUE(MID($A305,2,20))&lt;100000000,VALUE(MID($A305,2,20)),1000000000),1000000000))+ROW()/100000,"")</f>
        <v/>
      </c>
    </row>
    <row r="306">
      <c r="F306" s="7">
        <f>IF($A306="","",E306*L306/100)</f>
        <v/>
      </c>
      <c r="J306" s="7" t="n"/>
      <c r="K306" s="7">
        <f>IF($A306="","",N306*U306/100)</f>
        <v/>
      </c>
      <c r="L306" s="7">
        <f>IF($A306="","",N306-K306)</f>
        <v/>
      </c>
      <c r="M306" s="7">
        <f>IF($A306="","",L306-F306)</f>
        <v/>
      </c>
      <c r="N306" s="7" t="n"/>
      <c r="O306" s="7" t="n"/>
      <c r="P306" s="7" t="n"/>
      <c r="R306" s="14" t="n"/>
      <c r="V306">
        <f>IF($A306="","",IF(COUNTIF($A$2:$A306,$A306)=1,1,0))</f>
        <v/>
      </c>
      <c r="W306">
        <f>IF($V306=1,SUMPRODUCT(--($Y$2:$Y$1501&lt;$Y306))+1,"")</f>
        <v/>
      </c>
      <c r="X306">
        <f>IF($A306="","",IF(OR($T306=TRUE(),$T306="TRUE"),1,0))</f>
        <v/>
      </c>
      <c r="Y306">
        <f>IF($V306=1,IFERROR(IF(VALUE($A306)&lt;100000000,VALUE($A306),1000000000),IFERROR(IF(VALUE(MID($A306,2,20))&lt;100000000,VALUE(MID($A306,2,20)),1000000000),1000000000))+ROW()/100000,"")</f>
        <v/>
      </c>
    </row>
    <row r="307">
      <c r="F307" s="7">
        <f>IF($A307="","",E307*L307/100)</f>
        <v/>
      </c>
      <c r="J307" s="7" t="n"/>
      <c r="K307" s="7">
        <f>IF($A307="","",N307*U307/100)</f>
        <v/>
      </c>
      <c r="L307" s="7">
        <f>IF($A307="","",N307-K307)</f>
        <v/>
      </c>
      <c r="M307" s="7">
        <f>IF($A307="","",L307-F307)</f>
        <v/>
      </c>
      <c r="N307" s="7" t="n"/>
      <c r="O307" s="7" t="n"/>
      <c r="P307" s="7" t="n"/>
      <c r="R307" s="14" t="n"/>
      <c r="V307">
        <f>IF($A307="","",IF(COUNTIF($A$2:$A307,$A307)=1,1,0))</f>
        <v/>
      </c>
      <c r="W307">
        <f>IF($V307=1,SUMPRODUCT(--($Y$2:$Y$1501&lt;$Y307))+1,"")</f>
        <v/>
      </c>
      <c r="X307">
        <f>IF($A307="","",IF(OR($T307=TRUE(),$T307="TRUE"),1,0))</f>
        <v/>
      </c>
      <c r="Y307">
        <f>IF($V307=1,IFERROR(IF(VALUE($A307)&lt;100000000,VALUE($A307),1000000000),IFERROR(IF(VALUE(MID($A307,2,20))&lt;100000000,VALUE(MID($A307,2,20)),1000000000),1000000000))+ROW()/100000,"")</f>
        <v/>
      </c>
    </row>
    <row r="308">
      <c r="F308" s="7">
        <f>IF($A308="","",E308*L308/100)</f>
        <v/>
      </c>
      <c r="J308" s="7" t="n"/>
      <c r="K308" s="7">
        <f>IF($A308="","",N308*U308/100)</f>
        <v/>
      </c>
      <c r="L308" s="7">
        <f>IF($A308="","",N308-K308)</f>
        <v/>
      </c>
      <c r="M308" s="7">
        <f>IF($A308="","",L308-F308)</f>
        <v/>
      </c>
      <c r="N308" s="7" t="n"/>
      <c r="O308" s="7" t="n"/>
      <c r="P308" s="7" t="n"/>
      <c r="R308" s="14" t="n"/>
      <c r="V308">
        <f>IF($A308="","",IF(COUNTIF($A$2:$A308,$A308)=1,1,0))</f>
        <v/>
      </c>
      <c r="W308">
        <f>IF($V308=1,SUMPRODUCT(--($Y$2:$Y$1501&lt;$Y308))+1,"")</f>
        <v/>
      </c>
      <c r="X308">
        <f>IF($A308="","",IF(OR($T308=TRUE(),$T308="TRUE"),1,0))</f>
        <v/>
      </c>
      <c r="Y308">
        <f>IF($V308=1,IFERROR(IF(VALUE($A308)&lt;100000000,VALUE($A308),1000000000),IFERROR(IF(VALUE(MID($A308,2,20))&lt;100000000,VALUE(MID($A308,2,20)),1000000000),1000000000))+ROW()/100000,"")</f>
        <v/>
      </c>
    </row>
    <row r="309">
      <c r="F309" s="7">
        <f>IF($A309="","",E309*L309/100)</f>
        <v/>
      </c>
      <c r="J309" s="7" t="n"/>
      <c r="K309" s="7">
        <f>IF($A309="","",N309*U309/100)</f>
        <v/>
      </c>
      <c r="L309" s="7">
        <f>IF($A309="","",N309-K309)</f>
        <v/>
      </c>
      <c r="M309" s="7">
        <f>IF($A309="","",L309-F309)</f>
        <v/>
      </c>
      <c r="N309" s="7" t="n"/>
      <c r="O309" s="7" t="n"/>
      <c r="P309" s="7" t="n"/>
      <c r="R309" s="14" t="n"/>
      <c r="V309">
        <f>IF($A309="","",IF(COUNTIF($A$2:$A309,$A309)=1,1,0))</f>
        <v/>
      </c>
      <c r="W309">
        <f>IF($V309=1,SUMPRODUCT(--($Y$2:$Y$1501&lt;$Y309))+1,"")</f>
        <v/>
      </c>
      <c r="X309">
        <f>IF($A309="","",IF(OR($T309=TRUE(),$T309="TRUE"),1,0))</f>
        <v/>
      </c>
      <c r="Y309">
        <f>IF($V309=1,IFERROR(IF(VALUE($A309)&lt;100000000,VALUE($A309),1000000000),IFERROR(IF(VALUE(MID($A309,2,20))&lt;100000000,VALUE(MID($A309,2,20)),1000000000),1000000000))+ROW()/100000,"")</f>
        <v/>
      </c>
    </row>
    <row r="310">
      <c r="F310" s="7">
        <f>IF($A310="","",E310*L310/100)</f>
        <v/>
      </c>
      <c r="J310" s="7" t="n"/>
      <c r="K310" s="7">
        <f>IF($A310="","",N310*U310/100)</f>
        <v/>
      </c>
      <c r="L310" s="7">
        <f>IF($A310="","",N310-K310)</f>
        <v/>
      </c>
      <c r="M310" s="7">
        <f>IF($A310="","",L310-F310)</f>
        <v/>
      </c>
      <c r="N310" s="7" t="n"/>
      <c r="O310" s="7" t="n"/>
      <c r="P310" s="7" t="n"/>
      <c r="R310" s="14" t="n"/>
      <c r="V310">
        <f>IF($A310="","",IF(COUNTIF($A$2:$A310,$A310)=1,1,0))</f>
        <v/>
      </c>
      <c r="W310">
        <f>IF($V310=1,SUMPRODUCT(--($Y$2:$Y$1501&lt;$Y310))+1,"")</f>
        <v/>
      </c>
      <c r="X310">
        <f>IF($A310="","",IF(OR($T310=TRUE(),$T310="TRUE"),1,0))</f>
        <v/>
      </c>
      <c r="Y310">
        <f>IF($V310=1,IFERROR(IF(VALUE($A310)&lt;100000000,VALUE($A310),1000000000),IFERROR(IF(VALUE(MID($A310,2,20))&lt;100000000,VALUE(MID($A310,2,20)),1000000000),1000000000))+ROW()/100000,"")</f>
        <v/>
      </c>
    </row>
    <row r="311">
      <c r="F311" s="7">
        <f>IF($A311="","",E311*L311/100)</f>
        <v/>
      </c>
      <c r="J311" s="7" t="n"/>
      <c r="K311" s="7">
        <f>IF($A311="","",N311*U311/100)</f>
        <v/>
      </c>
      <c r="L311" s="7">
        <f>IF($A311="","",N311-K311)</f>
        <v/>
      </c>
      <c r="M311" s="7">
        <f>IF($A311="","",L311-F311)</f>
        <v/>
      </c>
      <c r="N311" s="7" t="n"/>
      <c r="O311" s="7" t="n"/>
      <c r="P311" s="7" t="n"/>
      <c r="R311" s="14" t="n"/>
      <c r="V311">
        <f>IF($A311="","",IF(COUNTIF($A$2:$A311,$A311)=1,1,0))</f>
        <v/>
      </c>
      <c r="W311">
        <f>IF($V311=1,SUMPRODUCT(--($Y$2:$Y$1501&lt;$Y311))+1,"")</f>
        <v/>
      </c>
      <c r="X311">
        <f>IF($A311="","",IF(OR($T311=TRUE(),$T311="TRUE"),1,0))</f>
        <v/>
      </c>
      <c r="Y311">
        <f>IF($V311=1,IFERROR(IF(VALUE($A311)&lt;100000000,VALUE($A311),1000000000),IFERROR(IF(VALUE(MID($A311,2,20))&lt;100000000,VALUE(MID($A311,2,20)),1000000000),1000000000))+ROW()/100000,"")</f>
        <v/>
      </c>
    </row>
    <row r="312">
      <c r="F312" s="7">
        <f>IF($A312="","",E312*L312/100)</f>
        <v/>
      </c>
      <c r="J312" s="7" t="n"/>
      <c r="K312" s="7">
        <f>IF($A312="","",N312*U312/100)</f>
        <v/>
      </c>
      <c r="L312" s="7">
        <f>IF($A312="","",N312-K312)</f>
        <v/>
      </c>
      <c r="M312" s="7">
        <f>IF($A312="","",L312-F312)</f>
        <v/>
      </c>
      <c r="N312" s="7" t="n"/>
      <c r="O312" s="7" t="n"/>
      <c r="P312" s="7" t="n"/>
      <c r="R312" s="14" t="n"/>
      <c r="V312">
        <f>IF($A312="","",IF(COUNTIF($A$2:$A312,$A312)=1,1,0))</f>
        <v/>
      </c>
      <c r="W312">
        <f>IF($V312=1,SUMPRODUCT(--($Y$2:$Y$1501&lt;$Y312))+1,"")</f>
        <v/>
      </c>
      <c r="X312">
        <f>IF($A312="","",IF(OR($T312=TRUE(),$T312="TRUE"),1,0))</f>
        <v/>
      </c>
      <c r="Y312">
        <f>IF($V312=1,IFERROR(IF(VALUE($A312)&lt;100000000,VALUE($A312),1000000000),IFERROR(IF(VALUE(MID($A312,2,20))&lt;100000000,VALUE(MID($A312,2,20)),1000000000),1000000000))+ROW()/100000,"")</f>
        <v/>
      </c>
    </row>
    <row r="313">
      <c r="F313" s="7">
        <f>IF($A313="","",E313*L313/100)</f>
        <v/>
      </c>
      <c r="J313" s="7" t="n"/>
      <c r="K313" s="7">
        <f>IF($A313="","",N313*U313/100)</f>
        <v/>
      </c>
      <c r="L313" s="7">
        <f>IF($A313="","",N313-K313)</f>
        <v/>
      </c>
      <c r="M313" s="7">
        <f>IF($A313="","",L313-F313)</f>
        <v/>
      </c>
      <c r="N313" s="7" t="n"/>
      <c r="O313" s="7" t="n"/>
      <c r="P313" s="7" t="n"/>
      <c r="R313" s="14" t="n"/>
      <c r="V313">
        <f>IF($A313="","",IF(COUNTIF($A$2:$A313,$A313)=1,1,0))</f>
        <v/>
      </c>
      <c r="W313">
        <f>IF($V313=1,SUMPRODUCT(--($Y$2:$Y$1501&lt;$Y313))+1,"")</f>
        <v/>
      </c>
      <c r="X313">
        <f>IF($A313="","",IF(OR($T313=TRUE(),$T313="TRUE"),1,0))</f>
        <v/>
      </c>
      <c r="Y313">
        <f>IF($V313=1,IFERROR(IF(VALUE($A313)&lt;100000000,VALUE($A313),1000000000),IFERROR(IF(VALUE(MID($A313,2,20))&lt;100000000,VALUE(MID($A313,2,20)),1000000000),1000000000))+ROW()/100000,"")</f>
        <v/>
      </c>
    </row>
    <row r="314">
      <c r="F314" s="7">
        <f>IF($A314="","",E314*L314/100)</f>
        <v/>
      </c>
      <c r="J314" s="7" t="n"/>
      <c r="K314" s="7">
        <f>IF($A314="","",N314*U314/100)</f>
        <v/>
      </c>
      <c r="L314" s="7">
        <f>IF($A314="","",N314-K314)</f>
        <v/>
      </c>
      <c r="M314" s="7">
        <f>IF($A314="","",L314-F314)</f>
        <v/>
      </c>
      <c r="N314" s="7" t="n"/>
      <c r="O314" s="7" t="n"/>
      <c r="P314" s="7" t="n"/>
      <c r="R314" s="14" t="n"/>
      <c r="V314">
        <f>IF($A314="","",IF(COUNTIF($A$2:$A314,$A314)=1,1,0))</f>
        <v/>
      </c>
      <c r="W314">
        <f>IF($V314=1,SUMPRODUCT(--($Y$2:$Y$1501&lt;$Y314))+1,"")</f>
        <v/>
      </c>
      <c r="X314">
        <f>IF($A314="","",IF(OR($T314=TRUE(),$T314="TRUE"),1,0))</f>
        <v/>
      </c>
      <c r="Y314">
        <f>IF($V314=1,IFERROR(IF(VALUE($A314)&lt;100000000,VALUE($A314),1000000000),IFERROR(IF(VALUE(MID($A314,2,20))&lt;100000000,VALUE(MID($A314,2,20)),1000000000),1000000000))+ROW()/100000,"")</f>
        <v/>
      </c>
    </row>
    <row r="315">
      <c r="F315" s="7">
        <f>IF($A315="","",E315*L315/100)</f>
        <v/>
      </c>
      <c r="J315" s="7" t="n"/>
      <c r="K315" s="7">
        <f>IF($A315="","",N315*U315/100)</f>
        <v/>
      </c>
      <c r="L315" s="7">
        <f>IF($A315="","",N315-K315)</f>
        <v/>
      </c>
      <c r="M315" s="7">
        <f>IF($A315="","",L315-F315)</f>
        <v/>
      </c>
      <c r="N315" s="7" t="n"/>
      <c r="O315" s="7" t="n"/>
      <c r="P315" s="7" t="n"/>
      <c r="R315" s="14" t="n"/>
      <c r="V315">
        <f>IF($A315="","",IF(COUNTIF($A$2:$A315,$A315)=1,1,0))</f>
        <v/>
      </c>
      <c r="W315">
        <f>IF($V315=1,SUMPRODUCT(--($Y$2:$Y$1501&lt;$Y315))+1,"")</f>
        <v/>
      </c>
      <c r="X315">
        <f>IF($A315="","",IF(OR($T315=TRUE(),$T315="TRUE"),1,0))</f>
        <v/>
      </c>
      <c r="Y315">
        <f>IF($V315=1,IFERROR(IF(VALUE($A315)&lt;100000000,VALUE($A315),1000000000),IFERROR(IF(VALUE(MID($A315,2,20))&lt;100000000,VALUE(MID($A315,2,20)),1000000000),1000000000))+ROW()/100000,"")</f>
        <v/>
      </c>
    </row>
    <row r="316">
      <c r="F316" s="7">
        <f>IF($A316="","",E316*L316/100)</f>
        <v/>
      </c>
      <c r="J316" s="7" t="n"/>
      <c r="K316" s="7">
        <f>IF($A316="","",N316*U316/100)</f>
        <v/>
      </c>
      <c r="L316" s="7">
        <f>IF($A316="","",N316-K316)</f>
        <v/>
      </c>
      <c r="M316" s="7">
        <f>IF($A316="","",L316-F316)</f>
        <v/>
      </c>
      <c r="N316" s="7" t="n"/>
      <c r="O316" s="7" t="n"/>
      <c r="P316" s="7" t="n"/>
      <c r="R316" s="14" t="n"/>
      <c r="V316">
        <f>IF($A316="","",IF(COUNTIF($A$2:$A316,$A316)=1,1,0))</f>
        <v/>
      </c>
      <c r="W316">
        <f>IF($V316=1,SUMPRODUCT(--($Y$2:$Y$1501&lt;$Y316))+1,"")</f>
        <v/>
      </c>
      <c r="X316">
        <f>IF($A316="","",IF(OR($T316=TRUE(),$T316="TRUE"),1,0))</f>
        <v/>
      </c>
      <c r="Y316">
        <f>IF($V316=1,IFERROR(IF(VALUE($A316)&lt;100000000,VALUE($A316),1000000000),IFERROR(IF(VALUE(MID($A316,2,20))&lt;100000000,VALUE(MID($A316,2,20)),1000000000),1000000000))+ROW()/100000,"")</f>
        <v/>
      </c>
    </row>
    <row r="317">
      <c r="F317" s="7">
        <f>IF($A317="","",E317*L317/100)</f>
        <v/>
      </c>
      <c r="J317" s="7" t="n"/>
      <c r="K317" s="7">
        <f>IF($A317="","",N317*U317/100)</f>
        <v/>
      </c>
      <c r="L317" s="7">
        <f>IF($A317="","",N317-K317)</f>
        <v/>
      </c>
      <c r="M317" s="7">
        <f>IF($A317="","",L317-F317)</f>
        <v/>
      </c>
      <c r="N317" s="7" t="n"/>
      <c r="O317" s="7" t="n"/>
      <c r="P317" s="7" t="n"/>
      <c r="R317" s="14" t="n"/>
      <c r="V317">
        <f>IF($A317="","",IF(COUNTIF($A$2:$A317,$A317)=1,1,0))</f>
        <v/>
      </c>
      <c r="W317">
        <f>IF($V317=1,SUMPRODUCT(--($Y$2:$Y$1501&lt;$Y317))+1,"")</f>
        <v/>
      </c>
      <c r="X317">
        <f>IF($A317="","",IF(OR($T317=TRUE(),$T317="TRUE"),1,0))</f>
        <v/>
      </c>
      <c r="Y317">
        <f>IF($V317=1,IFERROR(IF(VALUE($A317)&lt;100000000,VALUE($A317),1000000000),IFERROR(IF(VALUE(MID($A317,2,20))&lt;100000000,VALUE(MID($A317,2,20)),1000000000),1000000000))+ROW()/100000,"")</f>
        <v/>
      </c>
    </row>
    <row r="318">
      <c r="F318" s="7">
        <f>IF($A318="","",E318*L318/100)</f>
        <v/>
      </c>
      <c r="J318" s="7" t="n"/>
      <c r="K318" s="7">
        <f>IF($A318="","",N318*U318/100)</f>
        <v/>
      </c>
      <c r="L318" s="7">
        <f>IF($A318="","",N318-K318)</f>
        <v/>
      </c>
      <c r="M318" s="7">
        <f>IF($A318="","",L318-F318)</f>
        <v/>
      </c>
      <c r="N318" s="7" t="n"/>
      <c r="O318" s="7" t="n"/>
      <c r="P318" s="7" t="n"/>
      <c r="R318" s="14" t="n"/>
      <c r="V318">
        <f>IF($A318="","",IF(COUNTIF($A$2:$A318,$A318)=1,1,0))</f>
        <v/>
      </c>
      <c r="W318">
        <f>IF($V318=1,SUMPRODUCT(--($Y$2:$Y$1501&lt;$Y318))+1,"")</f>
        <v/>
      </c>
      <c r="X318">
        <f>IF($A318="","",IF(OR($T318=TRUE(),$T318="TRUE"),1,0))</f>
        <v/>
      </c>
      <c r="Y318">
        <f>IF($V318=1,IFERROR(IF(VALUE($A318)&lt;100000000,VALUE($A318),1000000000),IFERROR(IF(VALUE(MID($A318,2,20))&lt;100000000,VALUE(MID($A318,2,20)),1000000000),1000000000))+ROW()/100000,"")</f>
        <v/>
      </c>
    </row>
    <row r="319">
      <c r="F319" s="7">
        <f>IF($A319="","",E319*L319/100)</f>
        <v/>
      </c>
      <c r="J319" s="7" t="n"/>
      <c r="K319" s="7">
        <f>IF($A319="","",N319*U319/100)</f>
        <v/>
      </c>
      <c r="L319" s="7">
        <f>IF($A319="","",N319-K319)</f>
        <v/>
      </c>
      <c r="M319" s="7">
        <f>IF($A319="","",L319-F319)</f>
        <v/>
      </c>
      <c r="N319" s="7" t="n"/>
      <c r="O319" s="7" t="n"/>
      <c r="P319" s="7" t="n"/>
      <c r="R319" s="14" t="n"/>
      <c r="V319">
        <f>IF($A319="","",IF(COUNTIF($A$2:$A319,$A319)=1,1,0))</f>
        <v/>
      </c>
      <c r="W319">
        <f>IF($V319=1,SUMPRODUCT(--($Y$2:$Y$1501&lt;$Y319))+1,"")</f>
        <v/>
      </c>
      <c r="X319">
        <f>IF($A319="","",IF(OR($T319=TRUE(),$T319="TRUE"),1,0))</f>
        <v/>
      </c>
      <c r="Y319">
        <f>IF($V319=1,IFERROR(IF(VALUE($A319)&lt;100000000,VALUE($A319),1000000000),IFERROR(IF(VALUE(MID($A319,2,20))&lt;100000000,VALUE(MID($A319,2,20)),1000000000),1000000000))+ROW()/100000,"")</f>
        <v/>
      </c>
    </row>
    <row r="320">
      <c r="F320" s="7">
        <f>IF($A320="","",E320*L320/100)</f>
        <v/>
      </c>
      <c r="J320" s="7" t="n"/>
      <c r="K320" s="7">
        <f>IF($A320="","",N320*U320/100)</f>
        <v/>
      </c>
      <c r="L320" s="7">
        <f>IF($A320="","",N320-K320)</f>
        <v/>
      </c>
      <c r="M320" s="7">
        <f>IF($A320="","",L320-F320)</f>
        <v/>
      </c>
      <c r="N320" s="7" t="n"/>
      <c r="O320" s="7" t="n"/>
      <c r="P320" s="7" t="n"/>
      <c r="R320" s="14" t="n"/>
      <c r="V320">
        <f>IF($A320="","",IF(COUNTIF($A$2:$A320,$A320)=1,1,0))</f>
        <v/>
      </c>
      <c r="W320">
        <f>IF($V320=1,SUMPRODUCT(--($Y$2:$Y$1501&lt;$Y320))+1,"")</f>
        <v/>
      </c>
      <c r="X320">
        <f>IF($A320="","",IF(OR($T320=TRUE(),$T320="TRUE"),1,0))</f>
        <v/>
      </c>
      <c r="Y320">
        <f>IF($V320=1,IFERROR(IF(VALUE($A320)&lt;100000000,VALUE($A320),1000000000),IFERROR(IF(VALUE(MID($A320,2,20))&lt;100000000,VALUE(MID($A320,2,20)),1000000000),1000000000))+ROW()/100000,"")</f>
        <v/>
      </c>
    </row>
    <row r="321">
      <c r="F321" s="7">
        <f>IF($A321="","",E321*L321/100)</f>
        <v/>
      </c>
      <c r="J321" s="7" t="n"/>
      <c r="K321" s="7">
        <f>IF($A321="","",N321*U321/100)</f>
        <v/>
      </c>
      <c r="L321" s="7">
        <f>IF($A321="","",N321-K321)</f>
        <v/>
      </c>
      <c r="M321" s="7">
        <f>IF($A321="","",L321-F321)</f>
        <v/>
      </c>
      <c r="N321" s="7" t="n"/>
      <c r="O321" s="7" t="n"/>
      <c r="P321" s="7" t="n"/>
      <c r="R321" s="14" t="n"/>
      <c r="V321">
        <f>IF($A321="","",IF(COUNTIF($A$2:$A321,$A321)=1,1,0))</f>
        <v/>
      </c>
      <c r="W321">
        <f>IF($V321=1,SUMPRODUCT(--($Y$2:$Y$1501&lt;$Y321))+1,"")</f>
        <v/>
      </c>
      <c r="X321">
        <f>IF($A321="","",IF(OR($T321=TRUE(),$T321="TRUE"),1,0))</f>
        <v/>
      </c>
      <c r="Y321">
        <f>IF($V321=1,IFERROR(IF(VALUE($A321)&lt;100000000,VALUE($A321),1000000000),IFERROR(IF(VALUE(MID($A321,2,20))&lt;100000000,VALUE(MID($A321,2,20)),1000000000),1000000000))+ROW()/100000,"")</f>
        <v/>
      </c>
    </row>
    <row r="322">
      <c r="F322" s="7">
        <f>IF($A322="","",E322*L322/100)</f>
        <v/>
      </c>
      <c r="J322" s="7" t="n"/>
      <c r="K322" s="7">
        <f>IF($A322="","",N322*U322/100)</f>
        <v/>
      </c>
      <c r="L322" s="7">
        <f>IF($A322="","",N322-K322)</f>
        <v/>
      </c>
      <c r="M322" s="7">
        <f>IF($A322="","",L322-F322)</f>
        <v/>
      </c>
      <c r="N322" s="7" t="n"/>
      <c r="O322" s="7" t="n"/>
      <c r="P322" s="7" t="n"/>
      <c r="R322" s="14" t="n"/>
      <c r="V322">
        <f>IF($A322="","",IF(COUNTIF($A$2:$A322,$A322)=1,1,0))</f>
        <v/>
      </c>
      <c r="W322">
        <f>IF($V322=1,SUMPRODUCT(--($Y$2:$Y$1501&lt;$Y322))+1,"")</f>
        <v/>
      </c>
      <c r="X322">
        <f>IF($A322="","",IF(OR($T322=TRUE(),$T322="TRUE"),1,0))</f>
        <v/>
      </c>
      <c r="Y322">
        <f>IF($V322=1,IFERROR(IF(VALUE($A322)&lt;100000000,VALUE($A322),1000000000),IFERROR(IF(VALUE(MID($A322,2,20))&lt;100000000,VALUE(MID($A322,2,20)),1000000000),1000000000))+ROW()/100000,"")</f>
        <v/>
      </c>
    </row>
    <row r="323">
      <c r="F323" s="7">
        <f>IF($A323="","",E323*L323/100)</f>
        <v/>
      </c>
      <c r="J323" s="7" t="n"/>
      <c r="K323" s="7">
        <f>IF($A323="","",N323*U323/100)</f>
        <v/>
      </c>
      <c r="L323" s="7">
        <f>IF($A323="","",N323-K323)</f>
        <v/>
      </c>
      <c r="M323" s="7">
        <f>IF($A323="","",L323-F323)</f>
        <v/>
      </c>
      <c r="N323" s="7" t="n"/>
      <c r="O323" s="7" t="n"/>
      <c r="P323" s="7" t="n"/>
      <c r="R323" s="14" t="n"/>
      <c r="V323">
        <f>IF($A323="","",IF(COUNTIF($A$2:$A323,$A323)=1,1,0))</f>
        <v/>
      </c>
      <c r="W323">
        <f>IF($V323=1,SUMPRODUCT(--($Y$2:$Y$1501&lt;$Y323))+1,"")</f>
        <v/>
      </c>
      <c r="X323">
        <f>IF($A323="","",IF(OR($T323=TRUE(),$T323="TRUE"),1,0))</f>
        <v/>
      </c>
      <c r="Y323">
        <f>IF($V323=1,IFERROR(IF(VALUE($A323)&lt;100000000,VALUE($A323),1000000000),IFERROR(IF(VALUE(MID($A323,2,20))&lt;100000000,VALUE(MID($A323,2,20)),1000000000),1000000000))+ROW()/100000,"")</f>
        <v/>
      </c>
    </row>
    <row r="324">
      <c r="F324" s="7">
        <f>IF($A324="","",E324*L324/100)</f>
        <v/>
      </c>
      <c r="J324" s="7" t="n"/>
      <c r="K324" s="7">
        <f>IF($A324="","",N324*U324/100)</f>
        <v/>
      </c>
      <c r="L324" s="7">
        <f>IF($A324="","",N324-K324)</f>
        <v/>
      </c>
      <c r="M324" s="7">
        <f>IF($A324="","",L324-F324)</f>
        <v/>
      </c>
      <c r="N324" s="7" t="n"/>
      <c r="O324" s="7" t="n"/>
      <c r="P324" s="7" t="n"/>
      <c r="R324" s="14" t="n"/>
      <c r="V324">
        <f>IF($A324="","",IF(COUNTIF($A$2:$A324,$A324)=1,1,0))</f>
        <v/>
      </c>
      <c r="W324">
        <f>IF($V324=1,SUMPRODUCT(--($Y$2:$Y$1501&lt;$Y324))+1,"")</f>
        <v/>
      </c>
      <c r="X324">
        <f>IF($A324="","",IF(OR($T324=TRUE(),$T324="TRUE"),1,0))</f>
        <v/>
      </c>
      <c r="Y324">
        <f>IF($V324=1,IFERROR(IF(VALUE($A324)&lt;100000000,VALUE($A324),1000000000),IFERROR(IF(VALUE(MID($A324,2,20))&lt;100000000,VALUE(MID($A324,2,20)),1000000000),1000000000))+ROW()/100000,"")</f>
        <v/>
      </c>
    </row>
    <row r="325">
      <c r="F325" s="7">
        <f>IF($A325="","",E325*L325/100)</f>
        <v/>
      </c>
      <c r="J325" s="7" t="n"/>
      <c r="K325" s="7">
        <f>IF($A325="","",N325*U325/100)</f>
        <v/>
      </c>
      <c r="L325" s="7">
        <f>IF($A325="","",N325-K325)</f>
        <v/>
      </c>
      <c r="M325" s="7">
        <f>IF($A325="","",L325-F325)</f>
        <v/>
      </c>
      <c r="N325" s="7" t="n"/>
      <c r="O325" s="7" t="n"/>
      <c r="P325" s="7" t="n"/>
      <c r="R325" s="14" t="n"/>
      <c r="V325">
        <f>IF($A325="","",IF(COUNTIF($A$2:$A325,$A325)=1,1,0))</f>
        <v/>
      </c>
      <c r="W325">
        <f>IF($V325=1,SUMPRODUCT(--($Y$2:$Y$1501&lt;$Y325))+1,"")</f>
        <v/>
      </c>
      <c r="X325">
        <f>IF($A325="","",IF(OR($T325=TRUE(),$T325="TRUE"),1,0))</f>
        <v/>
      </c>
      <c r="Y325">
        <f>IF($V325=1,IFERROR(IF(VALUE($A325)&lt;100000000,VALUE($A325),1000000000),IFERROR(IF(VALUE(MID($A325,2,20))&lt;100000000,VALUE(MID($A325,2,20)),1000000000),1000000000))+ROW()/100000,"")</f>
        <v/>
      </c>
    </row>
    <row r="326">
      <c r="F326" s="7">
        <f>IF($A326="","",E326*L326/100)</f>
        <v/>
      </c>
      <c r="J326" s="7" t="n"/>
      <c r="K326" s="7">
        <f>IF($A326="","",N326*U326/100)</f>
        <v/>
      </c>
      <c r="L326" s="7">
        <f>IF($A326="","",N326-K326)</f>
        <v/>
      </c>
      <c r="M326" s="7">
        <f>IF($A326="","",L326-F326)</f>
        <v/>
      </c>
      <c r="N326" s="7" t="n"/>
      <c r="O326" s="7" t="n"/>
      <c r="P326" s="7" t="n"/>
      <c r="R326" s="14" t="n"/>
      <c r="V326">
        <f>IF($A326="","",IF(COUNTIF($A$2:$A326,$A326)=1,1,0))</f>
        <v/>
      </c>
      <c r="W326">
        <f>IF($V326=1,SUMPRODUCT(--($Y$2:$Y$1501&lt;$Y326))+1,"")</f>
        <v/>
      </c>
      <c r="X326">
        <f>IF($A326="","",IF(OR($T326=TRUE(),$T326="TRUE"),1,0))</f>
        <v/>
      </c>
      <c r="Y326">
        <f>IF($V326=1,IFERROR(IF(VALUE($A326)&lt;100000000,VALUE($A326),1000000000),IFERROR(IF(VALUE(MID($A326,2,20))&lt;100000000,VALUE(MID($A326,2,20)),1000000000),1000000000))+ROW()/100000,"")</f>
        <v/>
      </c>
    </row>
    <row r="327">
      <c r="F327" s="7">
        <f>IF($A327="","",E327*L327/100)</f>
        <v/>
      </c>
      <c r="J327" s="7" t="n"/>
      <c r="K327" s="7">
        <f>IF($A327="","",N327*U327/100)</f>
        <v/>
      </c>
      <c r="L327" s="7">
        <f>IF($A327="","",N327-K327)</f>
        <v/>
      </c>
      <c r="M327" s="7">
        <f>IF($A327="","",L327-F327)</f>
        <v/>
      </c>
      <c r="N327" s="7" t="n"/>
      <c r="O327" s="7" t="n"/>
      <c r="P327" s="7" t="n"/>
      <c r="R327" s="14" t="n"/>
      <c r="V327">
        <f>IF($A327="","",IF(COUNTIF($A$2:$A327,$A327)=1,1,0))</f>
        <v/>
      </c>
      <c r="W327">
        <f>IF($V327=1,SUMPRODUCT(--($Y$2:$Y$1501&lt;$Y327))+1,"")</f>
        <v/>
      </c>
      <c r="X327">
        <f>IF($A327="","",IF(OR($T327=TRUE(),$T327="TRUE"),1,0))</f>
        <v/>
      </c>
      <c r="Y327">
        <f>IF($V327=1,IFERROR(IF(VALUE($A327)&lt;100000000,VALUE($A327),1000000000),IFERROR(IF(VALUE(MID($A327,2,20))&lt;100000000,VALUE(MID($A327,2,20)),1000000000),1000000000))+ROW()/100000,"")</f>
        <v/>
      </c>
    </row>
    <row r="328">
      <c r="F328" s="7">
        <f>IF($A328="","",E328*L328/100)</f>
        <v/>
      </c>
      <c r="J328" s="7" t="n"/>
      <c r="K328" s="7">
        <f>IF($A328="","",N328*U328/100)</f>
        <v/>
      </c>
      <c r="L328" s="7">
        <f>IF($A328="","",N328-K328)</f>
        <v/>
      </c>
      <c r="M328" s="7">
        <f>IF($A328="","",L328-F328)</f>
        <v/>
      </c>
      <c r="N328" s="7" t="n"/>
      <c r="O328" s="7" t="n"/>
      <c r="P328" s="7" t="n"/>
      <c r="R328" s="14" t="n"/>
      <c r="V328">
        <f>IF($A328="","",IF(COUNTIF($A$2:$A328,$A328)=1,1,0))</f>
        <v/>
      </c>
      <c r="W328">
        <f>IF($V328=1,SUMPRODUCT(--($Y$2:$Y$1501&lt;$Y328))+1,"")</f>
        <v/>
      </c>
      <c r="X328">
        <f>IF($A328="","",IF(OR($T328=TRUE(),$T328="TRUE"),1,0))</f>
        <v/>
      </c>
      <c r="Y328">
        <f>IF($V328=1,IFERROR(IF(VALUE($A328)&lt;100000000,VALUE($A328),1000000000),IFERROR(IF(VALUE(MID($A328,2,20))&lt;100000000,VALUE(MID($A328,2,20)),1000000000),1000000000))+ROW()/100000,"")</f>
        <v/>
      </c>
    </row>
    <row r="329">
      <c r="F329" s="7">
        <f>IF($A329="","",E329*L329/100)</f>
        <v/>
      </c>
      <c r="J329" s="7" t="n"/>
      <c r="K329" s="7">
        <f>IF($A329="","",N329*U329/100)</f>
        <v/>
      </c>
      <c r="L329" s="7">
        <f>IF($A329="","",N329-K329)</f>
        <v/>
      </c>
      <c r="M329" s="7">
        <f>IF($A329="","",L329-F329)</f>
        <v/>
      </c>
      <c r="N329" s="7" t="n"/>
      <c r="O329" s="7" t="n"/>
      <c r="P329" s="7" t="n"/>
      <c r="R329" s="14" t="n"/>
      <c r="V329">
        <f>IF($A329="","",IF(COUNTIF($A$2:$A329,$A329)=1,1,0))</f>
        <v/>
      </c>
      <c r="W329">
        <f>IF($V329=1,SUMPRODUCT(--($Y$2:$Y$1501&lt;$Y329))+1,"")</f>
        <v/>
      </c>
      <c r="X329">
        <f>IF($A329="","",IF(OR($T329=TRUE(),$T329="TRUE"),1,0))</f>
        <v/>
      </c>
      <c r="Y329">
        <f>IF($V329=1,IFERROR(IF(VALUE($A329)&lt;100000000,VALUE($A329),1000000000),IFERROR(IF(VALUE(MID($A329,2,20))&lt;100000000,VALUE(MID($A329,2,20)),1000000000),1000000000))+ROW()/100000,"")</f>
        <v/>
      </c>
    </row>
    <row r="330">
      <c r="F330" s="7">
        <f>IF($A330="","",E330*L330/100)</f>
        <v/>
      </c>
      <c r="J330" s="7" t="n"/>
      <c r="K330" s="7">
        <f>IF($A330="","",N330*U330/100)</f>
        <v/>
      </c>
      <c r="L330" s="7">
        <f>IF($A330="","",N330-K330)</f>
        <v/>
      </c>
      <c r="M330" s="7">
        <f>IF($A330="","",L330-F330)</f>
        <v/>
      </c>
      <c r="N330" s="7" t="n"/>
      <c r="O330" s="7" t="n"/>
      <c r="P330" s="7" t="n"/>
      <c r="R330" s="14" t="n"/>
      <c r="V330">
        <f>IF($A330="","",IF(COUNTIF($A$2:$A330,$A330)=1,1,0))</f>
        <v/>
      </c>
      <c r="W330">
        <f>IF($V330=1,SUMPRODUCT(--($Y$2:$Y$1501&lt;$Y330))+1,"")</f>
        <v/>
      </c>
      <c r="X330">
        <f>IF($A330="","",IF(OR($T330=TRUE(),$T330="TRUE"),1,0))</f>
        <v/>
      </c>
      <c r="Y330">
        <f>IF($V330=1,IFERROR(IF(VALUE($A330)&lt;100000000,VALUE($A330),1000000000),IFERROR(IF(VALUE(MID($A330,2,20))&lt;100000000,VALUE(MID($A330,2,20)),1000000000),1000000000))+ROW()/100000,"")</f>
        <v/>
      </c>
    </row>
    <row r="331">
      <c r="F331" s="7">
        <f>IF($A331="","",E331*L331/100)</f>
        <v/>
      </c>
      <c r="J331" s="7" t="n"/>
      <c r="K331" s="7">
        <f>IF($A331="","",N331*U331/100)</f>
        <v/>
      </c>
      <c r="L331" s="7">
        <f>IF($A331="","",N331-K331)</f>
        <v/>
      </c>
      <c r="M331" s="7">
        <f>IF($A331="","",L331-F331)</f>
        <v/>
      </c>
      <c r="N331" s="7" t="n"/>
      <c r="O331" s="7" t="n"/>
      <c r="P331" s="7" t="n"/>
      <c r="R331" s="14" t="n"/>
      <c r="V331">
        <f>IF($A331="","",IF(COUNTIF($A$2:$A331,$A331)=1,1,0))</f>
        <v/>
      </c>
      <c r="W331">
        <f>IF($V331=1,SUMPRODUCT(--($Y$2:$Y$1501&lt;$Y331))+1,"")</f>
        <v/>
      </c>
      <c r="X331">
        <f>IF($A331="","",IF(OR($T331=TRUE(),$T331="TRUE"),1,0))</f>
        <v/>
      </c>
      <c r="Y331">
        <f>IF($V331=1,IFERROR(IF(VALUE($A331)&lt;100000000,VALUE($A331),1000000000),IFERROR(IF(VALUE(MID($A331,2,20))&lt;100000000,VALUE(MID($A331,2,20)),1000000000),1000000000))+ROW()/100000,"")</f>
        <v/>
      </c>
    </row>
    <row r="332">
      <c r="F332" s="7">
        <f>IF($A332="","",E332*L332/100)</f>
        <v/>
      </c>
      <c r="J332" s="7" t="n"/>
      <c r="K332" s="7">
        <f>IF($A332="","",N332*U332/100)</f>
        <v/>
      </c>
      <c r="L332" s="7">
        <f>IF($A332="","",N332-K332)</f>
        <v/>
      </c>
      <c r="M332" s="7">
        <f>IF($A332="","",L332-F332)</f>
        <v/>
      </c>
      <c r="N332" s="7" t="n"/>
      <c r="O332" s="7" t="n"/>
      <c r="P332" s="7" t="n"/>
      <c r="R332" s="14" t="n"/>
      <c r="V332">
        <f>IF($A332="","",IF(COUNTIF($A$2:$A332,$A332)=1,1,0))</f>
        <v/>
      </c>
      <c r="W332">
        <f>IF($V332=1,SUMPRODUCT(--($Y$2:$Y$1501&lt;$Y332))+1,"")</f>
        <v/>
      </c>
      <c r="X332">
        <f>IF($A332="","",IF(OR($T332=TRUE(),$T332="TRUE"),1,0))</f>
        <v/>
      </c>
      <c r="Y332">
        <f>IF($V332=1,IFERROR(IF(VALUE($A332)&lt;100000000,VALUE($A332),1000000000),IFERROR(IF(VALUE(MID($A332,2,20))&lt;100000000,VALUE(MID($A332,2,20)),1000000000),1000000000))+ROW()/100000,"")</f>
        <v/>
      </c>
    </row>
    <row r="333">
      <c r="F333" s="7">
        <f>IF($A333="","",E333*L333/100)</f>
        <v/>
      </c>
      <c r="J333" s="7" t="n"/>
      <c r="K333" s="7">
        <f>IF($A333="","",N333*U333/100)</f>
        <v/>
      </c>
      <c r="L333" s="7">
        <f>IF($A333="","",N333-K333)</f>
        <v/>
      </c>
      <c r="M333" s="7">
        <f>IF($A333="","",L333-F333)</f>
        <v/>
      </c>
      <c r="N333" s="7" t="n"/>
      <c r="O333" s="7" t="n"/>
      <c r="P333" s="7" t="n"/>
      <c r="R333" s="14" t="n"/>
      <c r="V333">
        <f>IF($A333="","",IF(COUNTIF($A$2:$A333,$A333)=1,1,0))</f>
        <v/>
      </c>
      <c r="W333">
        <f>IF($V333=1,SUMPRODUCT(--($Y$2:$Y$1501&lt;$Y333))+1,"")</f>
        <v/>
      </c>
      <c r="X333">
        <f>IF($A333="","",IF(OR($T333=TRUE(),$T333="TRUE"),1,0))</f>
        <v/>
      </c>
      <c r="Y333">
        <f>IF($V333=1,IFERROR(IF(VALUE($A333)&lt;100000000,VALUE($A333),1000000000),IFERROR(IF(VALUE(MID($A333,2,20))&lt;100000000,VALUE(MID($A333,2,20)),1000000000),1000000000))+ROW()/100000,"")</f>
        <v/>
      </c>
    </row>
    <row r="334">
      <c r="F334" s="7">
        <f>IF($A334="","",E334*L334/100)</f>
        <v/>
      </c>
      <c r="J334" s="7" t="n"/>
      <c r="K334" s="7">
        <f>IF($A334="","",N334*U334/100)</f>
        <v/>
      </c>
      <c r="L334" s="7">
        <f>IF($A334="","",N334-K334)</f>
        <v/>
      </c>
      <c r="M334" s="7">
        <f>IF($A334="","",L334-F334)</f>
        <v/>
      </c>
      <c r="N334" s="7" t="n"/>
      <c r="O334" s="7" t="n"/>
      <c r="P334" s="7" t="n"/>
      <c r="R334" s="14" t="n"/>
      <c r="V334">
        <f>IF($A334="","",IF(COUNTIF($A$2:$A334,$A334)=1,1,0))</f>
        <v/>
      </c>
      <c r="W334">
        <f>IF($V334=1,SUMPRODUCT(--($Y$2:$Y$1501&lt;$Y334))+1,"")</f>
        <v/>
      </c>
      <c r="X334">
        <f>IF($A334="","",IF(OR($T334=TRUE(),$T334="TRUE"),1,0))</f>
        <v/>
      </c>
      <c r="Y334">
        <f>IF($V334=1,IFERROR(IF(VALUE($A334)&lt;100000000,VALUE($A334),1000000000),IFERROR(IF(VALUE(MID($A334,2,20))&lt;100000000,VALUE(MID($A334,2,20)),1000000000),1000000000))+ROW()/100000,"")</f>
        <v/>
      </c>
    </row>
    <row r="335">
      <c r="F335" s="7">
        <f>IF($A335="","",E335*L335/100)</f>
        <v/>
      </c>
      <c r="J335" s="7" t="n"/>
      <c r="K335" s="7">
        <f>IF($A335="","",N335*U335/100)</f>
        <v/>
      </c>
      <c r="L335" s="7">
        <f>IF($A335="","",N335-K335)</f>
        <v/>
      </c>
      <c r="M335" s="7">
        <f>IF($A335="","",L335-F335)</f>
        <v/>
      </c>
      <c r="N335" s="7" t="n"/>
      <c r="O335" s="7" t="n"/>
      <c r="P335" s="7" t="n"/>
      <c r="R335" s="14" t="n"/>
      <c r="V335">
        <f>IF($A335="","",IF(COUNTIF($A$2:$A335,$A335)=1,1,0))</f>
        <v/>
      </c>
      <c r="W335">
        <f>IF($V335=1,SUMPRODUCT(--($Y$2:$Y$1501&lt;$Y335))+1,"")</f>
        <v/>
      </c>
      <c r="X335">
        <f>IF($A335="","",IF(OR($T335=TRUE(),$T335="TRUE"),1,0))</f>
        <v/>
      </c>
      <c r="Y335">
        <f>IF($V335=1,IFERROR(IF(VALUE($A335)&lt;100000000,VALUE($A335),1000000000),IFERROR(IF(VALUE(MID($A335,2,20))&lt;100000000,VALUE(MID($A335,2,20)),1000000000),1000000000))+ROW()/100000,"")</f>
        <v/>
      </c>
    </row>
    <row r="336">
      <c r="F336" s="7">
        <f>IF($A336="","",E336*L336/100)</f>
        <v/>
      </c>
      <c r="J336" s="7" t="n"/>
      <c r="K336" s="7">
        <f>IF($A336="","",N336*U336/100)</f>
        <v/>
      </c>
      <c r="L336" s="7">
        <f>IF($A336="","",N336-K336)</f>
        <v/>
      </c>
      <c r="M336" s="7">
        <f>IF($A336="","",L336-F336)</f>
        <v/>
      </c>
      <c r="N336" s="7" t="n"/>
      <c r="O336" s="7" t="n"/>
      <c r="P336" s="7" t="n"/>
      <c r="R336" s="14" t="n"/>
      <c r="V336">
        <f>IF($A336="","",IF(COUNTIF($A$2:$A336,$A336)=1,1,0))</f>
        <v/>
      </c>
      <c r="W336">
        <f>IF($V336=1,SUMPRODUCT(--($Y$2:$Y$1501&lt;$Y336))+1,"")</f>
        <v/>
      </c>
      <c r="X336">
        <f>IF($A336="","",IF(OR($T336=TRUE(),$T336="TRUE"),1,0))</f>
        <v/>
      </c>
      <c r="Y336">
        <f>IF($V336=1,IFERROR(IF(VALUE($A336)&lt;100000000,VALUE($A336),1000000000),IFERROR(IF(VALUE(MID($A336,2,20))&lt;100000000,VALUE(MID($A336,2,20)),1000000000),1000000000))+ROW()/100000,"")</f>
        <v/>
      </c>
    </row>
    <row r="337">
      <c r="F337" s="7">
        <f>IF($A337="","",E337*L337/100)</f>
        <v/>
      </c>
      <c r="J337" s="7" t="n"/>
      <c r="K337" s="7">
        <f>IF($A337="","",N337*U337/100)</f>
        <v/>
      </c>
      <c r="L337" s="7">
        <f>IF($A337="","",N337-K337)</f>
        <v/>
      </c>
      <c r="M337" s="7">
        <f>IF($A337="","",L337-F337)</f>
        <v/>
      </c>
      <c r="N337" s="7" t="n"/>
      <c r="O337" s="7" t="n"/>
      <c r="P337" s="7" t="n"/>
      <c r="R337" s="14" t="n"/>
      <c r="V337">
        <f>IF($A337="","",IF(COUNTIF($A$2:$A337,$A337)=1,1,0))</f>
        <v/>
      </c>
      <c r="W337">
        <f>IF($V337=1,SUMPRODUCT(--($Y$2:$Y$1501&lt;$Y337))+1,"")</f>
        <v/>
      </c>
      <c r="X337">
        <f>IF($A337="","",IF(OR($T337=TRUE(),$T337="TRUE"),1,0))</f>
        <v/>
      </c>
      <c r="Y337">
        <f>IF($V337=1,IFERROR(IF(VALUE($A337)&lt;100000000,VALUE($A337),1000000000),IFERROR(IF(VALUE(MID($A337,2,20))&lt;100000000,VALUE(MID($A337,2,20)),1000000000),1000000000))+ROW()/100000,"")</f>
        <v/>
      </c>
    </row>
    <row r="338">
      <c r="F338" s="7">
        <f>IF($A338="","",E338*L338/100)</f>
        <v/>
      </c>
      <c r="J338" s="7" t="n"/>
      <c r="K338" s="7">
        <f>IF($A338="","",N338*U338/100)</f>
        <v/>
      </c>
      <c r="L338" s="7">
        <f>IF($A338="","",N338-K338)</f>
        <v/>
      </c>
      <c r="M338" s="7">
        <f>IF($A338="","",L338-F338)</f>
        <v/>
      </c>
      <c r="N338" s="7" t="n"/>
      <c r="O338" s="7" t="n"/>
      <c r="P338" s="7" t="n"/>
      <c r="R338" s="14" t="n"/>
      <c r="V338">
        <f>IF($A338="","",IF(COUNTIF($A$2:$A338,$A338)=1,1,0))</f>
        <v/>
      </c>
      <c r="W338">
        <f>IF($V338=1,SUMPRODUCT(--($Y$2:$Y$1501&lt;$Y338))+1,"")</f>
        <v/>
      </c>
      <c r="X338">
        <f>IF($A338="","",IF(OR($T338=TRUE(),$T338="TRUE"),1,0))</f>
        <v/>
      </c>
      <c r="Y338">
        <f>IF($V338=1,IFERROR(IF(VALUE($A338)&lt;100000000,VALUE($A338),1000000000),IFERROR(IF(VALUE(MID($A338,2,20))&lt;100000000,VALUE(MID($A338,2,20)),1000000000),1000000000))+ROW()/100000,"")</f>
        <v/>
      </c>
    </row>
    <row r="339">
      <c r="F339" s="7">
        <f>IF($A339="","",E339*L339/100)</f>
        <v/>
      </c>
      <c r="J339" s="7" t="n"/>
      <c r="K339" s="7">
        <f>IF($A339="","",N339*U339/100)</f>
        <v/>
      </c>
      <c r="L339" s="7">
        <f>IF($A339="","",N339-K339)</f>
        <v/>
      </c>
      <c r="M339" s="7">
        <f>IF($A339="","",L339-F339)</f>
        <v/>
      </c>
      <c r="N339" s="7" t="n"/>
      <c r="O339" s="7" t="n"/>
      <c r="P339" s="7" t="n"/>
      <c r="R339" s="14" t="n"/>
      <c r="V339">
        <f>IF($A339="","",IF(COUNTIF($A$2:$A339,$A339)=1,1,0))</f>
        <v/>
      </c>
      <c r="W339">
        <f>IF($V339=1,SUMPRODUCT(--($Y$2:$Y$1501&lt;$Y339))+1,"")</f>
        <v/>
      </c>
      <c r="X339">
        <f>IF($A339="","",IF(OR($T339=TRUE(),$T339="TRUE"),1,0))</f>
        <v/>
      </c>
      <c r="Y339">
        <f>IF($V339=1,IFERROR(IF(VALUE($A339)&lt;100000000,VALUE($A339),1000000000),IFERROR(IF(VALUE(MID($A339,2,20))&lt;100000000,VALUE(MID($A339,2,20)),1000000000),1000000000))+ROW()/100000,"")</f>
        <v/>
      </c>
    </row>
    <row r="340">
      <c r="F340" s="7">
        <f>IF($A340="","",E340*L340/100)</f>
        <v/>
      </c>
      <c r="J340" s="7" t="n"/>
      <c r="K340" s="7">
        <f>IF($A340="","",N340*U340/100)</f>
        <v/>
      </c>
      <c r="L340" s="7">
        <f>IF($A340="","",N340-K340)</f>
        <v/>
      </c>
      <c r="M340" s="7">
        <f>IF($A340="","",L340-F340)</f>
        <v/>
      </c>
      <c r="N340" s="7" t="n"/>
      <c r="O340" s="7" t="n"/>
      <c r="P340" s="7" t="n"/>
      <c r="R340" s="14" t="n"/>
      <c r="V340">
        <f>IF($A340="","",IF(COUNTIF($A$2:$A340,$A340)=1,1,0))</f>
        <v/>
      </c>
      <c r="W340">
        <f>IF($V340=1,SUMPRODUCT(--($Y$2:$Y$1501&lt;$Y340))+1,"")</f>
        <v/>
      </c>
      <c r="X340">
        <f>IF($A340="","",IF(OR($T340=TRUE(),$T340="TRUE"),1,0))</f>
        <v/>
      </c>
      <c r="Y340">
        <f>IF($V340=1,IFERROR(IF(VALUE($A340)&lt;100000000,VALUE($A340),1000000000),IFERROR(IF(VALUE(MID($A340,2,20))&lt;100000000,VALUE(MID($A340,2,20)),1000000000),1000000000))+ROW()/100000,"")</f>
        <v/>
      </c>
    </row>
    <row r="341">
      <c r="F341" s="7">
        <f>IF($A341="","",E341*L341/100)</f>
        <v/>
      </c>
      <c r="J341" s="7" t="n"/>
      <c r="K341" s="7">
        <f>IF($A341="","",N341*U341/100)</f>
        <v/>
      </c>
      <c r="L341" s="7">
        <f>IF($A341="","",N341-K341)</f>
        <v/>
      </c>
      <c r="M341" s="7">
        <f>IF($A341="","",L341-F341)</f>
        <v/>
      </c>
      <c r="N341" s="7" t="n"/>
      <c r="O341" s="7" t="n"/>
      <c r="P341" s="7" t="n"/>
      <c r="R341" s="14" t="n"/>
      <c r="V341">
        <f>IF($A341="","",IF(COUNTIF($A$2:$A341,$A341)=1,1,0))</f>
        <v/>
      </c>
      <c r="W341">
        <f>IF($V341=1,SUMPRODUCT(--($Y$2:$Y$1501&lt;$Y341))+1,"")</f>
        <v/>
      </c>
      <c r="X341">
        <f>IF($A341="","",IF(OR($T341=TRUE(),$T341="TRUE"),1,0))</f>
        <v/>
      </c>
      <c r="Y341">
        <f>IF($V341=1,IFERROR(IF(VALUE($A341)&lt;100000000,VALUE($A341),1000000000),IFERROR(IF(VALUE(MID($A341,2,20))&lt;100000000,VALUE(MID($A341,2,20)),1000000000),1000000000))+ROW()/100000,"")</f>
        <v/>
      </c>
    </row>
    <row r="342">
      <c r="F342" s="7">
        <f>IF($A342="","",E342*L342/100)</f>
        <v/>
      </c>
      <c r="J342" s="7" t="n"/>
      <c r="K342" s="7">
        <f>IF($A342="","",N342*U342/100)</f>
        <v/>
      </c>
      <c r="L342" s="7">
        <f>IF($A342="","",N342-K342)</f>
        <v/>
      </c>
      <c r="M342" s="7">
        <f>IF($A342="","",L342-F342)</f>
        <v/>
      </c>
      <c r="N342" s="7" t="n"/>
      <c r="O342" s="7" t="n"/>
      <c r="P342" s="7" t="n"/>
      <c r="R342" s="14" t="n"/>
      <c r="V342">
        <f>IF($A342="","",IF(COUNTIF($A$2:$A342,$A342)=1,1,0))</f>
        <v/>
      </c>
      <c r="W342">
        <f>IF($V342=1,SUMPRODUCT(--($Y$2:$Y$1501&lt;$Y342))+1,"")</f>
        <v/>
      </c>
      <c r="X342">
        <f>IF($A342="","",IF(OR($T342=TRUE(),$T342="TRUE"),1,0))</f>
        <v/>
      </c>
      <c r="Y342">
        <f>IF($V342=1,IFERROR(IF(VALUE($A342)&lt;100000000,VALUE($A342),1000000000),IFERROR(IF(VALUE(MID($A342,2,20))&lt;100000000,VALUE(MID($A342,2,20)),1000000000),1000000000))+ROW()/100000,"")</f>
        <v/>
      </c>
    </row>
    <row r="343">
      <c r="F343" s="7">
        <f>IF($A343="","",E343*L343/100)</f>
        <v/>
      </c>
      <c r="J343" s="7" t="n"/>
      <c r="K343" s="7">
        <f>IF($A343="","",N343*U343/100)</f>
        <v/>
      </c>
      <c r="L343" s="7">
        <f>IF($A343="","",N343-K343)</f>
        <v/>
      </c>
      <c r="M343" s="7">
        <f>IF($A343="","",L343-F343)</f>
        <v/>
      </c>
      <c r="N343" s="7" t="n"/>
      <c r="O343" s="7" t="n"/>
      <c r="P343" s="7" t="n"/>
      <c r="R343" s="14" t="n"/>
      <c r="V343">
        <f>IF($A343="","",IF(COUNTIF($A$2:$A343,$A343)=1,1,0))</f>
        <v/>
      </c>
      <c r="W343">
        <f>IF($V343=1,SUMPRODUCT(--($Y$2:$Y$1501&lt;$Y343))+1,"")</f>
        <v/>
      </c>
      <c r="X343">
        <f>IF($A343="","",IF(OR($T343=TRUE(),$T343="TRUE"),1,0))</f>
        <v/>
      </c>
      <c r="Y343">
        <f>IF($V343=1,IFERROR(IF(VALUE($A343)&lt;100000000,VALUE($A343),1000000000),IFERROR(IF(VALUE(MID($A343,2,20))&lt;100000000,VALUE(MID($A343,2,20)),1000000000),1000000000))+ROW()/100000,"")</f>
        <v/>
      </c>
    </row>
    <row r="344">
      <c r="F344" s="7">
        <f>IF($A344="","",E344*L344/100)</f>
        <v/>
      </c>
      <c r="J344" s="7" t="n"/>
      <c r="K344" s="7">
        <f>IF($A344="","",N344*U344/100)</f>
        <v/>
      </c>
      <c r="L344" s="7">
        <f>IF($A344="","",N344-K344)</f>
        <v/>
      </c>
      <c r="M344" s="7">
        <f>IF($A344="","",L344-F344)</f>
        <v/>
      </c>
      <c r="N344" s="7" t="n"/>
      <c r="O344" s="7" t="n"/>
      <c r="P344" s="7" t="n"/>
      <c r="R344" s="14" t="n"/>
      <c r="V344">
        <f>IF($A344="","",IF(COUNTIF($A$2:$A344,$A344)=1,1,0))</f>
        <v/>
      </c>
      <c r="W344">
        <f>IF($V344=1,SUMPRODUCT(--($Y$2:$Y$1501&lt;$Y344))+1,"")</f>
        <v/>
      </c>
      <c r="X344">
        <f>IF($A344="","",IF(OR($T344=TRUE(),$T344="TRUE"),1,0))</f>
        <v/>
      </c>
      <c r="Y344">
        <f>IF($V344=1,IFERROR(IF(VALUE($A344)&lt;100000000,VALUE($A344),1000000000),IFERROR(IF(VALUE(MID($A344,2,20))&lt;100000000,VALUE(MID($A344,2,20)),1000000000),1000000000))+ROW()/100000,"")</f>
        <v/>
      </c>
    </row>
    <row r="345">
      <c r="F345" s="7">
        <f>IF($A345="","",E345*L345/100)</f>
        <v/>
      </c>
      <c r="J345" s="7" t="n"/>
      <c r="K345" s="7">
        <f>IF($A345="","",N345*U345/100)</f>
        <v/>
      </c>
      <c r="L345" s="7">
        <f>IF($A345="","",N345-K345)</f>
        <v/>
      </c>
      <c r="M345" s="7">
        <f>IF($A345="","",L345-F345)</f>
        <v/>
      </c>
      <c r="N345" s="7" t="n"/>
      <c r="O345" s="7" t="n"/>
      <c r="P345" s="7" t="n"/>
      <c r="R345" s="14" t="n"/>
      <c r="V345">
        <f>IF($A345="","",IF(COUNTIF($A$2:$A345,$A345)=1,1,0))</f>
        <v/>
      </c>
      <c r="W345">
        <f>IF($V345=1,SUMPRODUCT(--($Y$2:$Y$1501&lt;$Y345))+1,"")</f>
        <v/>
      </c>
      <c r="X345">
        <f>IF($A345="","",IF(OR($T345=TRUE(),$T345="TRUE"),1,0))</f>
        <v/>
      </c>
      <c r="Y345">
        <f>IF($V345=1,IFERROR(IF(VALUE($A345)&lt;100000000,VALUE($A345),1000000000),IFERROR(IF(VALUE(MID($A345,2,20))&lt;100000000,VALUE(MID($A345,2,20)),1000000000),1000000000))+ROW()/100000,"")</f>
        <v/>
      </c>
    </row>
    <row r="346">
      <c r="F346" s="7">
        <f>IF($A346="","",E346*L346/100)</f>
        <v/>
      </c>
      <c r="J346" s="7" t="n"/>
      <c r="K346" s="7">
        <f>IF($A346="","",N346*U346/100)</f>
        <v/>
      </c>
      <c r="L346" s="7">
        <f>IF($A346="","",N346-K346)</f>
        <v/>
      </c>
      <c r="M346" s="7">
        <f>IF($A346="","",L346-F346)</f>
        <v/>
      </c>
      <c r="N346" s="7" t="n"/>
      <c r="O346" s="7" t="n"/>
      <c r="P346" s="7" t="n"/>
      <c r="R346" s="14" t="n"/>
      <c r="V346">
        <f>IF($A346="","",IF(COUNTIF($A$2:$A346,$A346)=1,1,0))</f>
        <v/>
      </c>
      <c r="W346">
        <f>IF($V346=1,SUMPRODUCT(--($Y$2:$Y$1501&lt;$Y346))+1,"")</f>
        <v/>
      </c>
      <c r="X346">
        <f>IF($A346="","",IF(OR($T346=TRUE(),$T346="TRUE"),1,0))</f>
        <v/>
      </c>
      <c r="Y346">
        <f>IF($V346=1,IFERROR(IF(VALUE($A346)&lt;100000000,VALUE($A346),1000000000),IFERROR(IF(VALUE(MID($A346,2,20))&lt;100000000,VALUE(MID($A346,2,20)),1000000000),1000000000))+ROW()/100000,"")</f>
        <v/>
      </c>
    </row>
    <row r="347">
      <c r="F347" s="7">
        <f>IF($A347="","",E347*L347/100)</f>
        <v/>
      </c>
      <c r="J347" s="7" t="n"/>
      <c r="K347" s="7">
        <f>IF($A347="","",N347*U347/100)</f>
        <v/>
      </c>
      <c r="L347" s="7">
        <f>IF($A347="","",N347-K347)</f>
        <v/>
      </c>
      <c r="M347" s="7">
        <f>IF($A347="","",L347-F347)</f>
        <v/>
      </c>
      <c r="N347" s="7" t="n"/>
      <c r="O347" s="7" t="n"/>
      <c r="P347" s="7" t="n"/>
      <c r="R347" s="14" t="n"/>
      <c r="V347">
        <f>IF($A347="","",IF(COUNTIF($A$2:$A347,$A347)=1,1,0))</f>
        <v/>
      </c>
      <c r="W347">
        <f>IF($V347=1,SUMPRODUCT(--($Y$2:$Y$1501&lt;$Y347))+1,"")</f>
        <v/>
      </c>
      <c r="X347">
        <f>IF($A347="","",IF(OR($T347=TRUE(),$T347="TRUE"),1,0))</f>
        <v/>
      </c>
      <c r="Y347">
        <f>IF($V347=1,IFERROR(IF(VALUE($A347)&lt;100000000,VALUE($A347),1000000000),IFERROR(IF(VALUE(MID($A347,2,20))&lt;100000000,VALUE(MID($A347,2,20)),1000000000),1000000000))+ROW()/100000,"")</f>
        <v/>
      </c>
    </row>
    <row r="348">
      <c r="F348" s="7">
        <f>IF($A348="","",E348*L348/100)</f>
        <v/>
      </c>
      <c r="J348" s="7" t="n"/>
      <c r="K348" s="7">
        <f>IF($A348="","",N348*U348/100)</f>
        <v/>
      </c>
      <c r="L348" s="7">
        <f>IF($A348="","",N348-K348)</f>
        <v/>
      </c>
      <c r="M348" s="7">
        <f>IF($A348="","",L348-F348)</f>
        <v/>
      </c>
      <c r="N348" s="7" t="n"/>
      <c r="O348" s="7" t="n"/>
      <c r="P348" s="7" t="n"/>
      <c r="R348" s="14" t="n"/>
      <c r="V348">
        <f>IF($A348="","",IF(COUNTIF($A$2:$A348,$A348)=1,1,0))</f>
        <v/>
      </c>
      <c r="W348">
        <f>IF($V348=1,SUMPRODUCT(--($Y$2:$Y$1501&lt;$Y348))+1,"")</f>
        <v/>
      </c>
      <c r="X348">
        <f>IF($A348="","",IF(OR($T348=TRUE(),$T348="TRUE"),1,0))</f>
        <v/>
      </c>
      <c r="Y348">
        <f>IF($V348=1,IFERROR(IF(VALUE($A348)&lt;100000000,VALUE($A348),1000000000),IFERROR(IF(VALUE(MID($A348,2,20))&lt;100000000,VALUE(MID($A348,2,20)),1000000000),1000000000))+ROW()/100000,"")</f>
        <v/>
      </c>
    </row>
    <row r="349">
      <c r="F349" s="7">
        <f>IF($A349="","",E349*L349/100)</f>
        <v/>
      </c>
      <c r="J349" s="7" t="n"/>
      <c r="K349" s="7">
        <f>IF($A349="","",N349*U349/100)</f>
        <v/>
      </c>
      <c r="L349" s="7">
        <f>IF($A349="","",N349-K349)</f>
        <v/>
      </c>
      <c r="M349" s="7">
        <f>IF($A349="","",L349-F349)</f>
        <v/>
      </c>
      <c r="N349" s="7" t="n"/>
      <c r="O349" s="7" t="n"/>
      <c r="P349" s="7" t="n"/>
      <c r="R349" s="14" t="n"/>
      <c r="V349">
        <f>IF($A349="","",IF(COUNTIF($A$2:$A349,$A349)=1,1,0))</f>
        <v/>
      </c>
      <c r="W349">
        <f>IF($V349=1,SUMPRODUCT(--($Y$2:$Y$1501&lt;$Y349))+1,"")</f>
        <v/>
      </c>
      <c r="X349">
        <f>IF($A349="","",IF(OR($T349=TRUE(),$T349="TRUE"),1,0))</f>
        <v/>
      </c>
      <c r="Y349">
        <f>IF($V349=1,IFERROR(IF(VALUE($A349)&lt;100000000,VALUE($A349),1000000000),IFERROR(IF(VALUE(MID($A349,2,20))&lt;100000000,VALUE(MID($A349,2,20)),1000000000),1000000000))+ROW()/100000,"")</f>
        <v/>
      </c>
    </row>
    <row r="350">
      <c r="F350" s="7">
        <f>IF($A350="","",E350*L350/100)</f>
        <v/>
      </c>
      <c r="J350" s="7" t="n"/>
      <c r="K350" s="7">
        <f>IF($A350="","",N350*U350/100)</f>
        <v/>
      </c>
      <c r="L350" s="7">
        <f>IF($A350="","",N350-K350)</f>
        <v/>
      </c>
      <c r="M350" s="7">
        <f>IF($A350="","",L350-F350)</f>
        <v/>
      </c>
      <c r="N350" s="7" t="n"/>
      <c r="O350" s="7" t="n"/>
      <c r="P350" s="7" t="n"/>
      <c r="R350" s="14" t="n"/>
      <c r="V350">
        <f>IF($A350="","",IF(COUNTIF($A$2:$A350,$A350)=1,1,0))</f>
        <v/>
      </c>
      <c r="W350">
        <f>IF($V350=1,SUMPRODUCT(--($Y$2:$Y$1501&lt;$Y350))+1,"")</f>
        <v/>
      </c>
      <c r="X350">
        <f>IF($A350="","",IF(OR($T350=TRUE(),$T350="TRUE"),1,0))</f>
        <v/>
      </c>
      <c r="Y350">
        <f>IF($V350=1,IFERROR(IF(VALUE($A350)&lt;100000000,VALUE($A350),1000000000),IFERROR(IF(VALUE(MID($A350,2,20))&lt;100000000,VALUE(MID($A350,2,20)),1000000000),1000000000))+ROW()/100000,"")</f>
        <v/>
      </c>
    </row>
    <row r="351">
      <c r="F351" s="7">
        <f>IF($A351="","",E351*L351/100)</f>
        <v/>
      </c>
      <c r="J351" s="7" t="n"/>
      <c r="K351" s="7">
        <f>IF($A351="","",N351*U351/100)</f>
        <v/>
      </c>
      <c r="L351" s="7">
        <f>IF($A351="","",N351-K351)</f>
        <v/>
      </c>
      <c r="M351" s="7">
        <f>IF($A351="","",L351-F351)</f>
        <v/>
      </c>
      <c r="N351" s="7" t="n"/>
      <c r="O351" s="7" t="n"/>
      <c r="P351" s="7" t="n"/>
      <c r="R351" s="14" t="n"/>
      <c r="V351">
        <f>IF($A351="","",IF(COUNTIF($A$2:$A351,$A351)=1,1,0))</f>
        <v/>
      </c>
      <c r="W351">
        <f>IF($V351=1,SUMPRODUCT(--($Y$2:$Y$1501&lt;$Y351))+1,"")</f>
        <v/>
      </c>
      <c r="X351">
        <f>IF($A351="","",IF(OR($T351=TRUE(),$T351="TRUE"),1,0))</f>
        <v/>
      </c>
      <c r="Y351">
        <f>IF($V351=1,IFERROR(IF(VALUE($A351)&lt;100000000,VALUE($A351),1000000000),IFERROR(IF(VALUE(MID($A351,2,20))&lt;100000000,VALUE(MID($A351,2,20)),1000000000),1000000000))+ROW()/100000,"")</f>
        <v/>
      </c>
    </row>
    <row r="352">
      <c r="F352" s="7">
        <f>IF($A352="","",E352*L352/100)</f>
        <v/>
      </c>
      <c r="J352" s="7" t="n"/>
      <c r="K352" s="7">
        <f>IF($A352="","",N352*U352/100)</f>
        <v/>
      </c>
      <c r="L352" s="7">
        <f>IF($A352="","",N352-K352)</f>
        <v/>
      </c>
      <c r="M352" s="7">
        <f>IF($A352="","",L352-F352)</f>
        <v/>
      </c>
      <c r="N352" s="7" t="n"/>
      <c r="O352" s="7" t="n"/>
      <c r="P352" s="7" t="n"/>
      <c r="R352" s="14" t="n"/>
      <c r="V352">
        <f>IF($A352="","",IF(COUNTIF($A$2:$A352,$A352)=1,1,0))</f>
        <v/>
      </c>
      <c r="W352">
        <f>IF($V352=1,SUMPRODUCT(--($Y$2:$Y$1501&lt;$Y352))+1,"")</f>
        <v/>
      </c>
      <c r="X352">
        <f>IF($A352="","",IF(OR($T352=TRUE(),$T352="TRUE"),1,0))</f>
        <v/>
      </c>
      <c r="Y352">
        <f>IF($V352=1,IFERROR(IF(VALUE($A352)&lt;100000000,VALUE($A352),1000000000),IFERROR(IF(VALUE(MID($A352,2,20))&lt;100000000,VALUE(MID($A352,2,20)),1000000000),1000000000))+ROW()/100000,"")</f>
        <v/>
      </c>
    </row>
    <row r="353">
      <c r="F353" s="7">
        <f>IF($A353="","",E353*L353/100)</f>
        <v/>
      </c>
      <c r="J353" s="7" t="n"/>
      <c r="K353" s="7">
        <f>IF($A353="","",N353*U353/100)</f>
        <v/>
      </c>
      <c r="L353" s="7">
        <f>IF($A353="","",N353-K353)</f>
        <v/>
      </c>
      <c r="M353" s="7">
        <f>IF($A353="","",L353-F353)</f>
        <v/>
      </c>
      <c r="N353" s="7" t="n"/>
      <c r="O353" s="7" t="n"/>
      <c r="P353" s="7" t="n"/>
      <c r="R353" s="14" t="n"/>
      <c r="V353">
        <f>IF($A353="","",IF(COUNTIF($A$2:$A353,$A353)=1,1,0))</f>
        <v/>
      </c>
      <c r="W353">
        <f>IF($V353=1,SUMPRODUCT(--($Y$2:$Y$1501&lt;$Y353))+1,"")</f>
        <v/>
      </c>
      <c r="X353">
        <f>IF($A353="","",IF(OR($T353=TRUE(),$T353="TRUE"),1,0))</f>
        <v/>
      </c>
      <c r="Y353">
        <f>IF($V353=1,IFERROR(IF(VALUE($A353)&lt;100000000,VALUE($A353),1000000000),IFERROR(IF(VALUE(MID($A353,2,20))&lt;100000000,VALUE(MID($A353,2,20)),1000000000),1000000000))+ROW()/100000,"")</f>
        <v/>
      </c>
    </row>
    <row r="354">
      <c r="F354" s="7">
        <f>IF($A354="","",E354*L354/100)</f>
        <v/>
      </c>
      <c r="J354" s="7" t="n"/>
      <c r="K354" s="7">
        <f>IF($A354="","",N354*U354/100)</f>
        <v/>
      </c>
      <c r="L354" s="7">
        <f>IF($A354="","",N354-K354)</f>
        <v/>
      </c>
      <c r="M354" s="7">
        <f>IF($A354="","",L354-F354)</f>
        <v/>
      </c>
      <c r="N354" s="7" t="n"/>
      <c r="O354" s="7" t="n"/>
      <c r="P354" s="7" t="n"/>
      <c r="R354" s="14" t="n"/>
      <c r="V354">
        <f>IF($A354="","",IF(COUNTIF($A$2:$A354,$A354)=1,1,0))</f>
        <v/>
      </c>
      <c r="W354">
        <f>IF($V354=1,SUMPRODUCT(--($Y$2:$Y$1501&lt;$Y354))+1,"")</f>
        <v/>
      </c>
      <c r="X354">
        <f>IF($A354="","",IF(OR($T354=TRUE(),$T354="TRUE"),1,0))</f>
        <v/>
      </c>
      <c r="Y354">
        <f>IF($V354=1,IFERROR(IF(VALUE($A354)&lt;100000000,VALUE($A354),1000000000),IFERROR(IF(VALUE(MID($A354,2,20))&lt;100000000,VALUE(MID($A354,2,20)),1000000000),1000000000))+ROW()/100000,"")</f>
        <v/>
      </c>
    </row>
    <row r="355">
      <c r="F355" s="7">
        <f>IF($A355="","",E355*L355/100)</f>
        <v/>
      </c>
      <c r="J355" s="7" t="n"/>
      <c r="K355" s="7">
        <f>IF($A355="","",N355*U355/100)</f>
        <v/>
      </c>
      <c r="L355" s="7">
        <f>IF($A355="","",N355-K355)</f>
        <v/>
      </c>
      <c r="M355" s="7">
        <f>IF($A355="","",L355-F355)</f>
        <v/>
      </c>
      <c r="N355" s="7" t="n"/>
      <c r="O355" s="7" t="n"/>
      <c r="P355" s="7" t="n"/>
      <c r="R355" s="14" t="n"/>
      <c r="V355">
        <f>IF($A355="","",IF(COUNTIF($A$2:$A355,$A355)=1,1,0))</f>
        <v/>
      </c>
      <c r="W355">
        <f>IF($V355=1,SUMPRODUCT(--($Y$2:$Y$1501&lt;$Y355))+1,"")</f>
        <v/>
      </c>
      <c r="X355">
        <f>IF($A355="","",IF(OR($T355=TRUE(),$T355="TRUE"),1,0))</f>
        <v/>
      </c>
      <c r="Y355">
        <f>IF($V355=1,IFERROR(IF(VALUE($A355)&lt;100000000,VALUE($A355),1000000000),IFERROR(IF(VALUE(MID($A355,2,20))&lt;100000000,VALUE(MID($A355,2,20)),1000000000),1000000000))+ROW()/100000,"")</f>
        <v/>
      </c>
    </row>
    <row r="356">
      <c r="F356" s="7">
        <f>IF($A356="","",E356*L356/100)</f>
        <v/>
      </c>
      <c r="J356" s="7" t="n"/>
      <c r="K356" s="7">
        <f>IF($A356="","",N356*U356/100)</f>
        <v/>
      </c>
      <c r="L356" s="7">
        <f>IF($A356="","",N356-K356)</f>
        <v/>
      </c>
      <c r="M356" s="7">
        <f>IF($A356="","",L356-F356)</f>
        <v/>
      </c>
      <c r="N356" s="7" t="n"/>
      <c r="O356" s="7" t="n"/>
      <c r="P356" s="7" t="n"/>
      <c r="R356" s="14" t="n"/>
      <c r="V356">
        <f>IF($A356="","",IF(COUNTIF($A$2:$A356,$A356)=1,1,0))</f>
        <v/>
      </c>
      <c r="W356">
        <f>IF($V356=1,SUMPRODUCT(--($Y$2:$Y$1501&lt;$Y356))+1,"")</f>
        <v/>
      </c>
      <c r="X356">
        <f>IF($A356="","",IF(OR($T356=TRUE(),$T356="TRUE"),1,0))</f>
        <v/>
      </c>
      <c r="Y356">
        <f>IF($V356=1,IFERROR(IF(VALUE($A356)&lt;100000000,VALUE($A356),1000000000),IFERROR(IF(VALUE(MID($A356,2,20))&lt;100000000,VALUE(MID($A356,2,20)),1000000000),1000000000))+ROW()/100000,"")</f>
        <v/>
      </c>
    </row>
    <row r="357">
      <c r="F357" s="7">
        <f>IF($A357="","",E357*L357/100)</f>
        <v/>
      </c>
      <c r="J357" s="7" t="n"/>
      <c r="K357" s="7">
        <f>IF($A357="","",N357*U357/100)</f>
        <v/>
      </c>
      <c r="L357" s="7">
        <f>IF($A357="","",N357-K357)</f>
        <v/>
      </c>
      <c r="M357" s="7">
        <f>IF($A357="","",L357-F357)</f>
        <v/>
      </c>
      <c r="N357" s="7" t="n"/>
      <c r="O357" s="7" t="n"/>
      <c r="P357" s="7" t="n"/>
      <c r="R357" s="14" t="n"/>
      <c r="V357">
        <f>IF($A357="","",IF(COUNTIF($A$2:$A357,$A357)=1,1,0))</f>
        <v/>
      </c>
      <c r="W357">
        <f>IF($V357=1,SUMPRODUCT(--($Y$2:$Y$1501&lt;$Y357))+1,"")</f>
        <v/>
      </c>
      <c r="X357">
        <f>IF($A357="","",IF(OR($T357=TRUE(),$T357="TRUE"),1,0))</f>
        <v/>
      </c>
      <c r="Y357">
        <f>IF($V357=1,IFERROR(IF(VALUE($A357)&lt;100000000,VALUE($A357),1000000000),IFERROR(IF(VALUE(MID($A357,2,20))&lt;100000000,VALUE(MID($A357,2,20)),1000000000),1000000000))+ROW()/100000,"")</f>
        <v/>
      </c>
    </row>
    <row r="358">
      <c r="F358" s="7">
        <f>IF($A358="","",E358*L358/100)</f>
        <v/>
      </c>
      <c r="J358" s="7" t="n"/>
      <c r="K358" s="7">
        <f>IF($A358="","",N358*U358/100)</f>
        <v/>
      </c>
      <c r="L358" s="7">
        <f>IF($A358="","",N358-K358)</f>
        <v/>
      </c>
      <c r="M358" s="7">
        <f>IF($A358="","",L358-F358)</f>
        <v/>
      </c>
      <c r="N358" s="7" t="n"/>
      <c r="O358" s="7" t="n"/>
      <c r="P358" s="7" t="n"/>
      <c r="R358" s="14" t="n"/>
      <c r="V358">
        <f>IF($A358="","",IF(COUNTIF($A$2:$A358,$A358)=1,1,0))</f>
        <v/>
      </c>
      <c r="W358">
        <f>IF($V358=1,SUMPRODUCT(--($Y$2:$Y$1501&lt;$Y358))+1,"")</f>
        <v/>
      </c>
      <c r="X358">
        <f>IF($A358="","",IF(OR($T358=TRUE(),$T358="TRUE"),1,0))</f>
        <v/>
      </c>
      <c r="Y358">
        <f>IF($V358=1,IFERROR(IF(VALUE($A358)&lt;100000000,VALUE($A358),1000000000),IFERROR(IF(VALUE(MID($A358,2,20))&lt;100000000,VALUE(MID($A358,2,20)),1000000000),1000000000))+ROW()/100000,"")</f>
        <v/>
      </c>
    </row>
    <row r="359">
      <c r="F359" s="7">
        <f>IF($A359="","",E359*L359/100)</f>
        <v/>
      </c>
      <c r="J359" s="7" t="n"/>
      <c r="K359" s="7">
        <f>IF($A359="","",N359*U359/100)</f>
        <v/>
      </c>
      <c r="L359" s="7">
        <f>IF($A359="","",N359-K359)</f>
        <v/>
      </c>
      <c r="M359" s="7">
        <f>IF($A359="","",L359-F359)</f>
        <v/>
      </c>
      <c r="N359" s="7" t="n"/>
      <c r="O359" s="7" t="n"/>
      <c r="P359" s="7" t="n"/>
      <c r="R359" s="14" t="n"/>
      <c r="V359">
        <f>IF($A359="","",IF(COUNTIF($A$2:$A359,$A359)=1,1,0))</f>
        <v/>
      </c>
      <c r="W359">
        <f>IF($V359=1,SUMPRODUCT(--($Y$2:$Y$1501&lt;$Y359))+1,"")</f>
        <v/>
      </c>
      <c r="X359">
        <f>IF($A359="","",IF(OR($T359=TRUE(),$T359="TRUE"),1,0))</f>
        <v/>
      </c>
      <c r="Y359">
        <f>IF($V359=1,IFERROR(IF(VALUE($A359)&lt;100000000,VALUE($A359),1000000000),IFERROR(IF(VALUE(MID($A359,2,20))&lt;100000000,VALUE(MID($A359,2,20)),1000000000),1000000000))+ROW()/100000,"")</f>
        <v/>
      </c>
    </row>
    <row r="360">
      <c r="F360" s="7">
        <f>IF($A360="","",E360*L360/100)</f>
        <v/>
      </c>
      <c r="J360" s="7" t="n"/>
      <c r="K360" s="7">
        <f>IF($A360="","",N360*U360/100)</f>
        <v/>
      </c>
      <c r="L360" s="7">
        <f>IF($A360="","",N360-K360)</f>
        <v/>
      </c>
      <c r="M360" s="7">
        <f>IF($A360="","",L360-F360)</f>
        <v/>
      </c>
      <c r="N360" s="7" t="n"/>
      <c r="O360" s="7" t="n"/>
      <c r="P360" s="7" t="n"/>
      <c r="R360" s="14" t="n"/>
      <c r="V360">
        <f>IF($A360="","",IF(COUNTIF($A$2:$A360,$A360)=1,1,0))</f>
        <v/>
      </c>
      <c r="W360">
        <f>IF($V360=1,SUMPRODUCT(--($Y$2:$Y$1501&lt;$Y360))+1,"")</f>
        <v/>
      </c>
      <c r="X360">
        <f>IF($A360="","",IF(OR($T360=TRUE(),$T360="TRUE"),1,0))</f>
        <v/>
      </c>
      <c r="Y360">
        <f>IF($V360=1,IFERROR(IF(VALUE($A360)&lt;100000000,VALUE($A360),1000000000),IFERROR(IF(VALUE(MID($A360,2,20))&lt;100000000,VALUE(MID($A360,2,20)),1000000000),1000000000))+ROW()/100000,"")</f>
        <v/>
      </c>
    </row>
    <row r="361">
      <c r="F361" s="7">
        <f>IF($A361="","",E361*L361/100)</f>
        <v/>
      </c>
      <c r="J361" s="7" t="n"/>
      <c r="K361" s="7">
        <f>IF($A361="","",N361*U361/100)</f>
        <v/>
      </c>
      <c r="L361" s="7">
        <f>IF($A361="","",N361-K361)</f>
        <v/>
      </c>
      <c r="M361" s="7">
        <f>IF($A361="","",L361-F361)</f>
        <v/>
      </c>
      <c r="N361" s="7" t="n"/>
      <c r="O361" s="7" t="n"/>
      <c r="P361" s="7" t="n"/>
      <c r="R361" s="14" t="n"/>
      <c r="V361">
        <f>IF($A361="","",IF(COUNTIF($A$2:$A361,$A361)=1,1,0))</f>
        <v/>
      </c>
      <c r="W361">
        <f>IF($V361=1,SUMPRODUCT(--($Y$2:$Y$1501&lt;$Y361))+1,"")</f>
        <v/>
      </c>
      <c r="X361">
        <f>IF($A361="","",IF(OR($T361=TRUE(),$T361="TRUE"),1,0))</f>
        <v/>
      </c>
      <c r="Y361">
        <f>IF($V361=1,IFERROR(IF(VALUE($A361)&lt;100000000,VALUE($A361),1000000000),IFERROR(IF(VALUE(MID($A361,2,20))&lt;100000000,VALUE(MID($A361,2,20)),1000000000),1000000000))+ROW()/100000,"")</f>
        <v/>
      </c>
    </row>
    <row r="362">
      <c r="F362" s="7">
        <f>IF($A362="","",E362*L362/100)</f>
        <v/>
      </c>
      <c r="J362" s="7" t="n"/>
      <c r="K362" s="7">
        <f>IF($A362="","",N362*U362/100)</f>
        <v/>
      </c>
      <c r="L362" s="7">
        <f>IF($A362="","",N362-K362)</f>
        <v/>
      </c>
      <c r="M362" s="7">
        <f>IF($A362="","",L362-F362)</f>
        <v/>
      </c>
      <c r="N362" s="7" t="n"/>
      <c r="O362" s="7" t="n"/>
      <c r="P362" s="7" t="n"/>
      <c r="R362" s="14" t="n"/>
      <c r="V362">
        <f>IF($A362="","",IF(COUNTIF($A$2:$A362,$A362)=1,1,0))</f>
        <v/>
      </c>
      <c r="W362">
        <f>IF($V362=1,SUMPRODUCT(--($Y$2:$Y$1501&lt;$Y362))+1,"")</f>
        <v/>
      </c>
      <c r="X362">
        <f>IF($A362="","",IF(OR($T362=TRUE(),$T362="TRUE"),1,0))</f>
        <v/>
      </c>
      <c r="Y362">
        <f>IF($V362=1,IFERROR(IF(VALUE($A362)&lt;100000000,VALUE($A362),1000000000),IFERROR(IF(VALUE(MID($A362,2,20))&lt;100000000,VALUE(MID($A362,2,20)),1000000000),1000000000))+ROW()/100000,"")</f>
        <v/>
      </c>
    </row>
    <row r="363">
      <c r="F363" s="7">
        <f>IF($A363="","",E363*L363/100)</f>
        <v/>
      </c>
      <c r="J363" s="7" t="n"/>
      <c r="K363" s="7">
        <f>IF($A363="","",N363*U363/100)</f>
        <v/>
      </c>
      <c r="L363" s="7">
        <f>IF($A363="","",N363-K363)</f>
        <v/>
      </c>
      <c r="M363" s="7">
        <f>IF($A363="","",L363-F363)</f>
        <v/>
      </c>
      <c r="N363" s="7" t="n"/>
      <c r="O363" s="7" t="n"/>
      <c r="P363" s="7" t="n"/>
      <c r="R363" s="14" t="n"/>
      <c r="V363">
        <f>IF($A363="","",IF(COUNTIF($A$2:$A363,$A363)=1,1,0))</f>
        <v/>
      </c>
      <c r="W363">
        <f>IF($V363=1,SUMPRODUCT(--($Y$2:$Y$1501&lt;$Y363))+1,"")</f>
        <v/>
      </c>
      <c r="X363">
        <f>IF($A363="","",IF(OR($T363=TRUE(),$T363="TRUE"),1,0))</f>
        <v/>
      </c>
      <c r="Y363">
        <f>IF($V363=1,IFERROR(IF(VALUE($A363)&lt;100000000,VALUE($A363),1000000000),IFERROR(IF(VALUE(MID($A363,2,20))&lt;100000000,VALUE(MID($A363,2,20)),1000000000),1000000000))+ROW()/100000,"")</f>
        <v/>
      </c>
    </row>
    <row r="364">
      <c r="F364" s="7">
        <f>IF($A364="","",E364*L364/100)</f>
        <v/>
      </c>
      <c r="J364" s="7" t="n"/>
      <c r="K364" s="7">
        <f>IF($A364="","",N364*U364/100)</f>
        <v/>
      </c>
      <c r="L364" s="7">
        <f>IF($A364="","",N364-K364)</f>
        <v/>
      </c>
      <c r="M364" s="7">
        <f>IF($A364="","",L364-F364)</f>
        <v/>
      </c>
      <c r="N364" s="7" t="n"/>
      <c r="O364" s="7" t="n"/>
      <c r="P364" s="7" t="n"/>
      <c r="R364" s="14" t="n"/>
      <c r="V364">
        <f>IF($A364="","",IF(COUNTIF($A$2:$A364,$A364)=1,1,0))</f>
        <v/>
      </c>
      <c r="W364">
        <f>IF($V364=1,SUMPRODUCT(--($Y$2:$Y$1501&lt;$Y364))+1,"")</f>
        <v/>
      </c>
      <c r="X364">
        <f>IF($A364="","",IF(OR($T364=TRUE(),$T364="TRUE"),1,0))</f>
        <v/>
      </c>
      <c r="Y364">
        <f>IF($V364=1,IFERROR(IF(VALUE($A364)&lt;100000000,VALUE($A364),1000000000),IFERROR(IF(VALUE(MID($A364,2,20))&lt;100000000,VALUE(MID($A364,2,20)),1000000000),1000000000))+ROW()/100000,"")</f>
        <v/>
      </c>
    </row>
    <row r="365">
      <c r="F365" s="7">
        <f>IF($A365="","",E365*L365/100)</f>
        <v/>
      </c>
      <c r="J365" s="7" t="n"/>
      <c r="K365" s="7">
        <f>IF($A365="","",N365*U365/100)</f>
        <v/>
      </c>
      <c r="L365" s="7">
        <f>IF($A365="","",N365-K365)</f>
        <v/>
      </c>
      <c r="M365" s="7">
        <f>IF($A365="","",L365-F365)</f>
        <v/>
      </c>
      <c r="N365" s="7" t="n"/>
      <c r="O365" s="7" t="n"/>
      <c r="P365" s="7" t="n"/>
      <c r="R365" s="14" t="n"/>
      <c r="V365">
        <f>IF($A365="","",IF(COUNTIF($A$2:$A365,$A365)=1,1,0))</f>
        <v/>
      </c>
      <c r="W365">
        <f>IF($V365=1,SUMPRODUCT(--($Y$2:$Y$1501&lt;$Y365))+1,"")</f>
        <v/>
      </c>
      <c r="X365">
        <f>IF($A365="","",IF(OR($T365=TRUE(),$T365="TRUE"),1,0))</f>
        <v/>
      </c>
      <c r="Y365">
        <f>IF($V365=1,IFERROR(IF(VALUE($A365)&lt;100000000,VALUE($A365),1000000000),IFERROR(IF(VALUE(MID($A365,2,20))&lt;100000000,VALUE(MID($A365,2,20)),1000000000),1000000000))+ROW()/100000,"")</f>
        <v/>
      </c>
    </row>
    <row r="366">
      <c r="F366" s="7">
        <f>IF($A366="","",E366*L366/100)</f>
        <v/>
      </c>
      <c r="J366" s="7" t="n"/>
      <c r="K366" s="7">
        <f>IF($A366="","",N366*U366/100)</f>
        <v/>
      </c>
      <c r="L366" s="7">
        <f>IF($A366="","",N366-K366)</f>
        <v/>
      </c>
      <c r="M366" s="7">
        <f>IF($A366="","",L366-F366)</f>
        <v/>
      </c>
      <c r="N366" s="7" t="n"/>
      <c r="O366" s="7" t="n"/>
      <c r="P366" s="7" t="n"/>
      <c r="R366" s="14" t="n"/>
      <c r="V366">
        <f>IF($A366="","",IF(COUNTIF($A$2:$A366,$A366)=1,1,0))</f>
        <v/>
      </c>
      <c r="W366">
        <f>IF($V366=1,SUMPRODUCT(--($Y$2:$Y$1501&lt;$Y366))+1,"")</f>
        <v/>
      </c>
      <c r="X366">
        <f>IF($A366="","",IF(OR($T366=TRUE(),$T366="TRUE"),1,0))</f>
        <v/>
      </c>
      <c r="Y366">
        <f>IF($V366=1,IFERROR(IF(VALUE($A366)&lt;100000000,VALUE($A366),1000000000),IFERROR(IF(VALUE(MID($A366,2,20))&lt;100000000,VALUE(MID($A366,2,20)),1000000000),1000000000))+ROW()/100000,"")</f>
        <v/>
      </c>
    </row>
    <row r="367">
      <c r="F367" s="7">
        <f>IF($A367="","",E367*L367/100)</f>
        <v/>
      </c>
      <c r="J367" s="7" t="n"/>
      <c r="K367" s="7">
        <f>IF($A367="","",N367*U367/100)</f>
        <v/>
      </c>
      <c r="L367" s="7">
        <f>IF($A367="","",N367-K367)</f>
        <v/>
      </c>
      <c r="M367" s="7">
        <f>IF($A367="","",L367-F367)</f>
        <v/>
      </c>
      <c r="N367" s="7" t="n"/>
      <c r="O367" s="7" t="n"/>
      <c r="P367" s="7" t="n"/>
      <c r="R367" s="14" t="n"/>
      <c r="V367">
        <f>IF($A367="","",IF(COUNTIF($A$2:$A367,$A367)=1,1,0))</f>
        <v/>
      </c>
      <c r="W367">
        <f>IF($V367=1,SUMPRODUCT(--($Y$2:$Y$1501&lt;$Y367))+1,"")</f>
        <v/>
      </c>
      <c r="X367">
        <f>IF($A367="","",IF(OR($T367=TRUE(),$T367="TRUE"),1,0))</f>
        <v/>
      </c>
      <c r="Y367">
        <f>IF($V367=1,IFERROR(IF(VALUE($A367)&lt;100000000,VALUE($A367),1000000000),IFERROR(IF(VALUE(MID($A367,2,20))&lt;100000000,VALUE(MID($A367,2,20)),1000000000),1000000000))+ROW()/100000,"")</f>
        <v/>
      </c>
    </row>
    <row r="368">
      <c r="F368" s="7">
        <f>IF($A368="","",E368*L368/100)</f>
        <v/>
      </c>
      <c r="J368" s="7" t="n"/>
      <c r="K368" s="7">
        <f>IF($A368="","",N368*U368/100)</f>
        <v/>
      </c>
      <c r="L368" s="7">
        <f>IF($A368="","",N368-K368)</f>
        <v/>
      </c>
      <c r="M368" s="7">
        <f>IF($A368="","",L368-F368)</f>
        <v/>
      </c>
      <c r="N368" s="7" t="n"/>
      <c r="O368" s="7" t="n"/>
      <c r="P368" s="7" t="n"/>
      <c r="R368" s="14" t="n"/>
      <c r="V368">
        <f>IF($A368="","",IF(COUNTIF($A$2:$A368,$A368)=1,1,0))</f>
        <v/>
      </c>
      <c r="W368">
        <f>IF($V368=1,SUMPRODUCT(--($Y$2:$Y$1501&lt;$Y368))+1,"")</f>
        <v/>
      </c>
      <c r="X368">
        <f>IF($A368="","",IF(OR($T368=TRUE(),$T368="TRUE"),1,0))</f>
        <v/>
      </c>
      <c r="Y368">
        <f>IF($V368=1,IFERROR(IF(VALUE($A368)&lt;100000000,VALUE($A368),1000000000),IFERROR(IF(VALUE(MID($A368,2,20))&lt;100000000,VALUE(MID($A368,2,20)),1000000000),1000000000))+ROW()/100000,"")</f>
        <v/>
      </c>
    </row>
    <row r="369">
      <c r="F369" s="7">
        <f>IF($A369="","",E369*L369/100)</f>
        <v/>
      </c>
      <c r="J369" s="7" t="n"/>
      <c r="K369" s="7">
        <f>IF($A369="","",N369*U369/100)</f>
        <v/>
      </c>
      <c r="L369" s="7">
        <f>IF($A369="","",N369-K369)</f>
        <v/>
      </c>
      <c r="M369" s="7">
        <f>IF($A369="","",L369-F369)</f>
        <v/>
      </c>
      <c r="N369" s="7" t="n"/>
      <c r="O369" s="7" t="n"/>
      <c r="P369" s="7" t="n"/>
      <c r="R369" s="14" t="n"/>
      <c r="V369">
        <f>IF($A369="","",IF(COUNTIF($A$2:$A369,$A369)=1,1,0))</f>
        <v/>
      </c>
      <c r="W369">
        <f>IF($V369=1,SUMPRODUCT(--($Y$2:$Y$1501&lt;$Y369))+1,"")</f>
        <v/>
      </c>
      <c r="X369">
        <f>IF($A369="","",IF(OR($T369=TRUE(),$T369="TRUE"),1,0))</f>
        <v/>
      </c>
      <c r="Y369">
        <f>IF($V369=1,IFERROR(IF(VALUE($A369)&lt;100000000,VALUE($A369),1000000000),IFERROR(IF(VALUE(MID($A369,2,20))&lt;100000000,VALUE(MID($A369,2,20)),1000000000),1000000000))+ROW()/100000,"")</f>
        <v/>
      </c>
    </row>
    <row r="370">
      <c r="F370" s="7">
        <f>IF($A370="","",E370*L370/100)</f>
        <v/>
      </c>
      <c r="J370" s="7" t="n"/>
      <c r="K370" s="7">
        <f>IF($A370="","",N370*U370/100)</f>
        <v/>
      </c>
      <c r="L370" s="7">
        <f>IF($A370="","",N370-K370)</f>
        <v/>
      </c>
      <c r="M370" s="7">
        <f>IF($A370="","",L370-F370)</f>
        <v/>
      </c>
      <c r="N370" s="7" t="n"/>
      <c r="O370" s="7" t="n"/>
      <c r="P370" s="7" t="n"/>
      <c r="R370" s="14" t="n"/>
      <c r="V370">
        <f>IF($A370="","",IF(COUNTIF($A$2:$A370,$A370)=1,1,0))</f>
        <v/>
      </c>
      <c r="W370">
        <f>IF($V370=1,SUMPRODUCT(--($Y$2:$Y$1501&lt;$Y370))+1,"")</f>
        <v/>
      </c>
      <c r="X370">
        <f>IF($A370="","",IF(OR($T370=TRUE(),$T370="TRUE"),1,0))</f>
        <v/>
      </c>
      <c r="Y370">
        <f>IF($V370=1,IFERROR(IF(VALUE($A370)&lt;100000000,VALUE($A370),1000000000),IFERROR(IF(VALUE(MID($A370,2,20))&lt;100000000,VALUE(MID($A370,2,20)),1000000000),1000000000))+ROW()/100000,"")</f>
        <v/>
      </c>
    </row>
    <row r="371">
      <c r="F371" s="7">
        <f>IF($A371="","",E371*L371/100)</f>
        <v/>
      </c>
      <c r="J371" s="7" t="n"/>
      <c r="K371" s="7">
        <f>IF($A371="","",N371*U371/100)</f>
        <v/>
      </c>
      <c r="L371" s="7">
        <f>IF($A371="","",N371-K371)</f>
        <v/>
      </c>
      <c r="M371" s="7">
        <f>IF($A371="","",L371-F371)</f>
        <v/>
      </c>
      <c r="N371" s="7" t="n"/>
      <c r="O371" s="7" t="n"/>
      <c r="P371" s="7" t="n"/>
      <c r="R371" s="14" t="n"/>
      <c r="V371">
        <f>IF($A371="","",IF(COUNTIF($A$2:$A371,$A371)=1,1,0))</f>
        <v/>
      </c>
      <c r="W371">
        <f>IF($V371=1,SUMPRODUCT(--($Y$2:$Y$1501&lt;$Y371))+1,"")</f>
        <v/>
      </c>
      <c r="X371">
        <f>IF($A371="","",IF(OR($T371=TRUE(),$T371="TRUE"),1,0))</f>
        <v/>
      </c>
      <c r="Y371">
        <f>IF($V371=1,IFERROR(IF(VALUE($A371)&lt;100000000,VALUE($A371),1000000000),IFERROR(IF(VALUE(MID($A371,2,20))&lt;100000000,VALUE(MID($A371,2,20)),1000000000),1000000000))+ROW()/100000,"")</f>
        <v/>
      </c>
    </row>
    <row r="372">
      <c r="F372" s="7">
        <f>IF($A372="","",E372*L372/100)</f>
        <v/>
      </c>
      <c r="J372" s="7" t="n"/>
      <c r="K372" s="7">
        <f>IF($A372="","",N372*U372/100)</f>
        <v/>
      </c>
      <c r="L372" s="7">
        <f>IF($A372="","",N372-K372)</f>
        <v/>
      </c>
      <c r="M372" s="7">
        <f>IF($A372="","",L372-F372)</f>
        <v/>
      </c>
      <c r="N372" s="7" t="n"/>
      <c r="O372" s="7" t="n"/>
      <c r="P372" s="7" t="n"/>
      <c r="R372" s="14" t="n"/>
      <c r="V372">
        <f>IF($A372="","",IF(COUNTIF($A$2:$A372,$A372)=1,1,0))</f>
        <v/>
      </c>
      <c r="W372">
        <f>IF($V372=1,SUMPRODUCT(--($Y$2:$Y$1501&lt;$Y372))+1,"")</f>
        <v/>
      </c>
      <c r="X372">
        <f>IF($A372="","",IF(OR($T372=TRUE(),$T372="TRUE"),1,0))</f>
        <v/>
      </c>
      <c r="Y372">
        <f>IF($V372=1,IFERROR(IF(VALUE($A372)&lt;100000000,VALUE($A372),1000000000),IFERROR(IF(VALUE(MID($A372,2,20))&lt;100000000,VALUE(MID($A372,2,20)),1000000000),1000000000))+ROW()/100000,"")</f>
        <v/>
      </c>
    </row>
    <row r="373">
      <c r="F373" s="7">
        <f>IF($A373="","",E373*L373/100)</f>
        <v/>
      </c>
      <c r="J373" s="7" t="n"/>
      <c r="K373" s="7">
        <f>IF($A373="","",N373*U373/100)</f>
        <v/>
      </c>
      <c r="L373" s="7">
        <f>IF($A373="","",N373-K373)</f>
        <v/>
      </c>
      <c r="M373" s="7">
        <f>IF($A373="","",L373-F373)</f>
        <v/>
      </c>
      <c r="N373" s="7" t="n"/>
      <c r="O373" s="7" t="n"/>
      <c r="P373" s="7" t="n"/>
      <c r="R373" s="14" t="n"/>
      <c r="V373">
        <f>IF($A373="","",IF(COUNTIF($A$2:$A373,$A373)=1,1,0))</f>
        <v/>
      </c>
      <c r="W373">
        <f>IF($V373=1,SUMPRODUCT(--($Y$2:$Y$1501&lt;$Y373))+1,"")</f>
        <v/>
      </c>
      <c r="X373">
        <f>IF($A373="","",IF(OR($T373=TRUE(),$T373="TRUE"),1,0))</f>
        <v/>
      </c>
      <c r="Y373">
        <f>IF($V373=1,IFERROR(IF(VALUE($A373)&lt;100000000,VALUE($A373),1000000000),IFERROR(IF(VALUE(MID($A373,2,20))&lt;100000000,VALUE(MID($A373,2,20)),1000000000),1000000000))+ROW()/100000,"")</f>
        <v/>
      </c>
    </row>
    <row r="374">
      <c r="F374" s="7">
        <f>IF($A374="","",E374*L374/100)</f>
        <v/>
      </c>
      <c r="J374" s="7" t="n"/>
      <c r="K374" s="7">
        <f>IF($A374="","",N374*U374/100)</f>
        <v/>
      </c>
      <c r="L374" s="7">
        <f>IF($A374="","",N374-K374)</f>
        <v/>
      </c>
      <c r="M374" s="7">
        <f>IF($A374="","",L374-F374)</f>
        <v/>
      </c>
      <c r="N374" s="7" t="n"/>
      <c r="O374" s="7" t="n"/>
      <c r="P374" s="7" t="n"/>
      <c r="R374" s="14" t="n"/>
      <c r="V374">
        <f>IF($A374="","",IF(COUNTIF($A$2:$A374,$A374)=1,1,0))</f>
        <v/>
      </c>
      <c r="W374">
        <f>IF($V374=1,SUMPRODUCT(--($Y$2:$Y$1501&lt;$Y374))+1,"")</f>
        <v/>
      </c>
      <c r="X374">
        <f>IF($A374="","",IF(OR($T374=TRUE(),$T374="TRUE"),1,0))</f>
        <v/>
      </c>
      <c r="Y374">
        <f>IF($V374=1,IFERROR(IF(VALUE($A374)&lt;100000000,VALUE($A374),1000000000),IFERROR(IF(VALUE(MID($A374,2,20))&lt;100000000,VALUE(MID($A374,2,20)),1000000000),1000000000))+ROW()/100000,"")</f>
        <v/>
      </c>
    </row>
    <row r="375">
      <c r="F375" s="7">
        <f>IF($A375="","",E375*L375/100)</f>
        <v/>
      </c>
      <c r="J375" s="7" t="n"/>
      <c r="K375" s="7">
        <f>IF($A375="","",N375*U375/100)</f>
        <v/>
      </c>
      <c r="L375" s="7">
        <f>IF($A375="","",N375-K375)</f>
        <v/>
      </c>
      <c r="M375" s="7">
        <f>IF($A375="","",L375-F375)</f>
        <v/>
      </c>
      <c r="N375" s="7" t="n"/>
      <c r="O375" s="7" t="n"/>
      <c r="P375" s="7" t="n"/>
      <c r="R375" s="14" t="n"/>
      <c r="V375">
        <f>IF($A375="","",IF(COUNTIF($A$2:$A375,$A375)=1,1,0))</f>
        <v/>
      </c>
      <c r="W375">
        <f>IF($V375=1,SUMPRODUCT(--($Y$2:$Y$1501&lt;$Y375))+1,"")</f>
        <v/>
      </c>
      <c r="X375">
        <f>IF($A375="","",IF(OR($T375=TRUE(),$T375="TRUE"),1,0))</f>
        <v/>
      </c>
      <c r="Y375">
        <f>IF($V375=1,IFERROR(IF(VALUE($A375)&lt;100000000,VALUE($A375),1000000000),IFERROR(IF(VALUE(MID($A375,2,20))&lt;100000000,VALUE(MID($A375,2,20)),1000000000),1000000000))+ROW()/100000,"")</f>
        <v/>
      </c>
    </row>
    <row r="376">
      <c r="F376" s="7">
        <f>IF($A376="","",E376*L376/100)</f>
        <v/>
      </c>
      <c r="J376" s="7" t="n"/>
      <c r="K376" s="7">
        <f>IF($A376="","",N376*U376/100)</f>
        <v/>
      </c>
      <c r="L376" s="7">
        <f>IF($A376="","",N376-K376)</f>
        <v/>
      </c>
      <c r="M376" s="7">
        <f>IF($A376="","",L376-F376)</f>
        <v/>
      </c>
      <c r="N376" s="7" t="n"/>
      <c r="O376" s="7" t="n"/>
      <c r="P376" s="7" t="n"/>
      <c r="R376" s="14" t="n"/>
      <c r="V376">
        <f>IF($A376="","",IF(COUNTIF($A$2:$A376,$A376)=1,1,0))</f>
        <v/>
      </c>
      <c r="W376">
        <f>IF($V376=1,SUMPRODUCT(--($Y$2:$Y$1501&lt;$Y376))+1,"")</f>
        <v/>
      </c>
      <c r="X376">
        <f>IF($A376="","",IF(OR($T376=TRUE(),$T376="TRUE"),1,0))</f>
        <v/>
      </c>
      <c r="Y376">
        <f>IF($V376=1,IFERROR(IF(VALUE($A376)&lt;100000000,VALUE($A376),1000000000),IFERROR(IF(VALUE(MID($A376,2,20))&lt;100000000,VALUE(MID($A376,2,20)),1000000000),1000000000))+ROW()/100000,"")</f>
        <v/>
      </c>
    </row>
    <row r="377">
      <c r="F377" s="7">
        <f>IF($A377="","",E377*L377/100)</f>
        <v/>
      </c>
      <c r="J377" s="7" t="n"/>
      <c r="K377" s="7">
        <f>IF($A377="","",N377*U377/100)</f>
        <v/>
      </c>
      <c r="L377" s="7">
        <f>IF($A377="","",N377-K377)</f>
        <v/>
      </c>
      <c r="M377" s="7">
        <f>IF($A377="","",L377-F377)</f>
        <v/>
      </c>
      <c r="N377" s="7" t="n"/>
      <c r="O377" s="7" t="n"/>
      <c r="P377" s="7" t="n"/>
      <c r="R377" s="14" t="n"/>
      <c r="V377">
        <f>IF($A377="","",IF(COUNTIF($A$2:$A377,$A377)=1,1,0))</f>
        <v/>
      </c>
      <c r="W377">
        <f>IF($V377=1,SUMPRODUCT(--($Y$2:$Y$1501&lt;$Y377))+1,"")</f>
        <v/>
      </c>
      <c r="X377">
        <f>IF($A377="","",IF(OR($T377=TRUE(),$T377="TRUE"),1,0))</f>
        <v/>
      </c>
      <c r="Y377">
        <f>IF($V377=1,IFERROR(IF(VALUE($A377)&lt;100000000,VALUE($A377),1000000000),IFERROR(IF(VALUE(MID($A377,2,20))&lt;100000000,VALUE(MID($A377,2,20)),1000000000),1000000000))+ROW()/100000,"")</f>
        <v/>
      </c>
    </row>
    <row r="378">
      <c r="F378" s="7">
        <f>IF($A378="","",E378*L378/100)</f>
        <v/>
      </c>
      <c r="J378" s="7" t="n"/>
      <c r="K378" s="7">
        <f>IF($A378="","",N378*U378/100)</f>
        <v/>
      </c>
      <c r="L378" s="7">
        <f>IF($A378="","",N378-K378)</f>
        <v/>
      </c>
      <c r="M378" s="7">
        <f>IF($A378="","",L378-F378)</f>
        <v/>
      </c>
      <c r="N378" s="7" t="n"/>
      <c r="O378" s="7" t="n"/>
      <c r="P378" s="7" t="n"/>
      <c r="R378" s="14" t="n"/>
      <c r="V378">
        <f>IF($A378="","",IF(COUNTIF($A$2:$A378,$A378)=1,1,0))</f>
        <v/>
      </c>
      <c r="W378">
        <f>IF($V378=1,SUMPRODUCT(--($Y$2:$Y$1501&lt;$Y378))+1,"")</f>
        <v/>
      </c>
      <c r="X378">
        <f>IF($A378="","",IF(OR($T378=TRUE(),$T378="TRUE"),1,0))</f>
        <v/>
      </c>
      <c r="Y378">
        <f>IF($V378=1,IFERROR(IF(VALUE($A378)&lt;100000000,VALUE($A378),1000000000),IFERROR(IF(VALUE(MID($A378,2,20))&lt;100000000,VALUE(MID($A378,2,20)),1000000000),1000000000))+ROW()/100000,"")</f>
        <v/>
      </c>
    </row>
    <row r="379">
      <c r="F379" s="7">
        <f>IF($A379="","",E379*L379/100)</f>
        <v/>
      </c>
      <c r="J379" s="7" t="n"/>
      <c r="K379" s="7">
        <f>IF($A379="","",N379*U379/100)</f>
        <v/>
      </c>
      <c r="L379" s="7">
        <f>IF($A379="","",N379-K379)</f>
        <v/>
      </c>
      <c r="M379" s="7">
        <f>IF($A379="","",L379-F379)</f>
        <v/>
      </c>
      <c r="N379" s="7" t="n"/>
      <c r="O379" s="7" t="n"/>
      <c r="P379" s="7" t="n"/>
      <c r="R379" s="14" t="n"/>
      <c r="V379">
        <f>IF($A379="","",IF(COUNTIF($A$2:$A379,$A379)=1,1,0))</f>
        <v/>
      </c>
      <c r="W379">
        <f>IF($V379=1,SUMPRODUCT(--($Y$2:$Y$1501&lt;$Y379))+1,"")</f>
        <v/>
      </c>
      <c r="X379">
        <f>IF($A379="","",IF(OR($T379=TRUE(),$T379="TRUE"),1,0))</f>
        <v/>
      </c>
      <c r="Y379">
        <f>IF($V379=1,IFERROR(IF(VALUE($A379)&lt;100000000,VALUE($A379),1000000000),IFERROR(IF(VALUE(MID($A379,2,20))&lt;100000000,VALUE(MID($A379,2,20)),1000000000),1000000000))+ROW()/100000,"")</f>
        <v/>
      </c>
    </row>
    <row r="380">
      <c r="F380" s="7">
        <f>IF($A380="","",E380*L380/100)</f>
        <v/>
      </c>
      <c r="J380" s="7" t="n"/>
      <c r="K380" s="7">
        <f>IF($A380="","",N380*U380/100)</f>
        <v/>
      </c>
      <c r="L380" s="7">
        <f>IF($A380="","",N380-K380)</f>
        <v/>
      </c>
      <c r="M380" s="7">
        <f>IF($A380="","",L380-F380)</f>
        <v/>
      </c>
      <c r="N380" s="7" t="n"/>
      <c r="O380" s="7" t="n"/>
      <c r="P380" s="7" t="n"/>
      <c r="R380" s="14" t="n"/>
      <c r="V380">
        <f>IF($A380="","",IF(COUNTIF($A$2:$A380,$A380)=1,1,0))</f>
        <v/>
      </c>
      <c r="W380">
        <f>IF($V380=1,SUMPRODUCT(--($Y$2:$Y$1501&lt;$Y380))+1,"")</f>
        <v/>
      </c>
      <c r="X380">
        <f>IF($A380="","",IF(OR($T380=TRUE(),$T380="TRUE"),1,0))</f>
        <v/>
      </c>
      <c r="Y380">
        <f>IF($V380=1,IFERROR(IF(VALUE($A380)&lt;100000000,VALUE($A380),1000000000),IFERROR(IF(VALUE(MID($A380,2,20))&lt;100000000,VALUE(MID($A380,2,20)),1000000000),1000000000))+ROW()/100000,"")</f>
        <v/>
      </c>
    </row>
    <row r="381">
      <c r="F381" s="7">
        <f>IF($A381="","",E381*L381/100)</f>
        <v/>
      </c>
      <c r="J381" s="7" t="n"/>
      <c r="K381" s="7">
        <f>IF($A381="","",N381*U381/100)</f>
        <v/>
      </c>
      <c r="L381" s="7">
        <f>IF($A381="","",N381-K381)</f>
        <v/>
      </c>
      <c r="M381" s="7">
        <f>IF($A381="","",L381-F381)</f>
        <v/>
      </c>
      <c r="N381" s="7" t="n"/>
      <c r="O381" s="7" t="n"/>
      <c r="P381" s="7" t="n"/>
      <c r="R381" s="14" t="n"/>
      <c r="V381">
        <f>IF($A381="","",IF(COUNTIF($A$2:$A381,$A381)=1,1,0))</f>
        <v/>
      </c>
      <c r="W381">
        <f>IF($V381=1,SUMPRODUCT(--($Y$2:$Y$1501&lt;$Y381))+1,"")</f>
        <v/>
      </c>
      <c r="X381">
        <f>IF($A381="","",IF(OR($T381=TRUE(),$T381="TRUE"),1,0))</f>
        <v/>
      </c>
      <c r="Y381">
        <f>IF($V381=1,IFERROR(IF(VALUE($A381)&lt;100000000,VALUE($A381),1000000000),IFERROR(IF(VALUE(MID($A381,2,20))&lt;100000000,VALUE(MID($A381,2,20)),1000000000),1000000000))+ROW()/100000,"")</f>
        <v/>
      </c>
    </row>
    <row r="382">
      <c r="F382" s="7">
        <f>IF($A382="","",E382*L382/100)</f>
        <v/>
      </c>
      <c r="J382" s="7" t="n"/>
      <c r="K382" s="7">
        <f>IF($A382="","",N382*U382/100)</f>
        <v/>
      </c>
      <c r="L382" s="7">
        <f>IF($A382="","",N382-K382)</f>
        <v/>
      </c>
      <c r="M382" s="7">
        <f>IF($A382="","",L382-F382)</f>
        <v/>
      </c>
      <c r="N382" s="7" t="n"/>
      <c r="O382" s="7" t="n"/>
      <c r="P382" s="7" t="n"/>
      <c r="R382" s="14" t="n"/>
      <c r="V382">
        <f>IF($A382="","",IF(COUNTIF($A$2:$A382,$A382)=1,1,0))</f>
        <v/>
      </c>
      <c r="W382">
        <f>IF($V382=1,SUMPRODUCT(--($Y$2:$Y$1501&lt;$Y382))+1,"")</f>
        <v/>
      </c>
      <c r="X382">
        <f>IF($A382="","",IF(OR($T382=TRUE(),$T382="TRUE"),1,0))</f>
        <v/>
      </c>
      <c r="Y382">
        <f>IF($V382=1,IFERROR(IF(VALUE($A382)&lt;100000000,VALUE($A382),1000000000),IFERROR(IF(VALUE(MID($A382,2,20))&lt;100000000,VALUE(MID($A382,2,20)),1000000000),1000000000))+ROW()/100000,"")</f>
        <v/>
      </c>
    </row>
    <row r="383">
      <c r="F383" s="7">
        <f>IF($A383="","",E383*L383/100)</f>
        <v/>
      </c>
      <c r="J383" s="7" t="n"/>
      <c r="K383" s="7">
        <f>IF($A383="","",N383*U383/100)</f>
        <v/>
      </c>
      <c r="L383" s="7">
        <f>IF($A383="","",N383-K383)</f>
        <v/>
      </c>
      <c r="M383" s="7">
        <f>IF($A383="","",L383-F383)</f>
        <v/>
      </c>
      <c r="N383" s="7" t="n"/>
      <c r="O383" s="7" t="n"/>
      <c r="P383" s="7" t="n"/>
      <c r="R383" s="14" t="n"/>
      <c r="V383">
        <f>IF($A383="","",IF(COUNTIF($A$2:$A383,$A383)=1,1,0))</f>
        <v/>
      </c>
      <c r="W383">
        <f>IF($V383=1,SUMPRODUCT(--($Y$2:$Y$1501&lt;$Y383))+1,"")</f>
        <v/>
      </c>
      <c r="X383">
        <f>IF($A383="","",IF(OR($T383=TRUE(),$T383="TRUE"),1,0))</f>
        <v/>
      </c>
      <c r="Y383">
        <f>IF($V383=1,IFERROR(IF(VALUE($A383)&lt;100000000,VALUE($A383),1000000000),IFERROR(IF(VALUE(MID($A383,2,20))&lt;100000000,VALUE(MID($A383,2,20)),1000000000),1000000000))+ROW()/100000,"")</f>
        <v/>
      </c>
    </row>
    <row r="384">
      <c r="F384" s="7">
        <f>IF($A384="","",E384*L384/100)</f>
        <v/>
      </c>
      <c r="J384" s="7" t="n"/>
      <c r="K384" s="7">
        <f>IF($A384="","",N384*U384/100)</f>
        <v/>
      </c>
      <c r="L384" s="7">
        <f>IF($A384="","",N384-K384)</f>
        <v/>
      </c>
      <c r="M384" s="7">
        <f>IF($A384="","",L384-F384)</f>
        <v/>
      </c>
      <c r="N384" s="7" t="n"/>
      <c r="O384" s="7" t="n"/>
      <c r="P384" s="7" t="n"/>
      <c r="R384" s="14" t="n"/>
      <c r="V384">
        <f>IF($A384="","",IF(COUNTIF($A$2:$A384,$A384)=1,1,0))</f>
        <v/>
      </c>
      <c r="W384">
        <f>IF($V384=1,SUMPRODUCT(--($Y$2:$Y$1501&lt;$Y384))+1,"")</f>
        <v/>
      </c>
      <c r="X384">
        <f>IF($A384="","",IF(OR($T384=TRUE(),$T384="TRUE"),1,0))</f>
        <v/>
      </c>
      <c r="Y384">
        <f>IF($V384=1,IFERROR(IF(VALUE($A384)&lt;100000000,VALUE($A384),1000000000),IFERROR(IF(VALUE(MID($A384,2,20))&lt;100000000,VALUE(MID($A384,2,20)),1000000000),1000000000))+ROW()/100000,"")</f>
        <v/>
      </c>
    </row>
    <row r="385">
      <c r="F385" s="7">
        <f>IF($A385="","",E385*L385/100)</f>
        <v/>
      </c>
      <c r="J385" s="7" t="n"/>
      <c r="K385" s="7">
        <f>IF($A385="","",N385*U385/100)</f>
        <v/>
      </c>
      <c r="L385" s="7">
        <f>IF($A385="","",N385-K385)</f>
        <v/>
      </c>
      <c r="M385" s="7">
        <f>IF($A385="","",L385-F385)</f>
        <v/>
      </c>
      <c r="N385" s="7" t="n"/>
      <c r="O385" s="7" t="n"/>
      <c r="P385" s="7" t="n"/>
      <c r="R385" s="14" t="n"/>
      <c r="V385">
        <f>IF($A385="","",IF(COUNTIF($A$2:$A385,$A385)=1,1,0))</f>
        <v/>
      </c>
      <c r="W385">
        <f>IF($V385=1,SUMPRODUCT(--($Y$2:$Y$1501&lt;$Y385))+1,"")</f>
        <v/>
      </c>
      <c r="X385">
        <f>IF($A385="","",IF(OR($T385=TRUE(),$T385="TRUE"),1,0))</f>
        <v/>
      </c>
      <c r="Y385">
        <f>IF($V385=1,IFERROR(IF(VALUE($A385)&lt;100000000,VALUE($A385),1000000000),IFERROR(IF(VALUE(MID($A385,2,20))&lt;100000000,VALUE(MID($A385,2,20)),1000000000),1000000000))+ROW()/100000,"")</f>
        <v/>
      </c>
    </row>
    <row r="386">
      <c r="F386" s="7">
        <f>IF($A386="","",E386*L386/100)</f>
        <v/>
      </c>
      <c r="J386" s="7" t="n"/>
      <c r="K386" s="7">
        <f>IF($A386="","",N386*U386/100)</f>
        <v/>
      </c>
      <c r="L386" s="7">
        <f>IF($A386="","",N386-K386)</f>
        <v/>
      </c>
      <c r="M386" s="7">
        <f>IF($A386="","",L386-F386)</f>
        <v/>
      </c>
      <c r="N386" s="7" t="n"/>
      <c r="O386" s="7" t="n"/>
      <c r="P386" s="7" t="n"/>
      <c r="R386" s="14" t="n"/>
      <c r="V386">
        <f>IF($A386="","",IF(COUNTIF($A$2:$A386,$A386)=1,1,0))</f>
        <v/>
      </c>
      <c r="W386">
        <f>IF($V386=1,SUMPRODUCT(--($Y$2:$Y$1501&lt;$Y386))+1,"")</f>
        <v/>
      </c>
      <c r="X386">
        <f>IF($A386="","",IF(OR($T386=TRUE(),$T386="TRUE"),1,0))</f>
        <v/>
      </c>
      <c r="Y386">
        <f>IF($V386=1,IFERROR(IF(VALUE($A386)&lt;100000000,VALUE($A386),1000000000),IFERROR(IF(VALUE(MID($A386,2,20))&lt;100000000,VALUE(MID($A386,2,20)),1000000000),1000000000))+ROW()/100000,"")</f>
        <v/>
      </c>
    </row>
    <row r="387">
      <c r="F387" s="7">
        <f>IF($A387="","",E387*L387/100)</f>
        <v/>
      </c>
      <c r="J387" s="7" t="n"/>
      <c r="K387" s="7">
        <f>IF($A387="","",N387*U387/100)</f>
        <v/>
      </c>
      <c r="L387" s="7">
        <f>IF($A387="","",N387-K387)</f>
        <v/>
      </c>
      <c r="M387" s="7">
        <f>IF($A387="","",L387-F387)</f>
        <v/>
      </c>
      <c r="N387" s="7" t="n"/>
      <c r="O387" s="7" t="n"/>
      <c r="P387" s="7" t="n"/>
      <c r="R387" s="14" t="n"/>
      <c r="V387">
        <f>IF($A387="","",IF(COUNTIF($A$2:$A387,$A387)=1,1,0))</f>
        <v/>
      </c>
      <c r="W387">
        <f>IF($V387=1,SUMPRODUCT(--($Y$2:$Y$1501&lt;$Y387))+1,"")</f>
        <v/>
      </c>
      <c r="X387">
        <f>IF($A387="","",IF(OR($T387=TRUE(),$T387="TRUE"),1,0))</f>
        <v/>
      </c>
      <c r="Y387">
        <f>IF($V387=1,IFERROR(IF(VALUE($A387)&lt;100000000,VALUE($A387),1000000000),IFERROR(IF(VALUE(MID($A387,2,20))&lt;100000000,VALUE(MID($A387,2,20)),1000000000),1000000000))+ROW()/100000,"")</f>
        <v/>
      </c>
    </row>
    <row r="388">
      <c r="F388" s="7">
        <f>IF($A388="","",E388*L388/100)</f>
        <v/>
      </c>
      <c r="J388" s="7" t="n"/>
      <c r="K388" s="7">
        <f>IF($A388="","",N388*U388/100)</f>
        <v/>
      </c>
      <c r="L388" s="7">
        <f>IF($A388="","",N388-K388)</f>
        <v/>
      </c>
      <c r="M388" s="7">
        <f>IF($A388="","",L388-F388)</f>
        <v/>
      </c>
      <c r="N388" s="7" t="n"/>
      <c r="O388" s="7" t="n"/>
      <c r="P388" s="7" t="n"/>
      <c r="R388" s="14" t="n"/>
      <c r="V388">
        <f>IF($A388="","",IF(COUNTIF($A$2:$A388,$A388)=1,1,0))</f>
        <v/>
      </c>
      <c r="W388">
        <f>IF($V388=1,SUMPRODUCT(--($Y$2:$Y$1501&lt;$Y388))+1,"")</f>
        <v/>
      </c>
      <c r="X388">
        <f>IF($A388="","",IF(OR($T388=TRUE(),$T388="TRUE"),1,0))</f>
        <v/>
      </c>
      <c r="Y388">
        <f>IF($V388=1,IFERROR(IF(VALUE($A388)&lt;100000000,VALUE($A388),1000000000),IFERROR(IF(VALUE(MID($A388,2,20))&lt;100000000,VALUE(MID($A388,2,20)),1000000000),1000000000))+ROW()/100000,"")</f>
        <v/>
      </c>
    </row>
    <row r="389">
      <c r="F389" s="7">
        <f>IF($A389="","",E389*L389/100)</f>
        <v/>
      </c>
      <c r="J389" s="7" t="n"/>
      <c r="K389" s="7">
        <f>IF($A389="","",N389*U389/100)</f>
        <v/>
      </c>
      <c r="L389" s="7">
        <f>IF($A389="","",N389-K389)</f>
        <v/>
      </c>
      <c r="M389" s="7">
        <f>IF($A389="","",L389-F389)</f>
        <v/>
      </c>
      <c r="N389" s="7" t="n"/>
      <c r="O389" s="7" t="n"/>
      <c r="P389" s="7" t="n"/>
      <c r="R389" s="14" t="n"/>
      <c r="V389">
        <f>IF($A389="","",IF(COUNTIF($A$2:$A389,$A389)=1,1,0))</f>
        <v/>
      </c>
      <c r="W389">
        <f>IF($V389=1,SUMPRODUCT(--($Y$2:$Y$1501&lt;$Y389))+1,"")</f>
        <v/>
      </c>
      <c r="X389">
        <f>IF($A389="","",IF(OR($T389=TRUE(),$T389="TRUE"),1,0))</f>
        <v/>
      </c>
      <c r="Y389">
        <f>IF($V389=1,IFERROR(IF(VALUE($A389)&lt;100000000,VALUE($A389),1000000000),IFERROR(IF(VALUE(MID($A389,2,20))&lt;100000000,VALUE(MID($A389,2,20)),1000000000),1000000000))+ROW()/100000,"")</f>
        <v/>
      </c>
    </row>
    <row r="390">
      <c r="F390" s="7">
        <f>IF($A390="","",E390*L390/100)</f>
        <v/>
      </c>
      <c r="J390" s="7" t="n"/>
      <c r="K390" s="7">
        <f>IF($A390="","",N390*U390/100)</f>
        <v/>
      </c>
      <c r="L390" s="7">
        <f>IF($A390="","",N390-K390)</f>
        <v/>
      </c>
      <c r="M390" s="7">
        <f>IF($A390="","",L390-F390)</f>
        <v/>
      </c>
      <c r="N390" s="7" t="n"/>
      <c r="O390" s="7" t="n"/>
      <c r="P390" s="7" t="n"/>
      <c r="R390" s="14" t="n"/>
      <c r="V390">
        <f>IF($A390="","",IF(COUNTIF($A$2:$A390,$A390)=1,1,0))</f>
        <v/>
      </c>
      <c r="W390">
        <f>IF($V390=1,SUMPRODUCT(--($Y$2:$Y$1501&lt;$Y390))+1,"")</f>
        <v/>
      </c>
      <c r="X390">
        <f>IF($A390="","",IF(OR($T390=TRUE(),$T390="TRUE"),1,0))</f>
        <v/>
      </c>
      <c r="Y390">
        <f>IF($V390=1,IFERROR(IF(VALUE($A390)&lt;100000000,VALUE($A390),1000000000),IFERROR(IF(VALUE(MID($A390,2,20))&lt;100000000,VALUE(MID($A390,2,20)),1000000000),1000000000))+ROW()/100000,"")</f>
        <v/>
      </c>
    </row>
    <row r="391">
      <c r="F391" s="7">
        <f>IF($A391="","",E391*L391/100)</f>
        <v/>
      </c>
      <c r="J391" s="7" t="n"/>
      <c r="K391" s="7">
        <f>IF($A391="","",N391*U391/100)</f>
        <v/>
      </c>
      <c r="L391" s="7">
        <f>IF($A391="","",N391-K391)</f>
        <v/>
      </c>
      <c r="M391" s="7">
        <f>IF($A391="","",L391-F391)</f>
        <v/>
      </c>
      <c r="N391" s="7" t="n"/>
      <c r="O391" s="7" t="n"/>
      <c r="P391" s="7" t="n"/>
      <c r="R391" s="14" t="n"/>
      <c r="V391">
        <f>IF($A391="","",IF(COUNTIF($A$2:$A391,$A391)=1,1,0))</f>
        <v/>
      </c>
      <c r="W391">
        <f>IF($V391=1,SUMPRODUCT(--($Y$2:$Y$1501&lt;$Y391))+1,"")</f>
        <v/>
      </c>
      <c r="X391">
        <f>IF($A391="","",IF(OR($T391=TRUE(),$T391="TRUE"),1,0))</f>
        <v/>
      </c>
      <c r="Y391">
        <f>IF($V391=1,IFERROR(IF(VALUE($A391)&lt;100000000,VALUE($A391),1000000000),IFERROR(IF(VALUE(MID($A391,2,20))&lt;100000000,VALUE(MID($A391,2,20)),1000000000),1000000000))+ROW()/100000,"")</f>
        <v/>
      </c>
    </row>
    <row r="392">
      <c r="F392" s="7">
        <f>IF($A392="","",E392*L392/100)</f>
        <v/>
      </c>
      <c r="J392" s="7" t="n"/>
      <c r="K392" s="7">
        <f>IF($A392="","",N392*U392/100)</f>
        <v/>
      </c>
      <c r="L392" s="7">
        <f>IF($A392="","",N392-K392)</f>
        <v/>
      </c>
      <c r="M392" s="7">
        <f>IF($A392="","",L392-F392)</f>
        <v/>
      </c>
      <c r="N392" s="7" t="n"/>
      <c r="O392" s="7" t="n"/>
      <c r="P392" s="7" t="n"/>
      <c r="R392" s="14" t="n"/>
      <c r="V392">
        <f>IF($A392="","",IF(COUNTIF($A$2:$A392,$A392)=1,1,0))</f>
        <v/>
      </c>
      <c r="W392">
        <f>IF($V392=1,SUMPRODUCT(--($Y$2:$Y$1501&lt;$Y392))+1,"")</f>
        <v/>
      </c>
      <c r="X392">
        <f>IF($A392="","",IF(OR($T392=TRUE(),$T392="TRUE"),1,0))</f>
        <v/>
      </c>
      <c r="Y392">
        <f>IF($V392=1,IFERROR(IF(VALUE($A392)&lt;100000000,VALUE($A392),1000000000),IFERROR(IF(VALUE(MID($A392,2,20))&lt;100000000,VALUE(MID($A392,2,20)),1000000000),1000000000))+ROW()/100000,"")</f>
        <v/>
      </c>
    </row>
    <row r="393">
      <c r="F393" s="7">
        <f>IF($A393="","",E393*L393/100)</f>
        <v/>
      </c>
      <c r="J393" s="7" t="n"/>
      <c r="K393" s="7">
        <f>IF($A393="","",N393*U393/100)</f>
        <v/>
      </c>
      <c r="L393" s="7">
        <f>IF($A393="","",N393-K393)</f>
        <v/>
      </c>
      <c r="M393" s="7">
        <f>IF($A393="","",L393-F393)</f>
        <v/>
      </c>
      <c r="N393" s="7" t="n"/>
      <c r="O393" s="7" t="n"/>
      <c r="P393" s="7" t="n"/>
      <c r="R393" s="14" t="n"/>
      <c r="V393">
        <f>IF($A393="","",IF(COUNTIF($A$2:$A393,$A393)=1,1,0))</f>
        <v/>
      </c>
      <c r="W393">
        <f>IF($V393=1,SUMPRODUCT(--($Y$2:$Y$1501&lt;$Y393))+1,"")</f>
        <v/>
      </c>
      <c r="X393">
        <f>IF($A393="","",IF(OR($T393=TRUE(),$T393="TRUE"),1,0))</f>
        <v/>
      </c>
      <c r="Y393">
        <f>IF($V393=1,IFERROR(IF(VALUE($A393)&lt;100000000,VALUE($A393),1000000000),IFERROR(IF(VALUE(MID($A393,2,20))&lt;100000000,VALUE(MID($A393,2,20)),1000000000),1000000000))+ROW()/100000,"")</f>
        <v/>
      </c>
    </row>
    <row r="394">
      <c r="F394" s="7">
        <f>IF($A394="","",E394*L394/100)</f>
        <v/>
      </c>
      <c r="J394" s="7" t="n"/>
      <c r="K394" s="7">
        <f>IF($A394="","",N394*U394/100)</f>
        <v/>
      </c>
      <c r="L394" s="7">
        <f>IF($A394="","",N394-K394)</f>
        <v/>
      </c>
      <c r="M394" s="7">
        <f>IF($A394="","",L394-F394)</f>
        <v/>
      </c>
      <c r="N394" s="7" t="n"/>
      <c r="O394" s="7" t="n"/>
      <c r="P394" s="7" t="n"/>
      <c r="R394" s="14" t="n"/>
      <c r="V394">
        <f>IF($A394="","",IF(COUNTIF($A$2:$A394,$A394)=1,1,0))</f>
        <v/>
      </c>
      <c r="W394">
        <f>IF($V394=1,SUMPRODUCT(--($Y$2:$Y$1501&lt;$Y394))+1,"")</f>
        <v/>
      </c>
      <c r="X394">
        <f>IF($A394="","",IF(OR($T394=TRUE(),$T394="TRUE"),1,0))</f>
        <v/>
      </c>
      <c r="Y394">
        <f>IF($V394=1,IFERROR(IF(VALUE($A394)&lt;100000000,VALUE($A394),1000000000),IFERROR(IF(VALUE(MID($A394,2,20))&lt;100000000,VALUE(MID($A394,2,20)),1000000000),1000000000))+ROW()/100000,"")</f>
        <v/>
      </c>
    </row>
    <row r="395">
      <c r="F395" s="7">
        <f>IF($A395="","",E395*L395/100)</f>
        <v/>
      </c>
      <c r="J395" s="7" t="n"/>
      <c r="K395" s="7">
        <f>IF($A395="","",N395*U395/100)</f>
        <v/>
      </c>
      <c r="L395" s="7">
        <f>IF($A395="","",N395-K395)</f>
        <v/>
      </c>
      <c r="M395" s="7">
        <f>IF($A395="","",L395-F395)</f>
        <v/>
      </c>
      <c r="N395" s="7" t="n"/>
      <c r="O395" s="7" t="n"/>
      <c r="P395" s="7" t="n"/>
      <c r="R395" s="14" t="n"/>
      <c r="V395">
        <f>IF($A395="","",IF(COUNTIF($A$2:$A395,$A395)=1,1,0))</f>
        <v/>
      </c>
      <c r="W395">
        <f>IF($V395=1,SUMPRODUCT(--($Y$2:$Y$1501&lt;$Y395))+1,"")</f>
        <v/>
      </c>
      <c r="X395">
        <f>IF($A395="","",IF(OR($T395=TRUE(),$T395="TRUE"),1,0))</f>
        <v/>
      </c>
      <c r="Y395">
        <f>IF($V395=1,IFERROR(IF(VALUE($A395)&lt;100000000,VALUE($A395),1000000000),IFERROR(IF(VALUE(MID($A395,2,20))&lt;100000000,VALUE(MID($A395,2,20)),1000000000),1000000000))+ROW()/100000,"")</f>
        <v/>
      </c>
    </row>
    <row r="396">
      <c r="F396" s="7">
        <f>IF($A396="","",E396*L396/100)</f>
        <v/>
      </c>
      <c r="J396" s="7" t="n"/>
      <c r="K396" s="7">
        <f>IF($A396="","",N396*U396/100)</f>
        <v/>
      </c>
      <c r="L396" s="7">
        <f>IF($A396="","",N396-K396)</f>
        <v/>
      </c>
      <c r="M396" s="7">
        <f>IF($A396="","",L396-F396)</f>
        <v/>
      </c>
      <c r="N396" s="7" t="n"/>
      <c r="O396" s="7" t="n"/>
      <c r="P396" s="7" t="n"/>
      <c r="R396" s="14" t="n"/>
      <c r="V396">
        <f>IF($A396="","",IF(COUNTIF($A$2:$A396,$A396)=1,1,0))</f>
        <v/>
      </c>
      <c r="W396">
        <f>IF($V396=1,SUMPRODUCT(--($Y$2:$Y$1501&lt;$Y396))+1,"")</f>
        <v/>
      </c>
      <c r="X396">
        <f>IF($A396="","",IF(OR($T396=TRUE(),$T396="TRUE"),1,0))</f>
        <v/>
      </c>
      <c r="Y396">
        <f>IF($V396=1,IFERROR(IF(VALUE($A396)&lt;100000000,VALUE($A396),1000000000),IFERROR(IF(VALUE(MID($A396,2,20))&lt;100000000,VALUE(MID($A396,2,20)),1000000000),1000000000))+ROW()/100000,"")</f>
        <v/>
      </c>
    </row>
    <row r="397">
      <c r="F397" s="7">
        <f>IF($A397="","",E397*L397/100)</f>
        <v/>
      </c>
      <c r="J397" s="7" t="n"/>
      <c r="K397" s="7">
        <f>IF($A397="","",N397*U397/100)</f>
        <v/>
      </c>
      <c r="L397" s="7">
        <f>IF($A397="","",N397-K397)</f>
        <v/>
      </c>
      <c r="M397" s="7">
        <f>IF($A397="","",L397-F397)</f>
        <v/>
      </c>
      <c r="N397" s="7" t="n"/>
      <c r="O397" s="7" t="n"/>
      <c r="P397" s="7" t="n"/>
      <c r="R397" s="14" t="n"/>
      <c r="V397">
        <f>IF($A397="","",IF(COUNTIF($A$2:$A397,$A397)=1,1,0))</f>
        <v/>
      </c>
      <c r="W397">
        <f>IF($V397=1,SUMPRODUCT(--($Y$2:$Y$1501&lt;$Y397))+1,"")</f>
        <v/>
      </c>
      <c r="X397">
        <f>IF($A397="","",IF(OR($T397=TRUE(),$T397="TRUE"),1,0))</f>
        <v/>
      </c>
      <c r="Y397">
        <f>IF($V397=1,IFERROR(IF(VALUE($A397)&lt;100000000,VALUE($A397),1000000000),IFERROR(IF(VALUE(MID($A397,2,20))&lt;100000000,VALUE(MID($A397,2,20)),1000000000),1000000000))+ROW()/100000,"")</f>
        <v/>
      </c>
    </row>
    <row r="398">
      <c r="F398" s="7">
        <f>IF($A398="","",E398*L398/100)</f>
        <v/>
      </c>
      <c r="J398" s="7" t="n"/>
      <c r="K398" s="7">
        <f>IF($A398="","",N398*U398/100)</f>
        <v/>
      </c>
      <c r="L398" s="7">
        <f>IF($A398="","",N398-K398)</f>
        <v/>
      </c>
      <c r="M398" s="7">
        <f>IF($A398="","",L398-F398)</f>
        <v/>
      </c>
      <c r="N398" s="7" t="n"/>
      <c r="O398" s="7" t="n"/>
      <c r="P398" s="7" t="n"/>
      <c r="R398" s="14" t="n"/>
      <c r="V398">
        <f>IF($A398="","",IF(COUNTIF($A$2:$A398,$A398)=1,1,0))</f>
        <v/>
      </c>
      <c r="W398">
        <f>IF($V398=1,SUMPRODUCT(--($Y$2:$Y$1501&lt;$Y398))+1,"")</f>
        <v/>
      </c>
      <c r="X398">
        <f>IF($A398="","",IF(OR($T398=TRUE(),$T398="TRUE"),1,0))</f>
        <v/>
      </c>
      <c r="Y398">
        <f>IF($V398=1,IFERROR(IF(VALUE($A398)&lt;100000000,VALUE($A398),1000000000),IFERROR(IF(VALUE(MID($A398,2,20))&lt;100000000,VALUE(MID($A398,2,20)),1000000000),1000000000))+ROW()/100000,"")</f>
        <v/>
      </c>
    </row>
    <row r="399">
      <c r="F399" s="7">
        <f>IF($A399="","",E399*L399/100)</f>
        <v/>
      </c>
      <c r="J399" s="7" t="n"/>
      <c r="K399" s="7">
        <f>IF($A399="","",N399*U399/100)</f>
        <v/>
      </c>
      <c r="L399" s="7">
        <f>IF($A399="","",N399-K399)</f>
        <v/>
      </c>
      <c r="M399" s="7">
        <f>IF($A399="","",L399-F399)</f>
        <v/>
      </c>
      <c r="N399" s="7" t="n"/>
      <c r="O399" s="7" t="n"/>
      <c r="P399" s="7" t="n"/>
      <c r="R399" s="14" t="n"/>
      <c r="V399">
        <f>IF($A399="","",IF(COUNTIF($A$2:$A399,$A399)=1,1,0))</f>
        <v/>
      </c>
      <c r="W399">
        <f>IF($V399=1,SUMPRODUCT(--($Y$2:$Y$1501&lt;$Y399))+1,"")</f>
        <v/>
      </c>
      <c r="X399">
        <f>IF($A399="","",IF(OR($T399=TRUE(),$T399="TRUE"),1,0))</f>
        <v/>
      </c>
      <c r="Y399">
        <f>IF($V399=1,IFERROR(IF(VALUE($A399)&lt;100000000,VALUE($A399),1000000000),IFERROR(IF(VALUE(MID($A399,2,20))&lt;100000000,VALUE(MID($A399,2,20)),1000000000),1000000000))+ROW()/100000,"")</f>
        <v/>
      </c>
    </row>
    <row r="400">
      <c r="F400" s="7">
        <f>IF($A400="","",E400*L400/100)</f>
        <v/>
      </c>
      <c r="J400" s="7" t="n"/>
      <c r="K400" s="7">
        <f>IF($A400="","",N400*U400/100)</f>
        <v/>
      </c>
      <c r="L400" s="7">
        <f>IF($A400="","",N400-K400)</f>
        <v/>
      </c>
      <c r="M400" s="7">
        <f>IF($A400="","",L400-F400)</f>
        <v/>
      </c>
      <c r="N400" s="7" t="n"/>
      <c r="O400" s="7" t="n"/>
      <c r="P400" s="7" t="n"/>
      <c r="R400" s="14" t="n"/>
      <c r="V400">
        <f>IF($A400="","",IF(COUNTIF($A$2:$A400,$A400)=1,1,0))</f>
        <v/>
      </c>
      <c r="W400">
        <f>IF($V400=1,SUMPRODUCT(--($Y$2:$Y$1501&lt;$Y400))+1,"")</f>
        <v/>
      </c>
      <c r="X400">
        <f>IF($A400="","",IF(OR($T400=TRUE(),$T400="TRUE"),1,0))</f>
        <v/>
      </c>
      <c r="Y400">
        <f>IF($V400=1,IFERROR(IF(VALUE($A400)&lt;100000000,VALUE($A400),1000000000),IFERROR(IF(VALUE(MID($A400,2,20))&lt;100000000,VALUE(MID($A400,2,20)),1000000000),1000000000))+ROW()/100000,"")</f>
        <v/>
      </c>
    </row>
    <row r="401">
      <c r="F401" s="7">
        <f>IF($A401="","",E401*L401/100)</f>
        <v/>
      </c>
      <c r="J401" s="7" t="n"/>
      <c r="K401" s="7">
        <f>IF($A401="","",N401*U401/100)</f>
        <v/>
      </c>
      <c r="L401" s="7">
        <f>IF($A401="","",N401-K401)</f>
        <v/>
      </c>
      <c r="M401" s="7">
        <f>IF($A401="","",L401-F401)</f>
        <v/>
      </c>
      <c r="N401" s="7" t="n"/>
      <c r="O401" s="7" t="n"/>
      <c r="P401" s="7" t="n"/>
      <c r="R401" s="14" t="n"/>
      <c r="V401">
        <f>IF($A401="","",IF(COUNTIF($A$2:$A401,$A401)=1,1,0))</f>
        <v/>
      </c>
      <c r="W401">
        <f>IF($V401=1,SUMPRODUCT(--($Y$2:$Y$1501&lt;$Y401))+1,"")</f>
        <v/>
      </c>
      <c r="X401">
        <f>IF($A401="","",IF(OR($T401=TRUE(),$T401="TRUE"),1,0))</f>
        <v/>
      </c>
      <c r="Y401">
        <f>IF($V401=1,IFERROR(IF(VALUE($A401)&lt;100000000,VALUE($A401),1000000000),IFERROR(IF(VALUE(MID($A401,2,20))&lt;100000000,VALUE(MID($A401,2,20)),1000000000),1000000000))+ROW()/100000,"")</f>
        <v/>
      </c>
    </row>
    <row r="402">
      <c r="F402" s="7">
        <f>IF($A402="","",E402*L402/100)</f>
        <v/>
      </c>
      <c r="J402" s="7" t="n"/>
      <c r="K402" s="7">
        <f>IF($A402="","",N402*U402/100)</f>
        <v/>
      </c>
      <c r="L402" s="7">
        <f>IF($A402="","",N402-K402)</f>
        <v/>
      </c>
      <c r="M402" s="7">
        <f>IF($A402="","",L402-F402)</f>
        <v/>
      </c>
      <c r="N402" s="7" t="n"/>
      <c r="O402" s="7" t="n"/>
      <c r="P402" s="7" t="n"/>
      <c r="R402" s="14" t="n"/>
      <c r="V402">
        <f>IF($A402="","",IF(COUNTIF($A$2:$A402,$A402)=1,1,0))</f>
        <v/>
      </c>
      <c r="W402">
        <f>IF($V402=1,SUMPRODUCT(--($Y$2:$Y$1501&lt;$Y402))+1,"")</f>
        <v/>
      </c>
      <c r="X402">
        <f>IF($A402="","",IF(OR($T402=TRUE(),$T402="TRUE"),1,0))</f>
        <v/>
      </c>
      <c r="Y402">
        <f>IF($V402=1,IFERROR(IF(VALUE($A402)&lt;100000000,VALUE($A402),1000000000),IFERROR(IF(VALUE(MID($A402,2,20))&lt;100000000,VALUE(MID($A402,2,20)),1000000000),1000000000))+ROW()/100000,"")</f>
        <v/>
      </c>
    </row>
    <row r="403">
      <c r="F403" s="7">
        <f>IF($A403="","",E403*L403/100)</f>
        <v/>
      </c>
      <c r="J403" s="7" t="n"/>
      <c r="K403" s="7">
        <f>IF($A403="","",N403*U403/100)</f>
        <v/>
      </c>
      <c r="L403" s="7">
        <f>IF($A403="","",N403-K403)</f>
        <v/>
      </c>
      <c r="M403" s="7">
        <f>IF($A403="","",L403-F403)</f>
        <v/>
      </c>
      <c r="N403" s="7" t="n"/>
      <c r="O403" s="7" t="n"/>
      <c r="P403" s="7" t="n"/>
      <c r="R403" s="14" t="n"/>
      <c r="V403">
        <f>IF($A403="","",IF(COUNTIF($A$2:$A403,$A403)=1,1,0))</f>
        <v/>
      </c>
      <c r="W403">
        <f>IF($V403=1,SUMPRODUCT(--($Y$2:$Y$1501&lt;$Y403))+1,"")</f>
        <v/>
      </c>
      <c r="X403">
        <f>IF($A403="","",IF(OR($T403=TRUE(),$T403="TRUE"),1,0))</f>
        <v/>
      </c>
      <c r="Y403">
        <f>IF($V403=1,IFERROR(IF(VALUE($A403)&lt;100000000,VALUE($A403),1000000000),IFERROR(IF(VALUE(MID($A403,2,20))&lt;100000000,VALUE(MID($A403,2,20)),1000000000),1000000000))+ROW()/100000,"")</f>
        <v/>
      </c>
    </row>
    <row r="404">
      <c r="F404" s="7">
        <f>IF($A404="","",E404*L404/100)</f>
        <v/>
      </c>
      <c r="J404" s="7" t="n"/>
      <c r="K404" s="7">
        <f>IF($A404="","",N404*U404/100)</f>
        <v/>
      </c>
      <c r="L404" s="7">
        <f>IF($A404="","",N404-K404)</f>
        <v/>
      </c>
      <c r="M404" s="7">
        <f>IF($A404="","",L404-F404)</f>
        <v/>
      </c>
      <c r="N404" s="7" t="n"/>
      <c r="O404" s="7" t="n"/>
      <c r="P404" s="7" t="n"/>
      <c r="R404" s="14" t="n"/>
      <c r="V404">
        <f>IF($A404="","",IF(COUNTIF($A$2:$A404,$A404)=1,1,0))</f>
        <v/>
      </c>
      <c r="W404">
        <f>IF($V404=1,SUMPRODUCT(--($Y$2:$Y$1501&lt;$Y404))+1,"")</f>
        <v/>
      </c>
      <c r="X404">
        <f>IF($A404="","",IF(OR($T404=TRUE(),$T404="TRUE"),1,0))</f>
        <v/>
      </c>
      <c r="Y404">
        <f>IF($V404=1,IFERROR(IF(VALUE($A404)&lt;100000000,VALUE($A404),1000000000),IFERROR(IF(VALUE(MID($A404,2,20))&lt;100000000,VALUE(MID($A404,2,20)),1000000000),1000000000))+ROW()/100000,"")</f>
        <v/>
      </c>
    </row>
    <row r="405">
      <c r="F405" s="7">
        <f>IF($A405="","",E405*L405/100)</f>
        <v/>
      </c>
      <c r="J405" s="7" t="n"/>
      <c r="K405" s="7">
        <f>IF($A405="","",N405*U405/100)</f>
        <v/>
      </c>
      <c r="L405" s="7">
        <f>IF($A405="","",N405-K405)</f>
        <v/>
      </c>
      <c r="M405" s="7">
        <f>IF($A405="","",L405-F405)</f>
        <v/>
      </c>
      <c r="N405" s="7" t="n"/>
      <c r="O405" s="7" t="n"/>
      <c r="P405" s="7" t="n"/>
      <c r="R405" s="14" t="n"/>
      <c r="V405">
        <f>IF($A405="","",IF(COUNTIF($A$2:$A405,$A405)=1,1,0))</f>
        <v/>
      </c>
      <c r="W405">
        <f>IF($V405=1,SUMPRODUCT(--($Y$2:$Y$1501&lt;$Y405))+1,"")</f>
        <v/>
      </c>
      <c r="X405">
        <f>IF($A405="","",IF(OR($T405=TRUE(),$T405="TRUE"),1,0))</f>
        <v/>
      </c>
      <c r="Y405">
        <f>IF($V405=1,IFERROR(IF(VALUE($A405)&lt;100000000,VALUE($A405),1000000000),IFERROR(IF(VALUE(MID($A405,2,20))&lt;100000000,VALUE(MID($A405,2,20)),1000000000),1000000000))+ROW()/100000,"")</f>
        <v/>
      </c>
    </row>
    <row r="406">
      <c r="F406" s="7">
        <f>IF($A406="","",E406*L406/100)</f>
        <v/>
      </c>
      <c r="J406" s="7" t="n"/>
      <c r="K406" s="7">
        <f>IF($A406="","",N406*U406/100)</f>
        <v/>
      </c>
      <c r="L406" s="7">
        <f>IF($A406="","",N406-K406)</f>
        <v/>
      </c>
      <c r="M406" s="7">
        <f>IF($A406="","",L406-F406)</f>
        <v/>
      </c>
      <c r="N406" s="7" t="n"/>
      <c r="O406" s="7" t="n"/>
      <c r="P406" s="7" t="n"/>
      <c r="R406" s="14" t="n"/>
      <c r="V406">
        <f>IF($A406="","",IF(COUNTIF($A$2:$A406,$A406)=1,1,0))</f>
        <v/>
      </c>
      <c r="W406">
        <f>IF($V406=1,SUMPRODUCT(--($Y$2:$Y$1501&lt;$Y406))+1,"")</f>
        <v/>
      </c>
      <c r="X406">
        <f>IF($A406="","",IF(OR($T406=TRUE(),$T406="TRUE"),1,0))</f>
        <v/>
      </c>
      <c r="Y406">
        <f>IF($V406=1,IFERROR(IF(VALUE($A406)&lt;100000000,VALUE($A406),1000000000),IFERROR(IF(VALUE(MID($A406,2,20))&lt;100000000,VALUE(MID($A406,2,20)),1000000000),1000000000))+ROW()/100000,"")</f>
        <v/>
      </c>
    </row>
    <row r="407">
      <c r="F407" s="7">
        <f>IF($A407="","",E407*L407/100)</f>
        <v/>
      </c>
      <c r="J407" s="7" t="n"/>
      <c r="K407" s="7">
        <f>IF($A407="","",N407*U407/100)</f>
        <v/>
      </c>
      <c r="L407" s="7">
        <f>IF($A407="","",N407-K407)</f>
        <v/>
      </c>
      <c r="M407" s="7">
        <f>IF($A407="","",L407-F407)</f>
        <v/>
      </c>
      <c r="N407" s="7" t="n"/>
      <c r="O407" s="7" t="n"/>
      <c r="P407" s="7" t="n"/>
      <c r="R407" s="14" t="n"/>
      <c r="V407">
        <f>IF($A407="","",IF(COUNTIF($A$2:$A407,$A407)=1,1,0))</f>
        <v/>
      </c>
      <c r="W407">
        <f>IF($V407=1,SUMPRODUCT(--($Y$2:$Y$1501&lt;$Y407))+1,"")</f>
        <v/>
      </c>
      <c r="X407">
        <f>IF($A407="","",IF(OR($T407=TRUE(),$T407="TRUE"),1,0))</f>
        <v/>
      </c>
      <c r="Y407">
        <f>IF($V407=1,IFERROR(IF(VALUE($A407)&lt;100000000,VALUE($A407),1000000000),IFERROR(IF(VALUE(MID($A407,2,20))&lt;100000000,VALUE(MID($A407,2,20)),1000000000),1000000000))+ROW()/100000,"")</f>
        <v/>
      </c>
    </row>
    <row r="408">
      <c r="F408" s="7">
        <f>IF($A408="","",E408*L408/100)</f>
        <v/>
      </c>
      <c r="J408" s="7" t="n"/>
      <c r="K408" s="7">
        <f>IF($A408="","",N408*U408/100)</f>
        <v/>
      </c>
      <c r="L408" s="7">
        <f>IF($A408="","",N408-K408)</f>
        <v/>
      </c>
      <c r="M408" s="7">
        <f>IF($A408="","",L408-F408)</f>
        <v/>
      </c>
      <c r="N408" s="7" t="n"/>
      <c r="O408" s="7" t="n"/>
      <c r="P408" s="7" t="n"/>
      <c r="R408" s="14" t="n"/>
      <c r="V408">
        <f>IF($A408="","",IF(COUNTIF($A$2:$A408,$A408)=1,1,0))</f>
        <v/>
      </c>
      <c r="W408">
        <f>IF($V408=1,SUMPRODUCT(--($Y$2:$Y$1501&lt;$Y408))+1,"")</f>
        <v/>
      </c>
      <c r="X408">
        <f>IF($A408="","",IF(OR($T408=TRUE(),$T408="TRUE"),1,0))</f>
        <v/>
      </c>
      <c r="Y408">
        <f>IF($V408=1,IFERROR(IF(VALUE($A408)&lt;100000000,VALUE($A408),1000000000),IFERROR(IF(VALUE(MID($A408,2,20))&lt;100000000,VALUE(MID($A408,2,20)),1000000000),1000000000))+ROW()/100000,"")</f>
        <v/>
      </c>
    </row>
    <row r="409">
      <c r="F409" s="7">
        <f>IF($A409="","",E409*L409/100)</f>
        <v/>
      </c>
      <c r="J409" s="7" t="n"/>
      <c r="K409" s="7">
        <f>IF($A409="","",N409*U409/100)</f>
        <v/>
      </c>
      <c r="L409" s="7">
        <f>IF($A409="","",N409-K409)</f>
        <v/>
      </c>
      <c r="M409" s="7">
        <f>IF($A409="","",L409-F409)</f>
        <v/>
      </c>
      <c r="N409" s="7" t="n"/>
      <c r="O409" s="7" t="n"/>
      <c r="P409" s="7" t="n"/>
      <c r="R409" s="14" t="n"/>
      <c r="V409">
        <f>IF($A409="","",IF(COUNTIF($A$2:$A409,$A409)=1,1,0))</f>
        <v/>
      </c>
      <c r="W409">
        <f>IF($V409=1,SUMPRODUCT(--($Y$2:$Y$1501&lt;$Y409))+1,"")</f>
        <v/>
      </c>
      <c r="X409">
        <f>IF($A409="","",IF(OR($T409=TRUE(),$T409="TRUE"),1,0))</f>
        <v/>
      </c>
      <c r="Y409">
        <f>IF($V409=1,IFERROR(IF(VALUE($A409)&lt;100000000,VALUE($A409),1000000000),IFERROR(IF(VALUE(MID($A409,2,20))&lt;100000000,VALUE(MID($A409,2,20)),1000000000),1000000000))+ROW()/100000,"")</f>
        <v/>
      </c>
    </row>
    <row r="410">
      <c r="F410" s="7">
        <f>IF($A410="","",E410*L410/100)</f>
        <v/>
      </c>
      <c r="J410" s="7" t="n"/>
      <c r="K410" s="7">
        <f>IF($A410="","",N410*U410/100)</f>
        <v/>
      </c>
      <c r="L410" s="7">
        <f>IF($A410="","",N410-K410)</f>
        <v/>
      </c>
      <c r="M410" s="7">
        <f>IF($A410="","",L410-F410)</f>
        <v/>
      </c>
      <c r="N410" s="7" t="n"/>
      <c r="O410" s="7" t="n"/>
      <c r="P410" s="7" t="n"/>
      <c r="R410" s="14" t="n"/>
      <c r="V410">
        <f>IF($A410="","",IF(COUNTIF($A$2:$A410,$A410)=1,1,0))</f>
        <v/>
      </c>
      <c r="W410">
        <f>IF($V410=1,SUMPRODUCT(--($Y$2:$Y$1501&lt;$Y410))+1,"")</f>
        <v/>
      </c>
      <c r="X410">
        <f>IF($A410="","",IF(OR($T410=TRUE(),$T410="TRUE"),1,0))</f>
        <v/>
      </c>
      <c r="Y410">
        <f>IF($V410=1,IFERROR(IF(VALUE($A410)&lt;100000000,VALUE($A410),1000000000),IFERROR(IF(VALUE(MID($A410,2,20))&lt;100000000,VALUE(MID($A410,2,20)),1000000000),1000000000))+ROW()/100000,"")</f>
        <v/>
      </c>
    </row>
    <row r="411">
      <c r="F411" s="7">
        <f>IF($A411="","",E411*L411/100)</f>
        <v/>
      </c>
      <c r="J411" s="7" t="n"/>
      <c r="K411" s="7">
        <f>IF($A411="","",N411*U411/100)</f>
        <v/>
      </c>
      <c r="L411" s="7">
        <f>IF($A411="","",N411-K411)</f>
        <v/>
      </c>
      <c r="M411" s="7">
        <f>IF($A411="","",L411-F411)</f>
        <v/>
      </c>
      <c r="N411" s="7" t="n"/>
      <c r="O411" s="7" t="n"/>
      <c r="P411" s="7" t="n"/>
      <c r="R411" s="14" t="n"/>
      <c r="V411">
        <f>IF($A411="","",IF(COUNTIF($A$2:$A411,$A411)=1,1,0))</f>
        <v/>
      </c>
      <c r="W411">
        <f>IF($V411=1,SUMPRODUCT(--($Y$2:$Y$1501&lt;$Y411))+1,"")</f>
        <v/>
      </c>
      <c r="X411">
        <f>IF($A411="","",IF(OR($T411=TRUE(),$T411="TRUE"),1,0))</f>
        <v/>
      </c>
      <c r="Y411">
        <f>IF($V411=1,IFERROR(IF(VALUE($A411)&lt;100000000,VALUE($A411),1000000000),IFERROR(IF(VALUE(MID($A411,2,20))&lt;100000000,VALUE(MID($A411,2,20)),1000000000),1000000000))+ROW()/100000,"")</f>
        <v/>
      </c>
    </row>
    <row r="412">
      <c r="F412" s="7">
        <f>IF($A412="","",E412*L412/100)</f>
        <v/>
      </c>
      <c r="J412" s="7" t="n"/>
      <c r="K412" s="7">
        <f>IF($A412="","",N412*U412/100)</f>
        <v/>
      </c>
      <c r="L412" s="7">
        <f>IF($A412="","",N412-K412)</f>
        <v/>
      </c>
      <c r="M412" s="7">
        <f>IF($A412="","",L412-F412)</f>
        <v/>
      </c>
      <c r="N412" s="7" t="n"/>
      <c r="O412" s="7" t="n"/>
      <c r="P412" s="7" t="n"/>
      <c r="R412" s="14" t="n"/>
      <c r="V412">
        <f>IF($A412="","",IF(COUNTIF($A$2:$A412,$A412)=1,1,0))</f>
        <v/>
      </c>
      <c r="W412">
        <f>IF($V412=1,SUMPRODUCT(--($Y$2:$Y$1501&lt;$Y412))+1,"")</f>
        <v/>
      </c>
      <c r="X412">
        <f>IF($A412="","",IF(OR($T412=TRUE(),$T412="TRUE"),1,0))</f>
        <v/>
      </c>
      <c r="Y412">
        <f>IF($V412=1,IFERROR(IF(VALUE($A412)&lt;100000000,VALUE($A412),1000000000),IFERROR(IF(VALUE(MID($A412,2,20))&lt;100000000,VALUE(MID($A412,2,20)),1000000000),1000000000))+ROW()/100000,"")</f>
        <v/>
      </c>
    </row>
    <row r="413">
      <c r="F413" s="7">
        <f>IF($A413="","",E413*L413/100)</f>
        <v/>
      </c>
      <c r="J413" s="7" t="n"/>
      <c r="K413" s="7">
        <f>IF($A413="","",N413*U413/100)</f>
        <v/>
      </c>
      <c r="L413" s="7">
        <f>IF($A413="","",N413-K413)</f>
        <v/>
      </c>
      <c r="M413" s="7">
        <f>IF($A413="","",L413-F413)</f>
        <v/>
      </c>
      <c r="N413" s="7" t="n"/>
      <c r="O413" s="7" t="n"/>
      <c r="P413" s="7" t="n"/>
      <c r="R413" s="14" t="n"/>
      <c r="V413">
        <f>IF($A413="","",IF(COUNTIF($A$2:$A413,$A413)=1,1,0))</f>
        <v/>
      </c>
      <c r="W413">
        <f>IF($V413=1,SUMPRODUCT(--($Y$2:$Y$1501&lt;$Y413))+1,"")</f>
        <v/>
      </c>
      <c r="X413">
        <f>IF($A413="","",IF(OR($T413=TRUE(),$T413="TRUE"),1,0))</f>
        <v/>
      </c>
      <c r="Y413">
        <f>IF($V413=1,IFERROR(IF(VALUE($A413)&lt;100000000,VALUE($A413),1000000000),IFERROR(IF(VALUE(MID($A413,2,20))&lt;100000000,VALUE(MID($A413,2,20)),1000000000),1000000000))+ROW()/100000,"")</f>
        <v/>
      </c>
    </row>
    <row r="414">
      <c r="F414" s="7">
        <f>IF($A414="","",E414*L414/100)</f>
        <v/>
      </c>
      <c r="J414" s="7" t="n"/>
      <c r="K414" s="7">
        <f>IF($A414="","",N414*U414/100)</f>
        <v/>
      </c>
      <c r="L414" s="7">
        <f>IF($A414="","",N414-K414)</f>
        <v/>
      </c>
      <c r="M414" s="7">
        <f>IF($A414="","",L414-F414)</f>
        <v/>
      </c>
      <c r="N414" s="7" t="n"/>
      <c r="O414" s="7" t="n"/>
      <c r="P414" s="7" t="n"/>
      <c r="R414" s="14" t="n"/>
      <c r="V414">
        <f>IF($A414="","",IF(COUNTIF($A$2:$A414,$A414)=1,1,0))</f>
        <v/>
      </c>
      <c r="W414">
        <f>IF($V414=1,SUMPRODUCT(--($Y$2:$Y$1501&lt;$Y414))+1,"")</f>
        <v/>
      </c>
      <c r="X414">
        <f>IF($A414="","",IF(OR($T414=TRUE(),$T414="TRUE"),1,0))</f>
        <v/>
      </c>
      <c r="Y414">
        <f>IF($V414=1,IFERROR(IF(VALUE($A414)&lt;100000000,VALUE($A414),1000000000),IFERROR(IF(VALUE(MID($A414,2,20))&lt;100000000,VALUE(MID($A414,2,20)),1000000000),1000000000))+ROW()/100000,"")</f>
        <v/>
      </c>
    </row>
    <row r="415">
      <c r="F415" s="7">
        <f>IF($A415="","",E415*L415/100)</f>
        <v/>
      </c>
      <c r="J415" s="7" t="n"/>
      <c r="K415" s="7">
        <f>IF($A415="","",N415*U415/100)</f>
        <v/>
      </c>
      <c r="L415" s="7">
        <f>IF($A415="","",N415-K415)</f>
        <v/>
      </c>
      <c r="M415" s="7">
        <f>IF($A415="","",L415-F415)</f>
        <v/>
      </c>
      <c r="N415" s="7" t="n"/>
      <c r="O415" s="7" t="n"/>
      <c r="P415" s="7" t="n"/>
      <c r="R415" s="14" t="n"/>
      <c r="V415">
        <f>IF($A415="","",IF(COUNTIF($A$2:$A415,$A415)=1,1,0))</f>
        <v/>
      </c>
      <c r="W415">
        <f>IF($V415=1,SUMPRODUCT(--($Y$2:$Y$1501&lt;$Y415))+1,"")</f>
        <v/>
      </c>
      <c r="X415">
        <f>IF($A415="","",IF(OR($T415=TRUE(),$T415="TRUE"),1,0))</f>
        <v/>
      </c>
      <c r="Y415">
        <f>IF($V415=1,IFERROR(IF(VALUE($A415)&lt;100000000,VALUE($A415),1000000000),IFERROR(IF(VALUE(MID($A415,2,20))&lt;100000000,VALUE(MID($A415,2,20)),1000000000),1000000000))+ROW()/100000,"")</f>
        <v/>
      </c>
    </row>
    <row r="416">
      <c r="F416" s="7">
        <f>IF($A416="","",E416*L416/100)</f>
        <v/>
      </c>
      <c r="J416" s="7" t="n"/>
      <c r="K416" s="7">
        <f>IF($A416="","",N416*U416/100)</f>
        <v/>
      </c>
      <c r="L416" s="7">
        <f>IF($A416="","",N416-K416)</f>
        <v/>
      </c>
      <c r="M416" s="7">
        <f>IF($A416="","",L416-F416)</f>
        <v/>
      </c>
      <c r="N416" s="7" t="n"/>
      <c r="O416" s="7" t="n"/>
      <c r="P416" s="7" t="n"/>
      <c r="R416" s="14" t="n"/>
      <c r="V416">
        <f>IF($A416="","",IF(COUNTIF($A$2:$A416,$A416)=1,1,0))</f>
        <v/>
      </c>
      <c r="W416">
        <f>IF($V416=1,SUMPRODUCT(--($Y$2:$Y$1501&lt;$Y416))+1,"")</f>
        <v/>
      </c>
      <c r="X416">
        <f>IF($A416="","",IF(OR($T416=TRUE(),$T416="TRUE"),1,0))</f>
        <v/>
      </c>
      <c r="Y416">
        <f>IF($V416=1,IFERROR(IF(VALUE($A416)&lt;100000000,VALUE($A416),1000000000),IFERROR(IF(VALUE(MID($A416,2,20))&lt;100000000,VALUE(MID($A416,2,20)),1000000000),1000000000))+ROW()/100000,"")</f>
        <v/>
      </c>
    </row>
    <row r="417">
      <c r="F417" s="7">
        <f>IF($A417="","",E417*L417/100)</f>
        <v/>
      </c>
      <c r="J417" s="7" t="n"/>
      <c r="K417" s="7">
        <f>IF($A417="","",N417*U417/100)</f>
        <v/>
      </c>
      <c r="L417" s="7">
        <f>IF($A417="","",N417-K417)</f>
        <v/>
      </c>
      <c r="M417" s="7">
        <f>IF($A417="","",L417-F417)</f>
        <v/>
      </c>
      <c r="N417" s="7" t="n"/>
      <c r="O417" s="7" t="n"/>
      <c r="P417" s="7" t="n"/>
      <c r="R417" s="14" t="n"/>
      <c r="V417">
        <f>IF($A417="","",IF(COUNTIF($A$2:$A417,$A417)=1,1,0))</f>
        <v/>
      </c>
      <c r="W417">
        <f>IF($V417=1,SUMPRODUCT(--($Y$2:$Y$1501&lt;$Y417))+1,"")</f>
        <v/>
      </c>
      <c r="X417">
        <f>IF($A417="","",IF(OR($T417=TRUE(),$T417="TRUE"),1,0))</f>
        <v/>
      </c>
      <c r="Y417">
        <f>IF($V417=1,IFERROR(IF(VALUE($A417)&lt;100000000,VALUE($A417),1000000000),IFERROR(IF(VALUE(MID($A417,2,20))&lt;100000000,VALUE(MID($A417,2,20)),1000000000),1000000000))+ROW()/100000,"")</f>
        <v/>
      </c>
    </row>
    <row r="418">
      <c r="F418" s="7">
        <f>IF($A418="","",E418*L418/100)</f>
        <v/>
      </c>
      <c r="J418" s="7" t="n"/>
      <c r="K418" s="7">
        <f>IF($A418="","",N418*U418/100)</f>
        <v/>
      </c>
      <c r="L418" s="7">
        <f>IF($A418="","",N418-K418)</f>
        <v/>
      </c>
      <c r="M418" s="7">
        <f>IF($A418="","",L418-F418)</f>
        <v/>
      </c>
      <c r="N418" s="7" t="n"/>
      <c r="O418" s="7" t="n"/>
      <c r="P418" s="7" t="n"/>
      <c r="R418" s="14" t="n"/>
      <c r="V418">
        <f>IF($A418="","",IF(COUNTIF($A$2:$A418,$A418)=1,1,0))</f>
        <v/>
      </c>
      <c r="W418">
        <f>IF($V418=1,SUMPRODUCT(--($Y$2:$Y$1501&lt;$Y418))+1,"")</f>
        <v/>
      </c>
      <c r="X418">
        <f>IF($A418="","",IF(OR($T418=TRUE(),$T418="TRUE"),1,0))</f>
        <v/>
      </c>
      <c r="Y418">
        <f>IF($V418=1,IFERROR(IF(VALUE($A418)&lt;100000000,VALUE($A418),1000000000),IFERROR(IF(VALUE(MID($A418,2,20))&lt;100000000,VALUE(MID($A418,2,20)),1000000000),1000000000))+ROW()/100000,"")</f>
        <v/>
      </c>
    </row>
    <row r="419">
      <c r="F419" s="7">
        <f>IF($A419="","",E419*L419/100)</f>
        <v/>
      </c>
      <c r="J419" s="7" t="n"/>
      <c r="K419" s="7">
        <f>IF($A419="","",N419*U419/100)</f>
        <v/>
      </c>
      <c r="L419" s="7">
        <f>IF($A419="","",N419-K419)</f>
        <v/>
      </c>
      <c r="M419" s="7">
        <f>IF($A419="","",L419-F419)</f>
        <v/>
      </c>
      <c r="N419" s="7" t="n"/>
      <c r="O419" s="7" t="n"/>
      <c r="P419" s="7" t="n"/>
      <c r="R419" s="14" t="n"/>
      <c r="V419">
        <f>IF($A419="","",IF(COUNTIF($A$2:$A419,$A419)=1,1,0))</f>
        <v/>
      </c>
      <c r="W419">
        <f>IF($V419=1,SUMPRODUCT(--($Y$2:$Y$1501&lt;$Y419))+1,"")</f>
        <v/>
      </c>
      <c r="X419">
        <f>IF($A419="","",IF(OR($T419=TRUE(),$T419="TRUE"),1,0))</f>
        <v/>
      </c>
      <c r="Y419">
        <f>IF($V419=1,IFERROR(IF(VALUE($A419)&lt;100000000,VALUE($A419),1000000000),IFERROR(IF(VALUE(MID($A419,2,20))&lt;100000000,VALUE(MID($A419,2,20)),1000000000),1000000000))+ROW()/100000,"")</f>
        <v/>
      </c>
    </row>
    <row r="420">
      <c r="F420" s="7">
        <f>IF($A420="","",E420*L420/100)</f>
        <v/>
      </c>
      <c r="J420" s="7" t="n"/>
      <c r="K420" s="7">
        <f>IF($A420="","",N420*U420/100)</f>
        <v/>
      </c>
      <c r="L420" s="7">
        <f>IF($A420="","",N420-K420)</f>
        <v/>
      </c>
      <c r="M420" s="7">
        <f>IF($A420="","",L420-F420)</f>
        <v/>
      </c>
      <c r="N420" s="7" t="n"/>
      <c r="O420" s="7" t="n"/>
      <c r="P420" s="7" t="n"/>
      <c r="R420" s="14" t="n"/>
      <c r="V420">
        <f>IF($A420="","",IF(COUNTIF($A$2:$A420,$A420)=1,1,0))</f>
        <v/>
      </c>
      <c r="W420">
        <f>IF($V420=1,SUMPRODUCT(--($Y$2:$Y$1501&lt;$Y420))+1,"")</f>
        <v/>
      </c>
      <c r="X420">
        <f>IF($A420="","",IF(OR($T420=TRUE(),$T420="TRUE"),1,0))</f>
        <v/>
      </c>
      <c r="Y420">
        <f>IF($V420=1,IFERROR(IF(VALUE($A420)&lt;100000000,VALUE($A420),1000000000),IFERROR(IF(VALUE(MID($A420,2,20))&lt;100000000,VALUE(MID($A420,2,20)),1000000000),1000000000))+ROW()/100000,"")</f>
        <v/>
      </c>
    </row>
    <row r="421">
      <c r="F421" s="7">
        <f>IF($A421="","",E421*L421/100)</f>
        <v/>
      </c>
      <c r="J421" s="7" t="n"/>
      <c r="K421" s="7">
        <f>IF($A421="","",N421*U421/100)</f>
        <v/>
      </c>
      <c r="L421" s="7">
        <f>IF($A421="","",N421-K421)</f>
        <v/>
      </c>
      <c r="M421" s="7">
        <f>IF($A421="","",L421-F421)</f>
        <v/>
      </c>
      <c r="N421" s="7" t="n"/>
      <c r="O421" s="7" t="n"/>
      <c r="P421" s="7" t="n"/>
      <c r="R421" s="14" t="n"/>
      <c r="V421">
        <f>IF($A421="","",IF(COUNTIF($A$2:$A421,$A421)=1,1,0))</f>
        <v/>
      </c>
      <c r="W421">
        <f>IF($V421=1,SUMPRODUCT(--($Y$2:$Y$1501&lt;$Y421))+1,"")</f>
        <v/>
      </c>
      <c r="X421">
        <f>IF($A421="","",IF(OR($T421=TRUE(),$T421="TRUE"),1,0))</f>
        <v/>
      </c>
      <c r="Y421">
        <f>IF($V421=1,IFERROR(IF(VALUE($A421)&lt;100000000,VALUE($A421),1000000000),IFERROR(IF(VALUE(MID($A421,2,20))&lt;100000000,VALUE(MID($A421,2,20)),1000000000),1000000000))+ROW()/100000,"")</f>
        <v/>
      </c>
    </row>
    <row r="422">
      <c r="F422" s="7">
        <f>IF($A422="","",E422*L422/100)</f>
        <v/>
      </c>
      <c r="J422" s="7" t="n"/>
      <c r="K422" s="7">
        <f>IF($A422="","",N422*U422/100)</f>
        <v/>
      </c>
      <c r="L422" s="7">
        <f>IF($A422="","",N422-K422)</f>
        <v/>
      </c>
      <c r="M422" s="7">
        <f>IF($A422="","",L422-F422)</f>
        <v/>
      </c>
      <c r="N422" s="7" t="n"/>
      <c r="O422" s="7" t="n"/>
      <c r="P422" s="7" t="n"/>
      <c r="R422" s="14" t="n"/>
      <c r="V422">
        <f>IF($A422="","",IF(COUNTIF($A$2:$A422,$A422)=1,1,0))</f>
        <v/>
      </c>
      <c r="W422">
        <f>IF($V422=1,SUMPRODUCT(--($Y$2:$Y$1501&lt;$Y422))+1,"")</f>
        <v/>
      </c>
      <c r="X422">
        <f>IF($A422="","",IF(OR($T422=TRUE(),$T422="TRUE"),1,0))</f>
        <v/>
      </c>
      <c r="Y422">
        <f>IF($V422=1,IFERROR(IF(VALUE($A422)&lt;100000000,VALUE($A422),1000000000),IFERROR(IF(VALUE(MID($A422,2,20))&lt;100000000,VALUE(MID($A422,2,20)),1000000000),1000000000))+ROW()/100000,"")</f>
        <v/>
      </c>
    </row>
    <row r="423">
      <c r="F423" s="7">
        <f>IF($A423="","",E423*L423/100)</f>
        <v/>
      </c>
      <c r="J423" s="7" t="n"/>
      <c r="K423" s="7">
        <f>IF($A423="","",N423*U423/100)</f>
        <v/>
      </c>
      <c r="L423" s="7">
        <f>IF($A423="","",N423-K423)</f>
        <v/>
      </c>
      <c r="M423" s="7">
        <f>IF($A423="","",L423-F423)</f>
        <v/>
      </c>
      <c r="N423" s="7" t="n"/>
      <c r="O423" s="7" t="n"/>
      <c r="P423" s="7" t="n"/>
      <c r="R423" s="14" t="n"/>
      <c r="V423">
        <f>IF($A423="","",IF(COUNTIF($A$2:$A423,$A423)=1,1,0))</f>
        <v/>
      </c>
      <c r="W423">
        <f>IF($V423=1,SUMPRODUCT(--($Y$2:$Y$1501&lt;$Y423))+1,"")</f>
        <v/>
      </c>
      <c r="X423">
        <f>IF($A423="","",IF(OR($T423=TRUE(),$T423="TRUE"),1,0))</f>
        <v/>
      </c>
      <c r="Y423">
        <f>IF($V423=1,IFERROR(IF(VALUE($A423)&lt;100000000,VALUE($A423),1000000000),IFERROR(IF(VALUE(MID($A423,2,20))&lt;100000000,VALUE(MID($A423,2,20)),1000000000),1000000000))+ROW()/100000,"")</f>
        <v/>
      </c>
    </row>
    <row r="424">
      <c r="F424" s="7">
        <f>IF($A424="","",E424*L424/100)</f>
        <v/>
      </c>
      <c r="J424" s="7" t="n"/>
      <c r="K424" s="7">
        <f>IF($A424="","",N424*U424/100)</f>
        <v/>
      </c>
      <c r="L424" s="7">
        <f>IF($A424="","",N424-K424)</f>
        <v/>
      </c>
      <c r="M424" s="7">
        <f>IF($A424="","",L424-F424)</f>
        <v/>
      </c>
      <c r="N424" s="7" t="n"/>
      <c r="O424" s="7" t="n"/>
      <c r="P424" s="7" t="n"/>
      <c r="R424" s="14" t="n"/>
      <c r="V424">
        <f>IF($A424="","",IF(COUNTIF($A$2:$A424,$A424)=1,1,0))</f>
        <v/>
      </c>
      <c r="W424">
        <f>IF($V424=1,SUMPRODUCT(--($Y$2:$Y$1501&lt;$Y424))+1,"")</f>
        <v/>
      </c>
      <c r="X424">
        <f>IF($A424="","",IF(OR($T424=TRUE(),$T424="TRUE"),1,0))</f>
        <v/>
      </c>
      <c r="Y424">
        <f>IF($V424=1,IFERROR(IF(VALUE($A424)&lt;100000000,VALUE($A424),1000000000),IFERROR(IF(VALUE(MID($A424,2,20))&lt;100000000,VALUE(MID($A424,2,20)),1000000000),1000000000))+ROW()/100000,"")</f>
        <v/>
      </c>
    </row>
    <row r="425">
      <c r="F425" s="7">
        <f>IF($A425="","",E425*L425/100)</f>
        <v/>
      </c>
      <c r="J425" s="7" t="n"/>
      <c r="K425" s="7">
        <f>IF($A425="","",N425*U425/100)</f>
        <v/>
      </c>
      <c r="L425" s="7">
        <f>IF($A425="","",N425-K425)</f>
        <v/>
      </c>
      <c r="M425" s="7">
        <f>IF($A425="","",L425-F425)</f>
        <v/>
      </c>
      <c r="N425" s="7" t="n"/>
      <c r="O425" s="7" t="n"/>
      <c r="P425" s="7" t="n"/>
      <c r="R425" s="14" t="n"/>
      <c r="V425">
        <f>IF($A425="","",IF(COUNTIF($A$2:$A425,$A425)=1,1,0))</f>
        <v/>
      </c>
      <c r="W425">
        <f>IF($V425=1,SUMPRODUCT(--($Y$2:$Y$1501&lt;$Y425))+1,"")</f>
        <v/>
      </c>
      <c r="X425">
        <f>IF($A425="","",IF(OR($T425=TRUE(),$T425="TRUE"),1,0))</f>
        <v/>
      </c>
      <c r="Y425">
        <f>IF($V425=1,IFERROR(IF(VALUE($A425)&lt;100000000,VALUE($A425),1000000000),IFERROR(IF(VALUE(MID($A425,2,20))&lt;100000000,VALUE(MID($A425,2,20)),1000000000),1000000000))+ROW()/100000,"")</f>
        <v/>
      </c>
    </row>
    <row r="426">
      <c r="F426" s="7">
        <f>IF($A426="","",E426*L426/100)</f>
        <v/>
      </c>
      <c r="J426" s="7" t="n"/>
      <c r="K426" s="7">
        <f>IF($A426="","",N426*U426/100)</f>
        <v/>
      </c>
      <c r="L426" s="7">
        <f>IF($A426="","",N426-K426)</f>
        <v/>
      </c>
      <c r="M426" s="7">
        <f>IF($A426="","",L426-F426)</f>
        <v/>
      </c>
      <c r="N426" s="7" t="n"/>
      <c r="O426" s="7" t="n"/>
      <c r="P426" s="7" t="n"/>
      <c r="R426" s="14" t="n"/>
      <c r="V426">
        <f>IF($A426="","",IF(COUNTIF($A$2:$A426,$A426)=1,1,0))</f>
        <v/>
      </c>
      <c r="W426">
        <f>IF($V426=1,SUMPRODUCT(--($Y$2:$Y$1501&lt;$Y426))+1,"")</f>
        <v/>
      </c>
      <c r="X426">
        <f>IF($A426="","",IF(OR($T426=TRUE(),$T426="TRUE"),1,0))</f>
        <v/>
      </c>
      <c r="Y426">
        <f>IF($V426=1,IFERROR(IF(VALUE($A426)&lt;100000000,VALUE($A426),1000000000),IFERROR(IF(VALUE(MID($A426,2,20))&lt;100000000,VALUE(MID($A426,2,20)),1000000000),1000000000))+ROW()/100000,"")</f>
        <v/>
      </c>
    </row>
    <row r="427">
      <c r="F427" s="7">
        <f>IF($A427="","",E427*L427/100)</f>
        <v/>
      </c>
      <c r="J427" s="7" t="n"/>
      <c r="K427" s="7">
        <f>IF($A427="","",N427*U427/100)</f>
        <v/>
      </c>
      <c r="L427" s="7">
        <f>IF($A427="","",N427-K427)</f>
        <v/>
      </c>
      <c r="M427" s="7">
        <f>IF($A427="","",L427-F427)</f>
        <v/>
      </c>
      <c r="N427" s="7" t="n"/>
      <c r="O427" s="7" t="n"/>
      <c r="P427" s="7" t="n"/>
      <c r="R427" s="14" t="n"/>
      <c r="V427">
        <f>IF($A427="","",IF(COUNTIF($A$2:$A427,$A427)=1,1,0))</f>
        <v/>
      </c>
      <c r="W427">
        <f>IF($V427=1,SUMPRODUCT(--($Y$2:$Y$1501&lt;$Y427))+1,"")</f>
        <v/>
      </c>
      <c r="X427">
        <f>IF($A427="","",IF(OR($T427=TRUE(),$T427="TRUE"),1,0))</f>
        <v/>
      </c>
      <c r="Y427">
        <f>IF($V427=1,IFERROR(IF(VALUE($A427)&lt;100000000,VALUE($A427),1000000000),IFERROR(IF(VALUE(MID($A427,2,20))&lt;100000000,VALUE(MID($A427,2,20)),1000000000),1000000000))+ROW()/100000,"")</f>
        <v/>
      </c>
    </row>
    <row r="428">
      <c r="F428" s="7">
        <f>IF($A428="","",E428*L428/100)</f>
        <v/>
      </c>
      <c r="J428" s="7" t="n"/>
      <c r="K428" s="7">
        <f>IF($A428="","",N428*U428/100)</f>
        <v/>
      </c>
      <c r="L428" s="7">
        <f>IF($A428="","",N428-K428)</f>
        <v/>
      </c>
      <c r="M428" s="7">
        <f>IF($A428="","",L428-F428)</f>
        <v/>
      </c>
      <c r="N428" s="7" t="n"/>
      <c r="O428" s="7" t="n"/>
      <c r="P428" s="7" t="n"/>
      <c r="R428" s="14" t="n"/>
      <c r="V428">
        <f>IF($A428="","",IF(COUNTIF($A$2:$A428,$A428)=1,1,0))</f>
        <v/>
      </c>
      <c r="W428">
        <f>IF($V428=1,SUMPRODUCT(--($Y$2:$Y$1501&lt;$Y428))+1,"")</f>
        <v/>
      </c>
      <c r="X428">
        <f>IF($A428="","",IF(OR($T428=TRUE(),$T428="TRUE"),1,0))</f>
        <v/>
      </c>
      <c r="Y428">
        <f>IF($V428=1,IFERROR(IF(VALUE($A428)&lt;100000000,VALUE($A428),1000000000),IFERROR(IF(VALUE(MID($A428,2,20))&lt;100000000,VALUE(MID($A428,2,20)),1000000000),1000000000))+ROW()/100000,"")</f>
        <v/>
      </c>
    </row>
    <row r="429">
      <c r="F429" s="7">
        <f>IF($A429="","",E429*L429/100)</f>
        <v/>
      </c>
      <c r="J429" s="7" t="n"/>
      <c r="K429" s="7">
        <f>IF($A429="","",N429*U429/100)</f>
        <v/>
      </c>
      <c r="L429" s="7">
        <f>IF($A429="","",N429-K429)</f>
        <v/>
      </c>
      <c r="M429" s="7">
        <f>IF($A429="","",L429-F429)</f>
        <v/>
      </c>
      <c r="N429" s="7" t="n"/>
      <c r="O429" s="7" t="n"/>
      <c r="P429" s="7" t="n"/>
      <c r="R429" s="14" t="n"/>
      <c r="V429">
        <f>IF($A429="","",IF(COUNTIF($A$2:$A429,$A429)=1,1,0))</f>
        <v/>
      </c>
      <c r="W429">
        <f>IF($V429=1,SUMPRODUCT(--($Y$2:$Y$1501&lt;$Y429))+1,"")</f>
        <v/>
      </c>
      <c r="X429">
        <f>IF($A429="","",IF(OR($T429=TRUE(),$T429="TRUE"),1,0))</f>
        <v/>
      </c>
      <c r="Y429">
        <f>IF($V429=1,IFERROR(IF(VALUE($A429)&lt;100000000,VALUE($A429),1000000000),IFERROR(IF(VALUE(MID($A429,2,20))&lt;100000000,VALUE(MID($A429,2,20)),1000000000),1000000000))+ROW()/100000,"")</f>
        <v/>
      </c>
    </row>
    <row r="430">
      <c r="F430" s="7">
        <f>IF($A430="","",E430*L430/100)</f>
        <v/>
      </c>
      <c r="J430" s="7" t="n"/>
      <c r="K430" s="7">
        <f>IF($A430="","",N430*U430/100)</f>
        <v/>
      </c>
      <c r="L430" s="7">
        <f>IF($A430="","",N430-K430)</f>
        <v/>
      </c>
      <c r="M430" s="7">
        <f>IF($A430="","",L430-F430)</f>
        <v/>
      </c>
      <c r="N430" s="7" t="n"/>
      <c r="O430" s="7" t="n"/>
      <c r="P430" s="7" t="n"/>
      <c r="R430" s="14" t="n"/>
      <c r="V430">
        <f>IF($A430="","",IF(COUNTIF($A$2:$A430,$A430)=1,1,0))</f>
        <v/>
      </c>
      <c r="W430">
        <f>IF($V430=1,SUMPRODUCT(--($Y$2:$Y$1501&lt;$Y430))+1,"")</f>
        <v/>
      </c>
      <c r="X430">
        <f>IF($A430="","",IF(OR($T430=TRUE(),$T430="TRUE"),1,0))</f>
        <v/>
      </c>
      <c r="Y430">
        <f>IF($V430=1,IFERROR(IF(VALUE($A430)&lt;100000000,VALUE($A430),1000000000),IFERROR(IF(VALUE(MID($A430,2,20))&lt;100000000,VALUE(MID($A430,2,20)),1000000000),1000000000))+ROW()/100000,"")</f>
        <v/>
      </c>
    </row>
    <row r="431">
      <c r="F431" s="7">
        <f>IF($A431="","",E431*L431/100)</f>
        <v/>
      </c>
      <c r="J431" s="7" t="n"/>
      <c r="K431" s="7">
        <f>IF($A431="","",N431*U431/100)</f>
        <v/>
      </c>
      <c r="L431" s="7">
        <f>IF($A431="","",N431-K431)</f>
        <v/>
      </c>
      <c r="M431" s="7">
        <f>IF($A431="","",L431-F431)</f>
        <v/>
      </c>
      <c r="N431" s="7" t="n"/>
      <c r="O431" s="7" t="n"/>
      <c r="P431" s="7" t="n"/>
      <c r="R431" s="14" t="n"/>
      <c r="V431">
        <f>IF($A431="","",IF(COUNTIF($A$2:$A431,$A431)=1,1,0))</f>
        <v/>
      </c>
      <c r="W431">
        <f>IF($V431=1,SUMPRODUCT(--($Y$2:$Y$1501&lt;$Y431))+1,"")</f>
        <v/>
      </c>
      <c r="X431">
        <f>IF($A431="","",IF(OR($T431=TRUE(),$T431="TRUE"),1,0))</f>
        <v/>
      </c>
      <c r="Y431">
        <f>IF($V431=1,IFERROR(IF(VALUE($A431)&lt;100000000,VALUE($A431),1000000000),IFERROR(IF(VALUE(MID($A431,2,20))&lt;100000000,VALUE(MID($A431,2,20)),1000000000),1000000000))+ROW()/100000,"")</f>
        <v/>
      </c>
    </row>
    <row r="432">
      <c r="F432" s="7">
        <f>IF($A432="","",E432*L432/100)</f>
        <v/>
      </c>
      <c r="J432" s="7" t="n"/>
      <c r="K432" s="7">
        <f>IF($A432="","",N432*U432/100)</f>
        <v/>
      </c>
      <c r="L432" s="7">
        <f>IF($A432="","",N432-K432)</f>
        <v/>
      </c>
      <c r="M432" s="7">
        <f>IF($A432="","",L432-F432)</f>
        <v/>
      </c>
      <c r="N432" s="7" t="n"/>
      <c r="O432" s="7" t="n"/>
      <c r="P432" s="7" t="n"/>
      <c r="R432" s="14" t="n"/>
      <c r="V432">
        <f>IF($A432="","",IF(COUNTIF($A$2:$A432,$A432)=1,1,0))</f>
        <v/>
      </c>
      <c r="W432">
        <f>IF($V432=1,SUMPRODUCT(--($Y$2:$Y$1501&lt;$Y432))+1,"")</f>
        <v/>
      </c>
      <c r="X432">
        <f>IF($A432="","",IF(OR($T432=TRUE(),$T432="TRUE"),1,0))</f>
        <v/>
      </c>
      <c r="Y432">
        <f>IF($V432=1,IFERROR(IF(VALUE($A432)&lt;100000000,VALUE($A432),1000000000),IFERROR(IF(VALUE(MID($A432,2,20))&lt;100000000,VALUE(MID($A432,2,20)),1000000000),1000000000))+ROW()/100000,"")</f>
        <v/>
      </c>
    </row>
    <row r="433">
      <c r="F433" s="7">
        <f>IF($A433="","",E433*L433/100)</f>
        <v/>
      </c>
      <c r="J433" s="7" t="n"/>
      <c r="K433" s="7">
        <f>IF($A433="","",N433*U433/100)</f>
        <v/>
      </c>
      <c r="L433" s="7">
        <f>IF($A433="","",N433-K433)</f>
        <v/>
      </c>
      <c r="M433" s="7">
        <f>IF($A433="","",L433-F433)</f>
        <v/>
      </c>
      <c r="N433" s="7" t="n"/>
      <c r="O433" s="7" t="n"/>
      <c r="P433" s="7" t="n"/>
      <c r="R433" s="14" t="n"/>
      <c r="V433">
        <f>IF($A433="","",IF(COUNTIF($A$2:$A433,$A433)=1,1,0))</f>
        <v/>
      </c>
      <c r="W433">
        <f>IF($V433=1,SUMPRODUCT(--($Y$2:$Y$1501&lt;$Y433))+1,"")</f>
        <v/>
      </c>
      <c r="X433">
        <f>IF($A433="","",IF(OR($T433=TRUE(),$T433="TRUE"),1,0))</f>
        <v/>
      </c>
      <c r="Y433">
        <f>IF($V433=1,IFERROR(IF(VALUE($A433)&lt;100000000,VALUE($A433),1000000000),IFERROR(IF(VALUE(MID($A433,2,20))&lt;100000000,VALUE(MID($A433,2,20)),1000000000),1000000000))+ROW()/100000,"")</f>
        <v/>
      </c>
    </row>
    <row r="434">
      <c r="F434" s="7">
        <f>IF($A434="","",E434*L434/100)</f>
        <v/>
      </c>
      <c r="J434" s="7" t="n"/>
      <c r="K434" s="7">
        <f>IF($A434="","",N434*U434/100)</f>
        <v/>
      </c>
      <c r="L434" s="7">
        <f>IF($A434="","",N434-K434)</f>
        <v/>
      </c>
      <c r="M434" s="7">
        <f>IF($A434="","",L434-F434)</f>
        <v/>
      </c>
      <c r="N434" s="7" t="n"/>
      <c r="O434" s="7" t="n"/>
      <c r="P434" s="7" t="n"/>
      <c r="R434" s="14" t="n"/>
      <c r="V434">
        <f>IF($A434="","",IF(COUNTIF($A$2:$A434,$A434)=1,1,0))</f>
        <v/>
      </c>
      <c r="W434">
        <f>IF($V434=1,SUMPRODUCT(--($Y$2:$Y$1501&lt;$Y434))+1,"")</f>
        <v/>
      </c>
      <c r="X434">
        <f>IF($A434="","",IF(OR($T434=TRUE(),$T434="TRUE"),1,0))</f>
        <v/>
      </c>
      <c r="Y434">
        <f>IF($V434=1,IFERROR(IF(VALUE($A434)&lt;100000000,VALUE($A434),1000000000),IFERROR(IF(VALUE(MID($A434,2,20))&lt;100000000,VALUE(MID($A434,2,20)),1000000000),1000000000))+ROW()/100000,"")</f>
        <v/>
      </c>
    </row>
    <row r="435">
      <c r="F435" s="7">
        <f>IF($A435="","",E435*L435/100)</f>
        <v/>
      </c>
      <c r="J435" s="7" t="n"/>
      <c r="K435" s="7">
        <f>IF($A435="","",N435*U435/100)</f>
        <v/>
      </c>
      <c r="L435" s="7">
        <f>IF($A435="","",N435-K435)</f>
        <v/>
      </c>
      <c r="M435" s="7">
        <f>IF($A435="","",L435-F435)</f>
        <v/>
      </c>
      <c r="N435" s="7" t="n"/>
      <c r="O435" s="7" t="n"/>
      <c r="P435" s="7" t="n"/>
      <c r="R435" s="14" t="n"/>
      <c r="V435">
        <f>IF($A435="","",IF(COUNTIF($A$2:$A435,$A435)=1,1,0))</f>
        <v/>
      </c>
      <c r="W435">
        <f>IF($V435=1,SUMPRODUCT(--($Y$2:$Y$1501&lt;$Y435))+1,"")</f>
        <v/>
      </c>
      <c r="X435">
        <f>IF($A435="","",IF(OR($T435=TRUE(),$T435="TRUE"),1,0))</f>
        <v/>
      </c>
      <c r="Y435">
        <f>IF($V435=1,IFERROR(IF(VALUE($A435)&lt;100000000,VALUE($A435),1000000000),IFERROR(IF(VALUE(MID($A435,2,20))&lt;100000000,VALUE(MID($A435,2,20)),1000000000),1000000000))+ROW()/100000,"")</f>
        <v/>
      </c>
    </row>
    <row r="436">
      <c r="F436" s="7">
        <f>IF($A436="","",E436*L436/100)</f>
        <v/>
      </c>
      <c r="J436" s="7" t="n"/>
      <c r="K436" s="7">
        <f>IF($A436="","",N436*U436/100)</f>
        <v/>
      </c>
      <c r="L436" s="7">
        <f>IF($A436="","",N436-K436)</f>
        <v/>
      </c>
      <c r="M436" s="7">
        <f>IF($A436="","",L436-F436)</f>
        <v/>
      </c>
      <c r="N436" s="7" t="n"/>
      <c r="O436" s="7" t="n"/>
      <c r="P436" s="7" t="n"/>
      <c r="R436" s="14" t="n"/>
      <c r="V436">
        <f>IF($A436="","",IF(COUNTIF($A$2:$A436,$A436)=1,1,0))</f>
        <v/>
      </c>
      <c r="W436">
        <f>IF($V436=1,SUMPRODUCT(--($Y$2:$Y$1501&lt;$Y436))+1,"")</f>
        <v/>
      </c>
      <c r="X436">
        <f>IF($A436="","",IF(OR($T436=TRUE(),$T436="TRUE"),1,0))</f>
        <v/>
      </c>
      <c r="Y436">
        <f>IF($V436=1,IFERROR(IF(VALUE($A436)&lt;100000000,VALUE($A436),1000000000),IFERROR(IF(VALUE(MID($A436,2,20))&lt;100000000,VALUE(MID($A436,2,20)),1000000000),1000000000))+ROW()/100000,"")</f>
        <v/>
      </c>
    </row>
    <row r="437">
      <c r="F437" s="7">
        <f>IF($A437="","",E437*L437/100)</f>
        <v/>
      </c>
      <c r="J437" s="7" t="n"/>
      <c r="K437" s="7">
        <f>IF($A437="","",N437*U437/100)</f>
        <v/>
      </c>
      <c r="L437" s="7">
        <f>IF($A437="","",N437-K437)</f>
        <v/>
      </c>
      <c r="M437" s="7">
        <f>IF($A437="","",L437-F437)</f>
        <v/>
      </c>
      <c r="N437" s="7" t="n"/>
      <c r="O437" s="7" t="n"/>
      <c r="P437" s="7" t="n"/>
      <c r="R437" s="14" t="n"/>
      <c r="V437">
        <f>IF($A437="","",IF(COUNTIF($A$2:$A437,$A437)=1,1,0))</f>
        <v/>
      </c>
      <c r="W437">
        <f>IF($V437=1,SUMPRODUCT(--($Y$2:$Y$1501&lt;$Y437))+1,"")</f>
        <v/>
      </c>
      <c r="X437">
        <f>IF($A437="","",IF(OR($T437=TRUE(),$T437="TRUE"),1,0))</f>
        <v/>
      </c>
      <c r="Y437">
        <f>IF($V437=1,IFERROR(IF(VALUE($A437)&lt;100000000,VALUE($A437),1000000000),IFERROR(IF(VALUE(MID($A437,2,20))&lt;100000000,VALUE(MID($A437,2,20)),1000000000),1000000000))+ROW()/100000,"")</f>
        <v/>
      </c>
    </row>
    <row r="438">
      <c r="F438" s="7">
        <f>IF($A438="","",E438*L438/100)</f>
        <v/>
      </c>
      <c r="J438" s="7" t="n"/>
      <c r="K438" s="7">
        <f>IF($A438="","",N438*U438/100)</f>
        <v/>
      </c>
      <c r="L438" s="7">
        <f>IF($A438="","",N438-K438)</f>
        <v/>
      </c>
      <c r="M438" s="7">
        <f>IF($A438="","",L438-F438)</f>
        <v/>
      </c>
      <c r="N438" s="7" t="n"/>
      <c r="O438" s="7" t="n"/>
      <c r="P438" s="7" t="n"/>
      <c r="R438" s="14" t="n"/>
      <c r="V438">
        <f>IF($A438="","",IF(COUNTIF($A$2:$A438,$A438)=1,1,0))</f>
        <v/>
      </c>
      <c r="W438">
        <f>IF($V438=1,SUMPRODUCT(--($Y$2:$Y$1501&lt;$Y438))+1,"")</f>
        <v/>
      </c>
      <c r="X438">
        <f>IF($A438="","",IF(OR($T438=TRUE(),$T438="TRUE"),1,0))</f>
        <v/>
      </c>
      <c r="Y438">
        <f>IF($V438=1,IFERROR(IF(VALUE($A438)&lt;100000000,VALUE($A438),1000000000),IFERROR(IF(VALUE(MID($A438,2,20))&lt;100000000,VALUE(MID($A438,2,20)),1000000000),1000000000))+ROW()/100000,"")</f>
        <v/>
      </c>
    </row>
    <row r="439">
      <c r="F439" s="7">
        <f>IF($A439="","",E439*L439/100)</f>
        <v/>
      </c>
      <c r="J439" s="7" t="n"/>
      <c r="K439" s="7">
        <f>IF($A439="","",N439*U439/100)</f>
        <v/>
      </c>
      <c r="L439" s="7">
        <f>IF($A439="","",N439-K439)</f>
        <v/>
      </c>
      <c r="M439" s="7">
        <f>IF($A439="","",L439-F439)</f>
        <v/>
      </c>
      <c r="N439" s="7" t="n"/>
      <c r="O439" s="7" t="n"/>
      <c r="P439" s="7" t="n"/>
      <c r="R439" s="14" t="n"/>
      <c r="V439">
        <f>IF($A439="","",IF(COUNTIF($A$2:$A439,$A439)=1,1,0))</f>
        <v/>
      </c>
      <c r="W439">
        <f>IF($V439=1,SUMPRODUCT(--($Y$2:$Y$1501&lt;$Y439))+1,"")</f>
        <v/>
      </c>
      <c r="X439">
        <f>IF($A439="","",IF(OR($T439=TRUE(),$T439="TRUE"),1,0))</f>
        <v/>
      </c>
      <c r="Y439">
        <f>IF($V439=1,IFERROR(IF(VALUE($A439)&lt;100000000,VALUE($A439),1000000000),IFERROR(IF(VALUE(MID($A439,2,20))&lt;100000000,VALUE(MID($A439,2,20)),1000000000),1000000000))+ROW()/100000,"")</f>
        <v/>
      </c>
    </row>
    <row r="440">
      <c r="F440" s="7">
        <f>IF($A440="","",E440*L440/100)</f>
        <v/>
      </c>
      <c r="J440" s="7" t="n"/>
      <c r="K440" s="7">
        <f>IF($A440="","",N440*U440/100)</f>
        <v/>
      </c>
      <c r="L440" s="7">
        <f>IF($A440="","",N440-K440)</f>
        <v/>
      </c>
      <c r="M440" s="7">
        <f>IF($A440="","",L440-F440)</f>
        <v/>
      </c>
      <c r="N440" s="7" t="n"/>
      <c r="O440" s="7" t="n"/>
      <c r="P440" s="7" t="n"/>
      <c r="R440" s="14" t="n"/>
      <c r="V440">
        <f>IF($A440="","",IF(COUNTIF($A$2:$A440,$A440)=1,1,0))</f>
        <v/>
      </c>
      <c r="W440">
        <f>IF($V440=1,SUMPRODUCT(--($Y$2:$Y$1501&lt;$Y440))+1,"")</f>
        <v/>
      </c>
      <c r="X440">
        <f>IF($A440="","",IF(OR($T440=TRUE(),$T440="TRUE"),1,0))</f>
        <v/>
      </c>
      <c r="Y440">
        <f>IF($V440=1,IFERROR(IF(VALUE($A440)&lt;100000000,VALUE($A440),1000000000),IFERROR(IF(VALUE(MID($A440,2,20))&lt;100000000,VALUE(MID($A440,2,20)),1000000000),1000000000))+ROW()/100000,"")</f>
        <v/>
      </c>
    </row>
    <row r="441">
      <c r="F441" s="7">
        <f>IF($A441="","",E441*L441/100)</f>
        <v/>
      </c>
      <c r="J441" s="7" t="n"/>
      <c r="K441" s="7">
        <f>IF($A441="","",N441*U441/100)</f>
        <v/>
      </c>
      <c r="L441" s="7">
        <f>IF($A441="","",N441-K441)</f>
        <v/>
      </c>
      <c r="M441" s="7">
        <f>IF($A441="","",L441-F441)</f>
        <v/>
      </c>
      <c r="N441" s="7" t="n"/>
      <c r="O441" s="7" t="n"/>
      <c r="P441" s="7" t="n"/>
      <c r="R441" s="14" t="n"/>
      <c r="V441">
        <f>IF($A441="","",IF(COUNTIF($A$2:$A441,$A441)=1,1,0))</f>
        <v/>
      </c>
      <c r="W441">
        <f>IF($V441=1,SUMPRODUCT(--($Y$2:$Y$1501&lt;$Y441))+1,"")</f>
        <v/>
      </c>
      <c r="X441">
        <f>IF($A441="","",IF(OR($T441=TRUE(),$T441="TRUE"),1,0))</f>
        <v/>
      </c>
      <c r="Y441">
        <f>IF($V441=1,IFERROR(IF(VALUE($A441)&lt;100000000,VALUE($A441),1000000000),IFERROR(IF(VALUE(MID($A441,2,20))&lt;100000000,VALUE(MID($A441,2,20)),1000000000),1000000000))+ROW()/100000,"")</f>
        <v/>
      </c>
    </row>
    <row r="442">
      <c r="F442" s="7">
        <f>IF($A442="","",E442*L442/100)</f>
        <v/>
      </c>
      <c r="J442" s="7" t="n"/>
      <c r="K442" s="7">
        <f>IF($A442="","",N442*U442/100)</f>
        <v/>
      </c>
      <c r="L442" s="7">
        <f>IF($A442="","",N442-K442)</f>
        <v/>
      </c>
      <c r="M442" s="7">
        <f>IF($A442="","",L442-F442)</f>
        <v/>
      </c>
      <c r="N442" s="7" t="n"/>
      <c r="O442" s="7" t="n"/>
      <c r="P442" s="7" t="n"/>
      <c r="R442" s="14" t="n"/>
      <c r="V442">
        <f>IF($A442="","",IF(COUNTIF($A$2:$A442,$A442)=1,1,0))</f>
        <v/>
      </c>
      <c r="W442">
        <f>IF($V442=1,SUMPRODUCT(--($Y$2:$Y$1501&lt;$Y442))+1,"")</f>
        <v/>
      </c>
      <c r="X442">
        <f>IF($A442="","",IF(OR($T442=TRUE(),$T442="TRUE"),1,0))</f>
        <v/>
      </c>
      <c r="Y442">
        <f>IF($V442=1,IFERROR(IF(VALUE($A442)&lt;100000000,VALUE($A442),1000000000),IFERROR(IF(VALUE(MID($A442,2,20))&lt;100000000,VALUE(MID($A442,2,20)),1000000000),1000000000))+ROW()/100000,"")</f>
        <v/>
      </c>
    </row>
    <row r="443">
      <c r="F443" s="7">
        <f>IF($A443="","",E443*L443/100)</f>
        <v/>
      </c>
      <c r="J443" s="7" t="n"/>
      <c r="K443" s="7">
        <f>IF($A443="","",N443*U443/100)</f>
        <v/>
      </c>
      <c r="L443" s="7">
        <f>IF($A443="","",N443-K443)</f>
        <v/>
      </c>
      <c r="M443" s="7">
        <f>IF($A443="","",L443-F443)</f>
        <v/>
      </c>
      <c r="N443" s="7" t="n"/>
      <c r="O443" s="7" t="n"/>
      <c r="P443" s="7" t="n"/>
      <c r="R443" s="14" t="n"/>
      <c r="V443">
        <f>IF($A443="","",IF(COUNTIF($A$2:$A443,$A443)=1,1,0))</f>
        <v/>
      </c>
      <c r="W443">
        <f>IF($V443=1,SUMPRODUCT(--($Y$2:$Y$1501&lt;$Y443))+1,"")</f>
        <v/>
      </c>
      <c r="X443">
        <f>IF($A443="","",IF(OR($T443=TRUE(),$T443="TRUE"),1,0))</f>
        <v/>
      </c>
      <c r="Y443">
        <f>IF($V443=1,IFERROR(IF(VALUE($A443)&lt;100000000,VALUE($A443),1000000000),IFERROR(IF(VALUE(MID($A443,2,20))&lt;100000000,VALUE(MID($A443,2,20)),1000000000),1000000000))+ROW()/100000,"")</f>
        <v/>
      </c>
    </row>
    <row r="444">
      <c r="F444" s="7">
        <f>IF($A444="","",E444*L444/100)</f>
        <v/>
      </c>
      <c r="J444" s="7" t="n"/>
      <c r="K444" s="7">
        <f>IF($A444="","",N444*U444/100)</f>
        <v/>
      </c>
      <c r="L444" s="7">
        <f>IF($A444="","",N444-K444)</f>
        <v/>
      </c>
      <c r="M444" s="7">
        <f>IF($A444="","",L444-F444)</f>
        <v/>
      </c>
      <c r="N444" s="7" t="n"/>
      <c r="O444" s="7" t="n"/>
      <c r="P444" s="7" t="n"/>
      <c r="R444" s="14" t="n"/>
      <c r="V444">
        <f>IF($A444="","",IF(COUNTIF($A$2:$A444,$A444)=1,1,0))</f>
        <v/>
      </c>
      <c r="W444">
        <f>IF($V444=1,SUMPRODUCT(--($Y$2:$Y$1501&lt;$Y444))+1,"")</f>
        <v/>
      </c>
      <c r="X444">
        <f>IF($A444="","",IF(OR($T444=TRUE(),$T444="TRUE"),1,0))</f>
        <v/>
      </c>
      <c r="Y444">
        <f>IF($V444=1,IFERROR(IF(VALUE($A444)&lt;100000000,VALUE($A444),1000000000),IFERROR(IF(VALUE(MID($A444,2,20))&lt;100000000,VALUE(MID($A444,2,20)),1000000000),1000000000))+ROW()/100000,"")</f>
        <v/>
      </c>
    </row>
    <row r="445">
      <c r="F445" s="7">
        <f>IF($A445="","",E445*L445/100)</f>
        <v/>
      </c>
      <c r="J445" s="7" t="n"/>
      <c r="K445" s="7">
        <f>IF($A445="","",N445*U445/100)</f>
        <v/>
      </c>
      <c r="L445" s="7">
        <f>IF($A445="","",N445-K445)</f>
        <v/>
      </c>
      <c r="M445" s="7">
        <f>IF($A445="","",L445-F445)</f>
        <v/>
      </c>
      <c r="N445" s="7" t="n"/>
      <c r="O445" s="7" t="n"/>
      <c r="P445" s="7" t="n"/>
      <c r="R445" s="14" t="n"/>
      <c r="V445">
        <f>IF($A445="","",IF(COUNTIF($A$2:$A445,$A445)=1,1,0))</f>
        <v/>
      </c>
      <c r="W445">
        <f>IF($V445=1,SUMPRODUCT(--($Y$2:$Y$1501&lt;$Y445))+1,"")</f>
        <v/>
      </c>
      <c r="X445">
        <f>IF($A445="","",IF(OR($T445=TRUE(),$T445="TRUE"),1,0))</f>
        <v/>
      </c>
      <c r="Y445">
        <f>IF($V445=1,IFERROR(IF(VALUE($A445)&lt;100000000,VALUE($A445),1000000000),IFERROR(IF(VALUE(MID($A445,2,20))&lt;100000000,VALUE(MID($A445,2,20)),1000000000),1000000000))+ROW()/100000,"")</f>
        <v/>
      </c>
    </row>
    <row r="446">
      <c r="F446" s="7">
        <f>IF($A446="","",E446*L446/100)</f>
        <v/>
      </c>
      <c r="J446" s="7" t="n"/>
      <c r="K446" s="7">
        <f>IF($A446="","",N446*U446/100)</f>
        <v/>
      </c>
      <c r="L446" s="7">
        <f>IF($A446="","",N446-K446)</f>
        <v/>
      </c>
      <c r="M446" s="7">
        <f>IF($A446="","",L446-F446)</f>
        <v/>
      </c>
      <c r="N446" s="7" t="n"/>
      <c r="O446" s="7" t="n"/>
      <c r="P446" s="7" t="n"/>
      <c r="R446" s="14" t="n"/>
      <c r="V446">
        <f>IF($A446="","",IF(COUNTIF($A$2:$A446,$A446)=1,1,0))</f>
        <v/>
      </c>
      <c r="W446">
        <f>IF($V446=1,SUMPRODUCT(--($Y$2:$Y$1501&lt;$Y446))+1,"")</f>
        <v/>
      </c>
      <c r="X446">
        <f>IF($A446="","",IF(OR($T446=TRUE(),$T446="TRUE"),1,0))</f>
        <v/>
      </c>
      <c r="Y446">
        <f>IF($V446=1,IFERROR(IF(VALUE($A446)&lt;100000000,VALUE($A446),1000000000),IFERROR(IF(VALUE(MID($A446,2,20))&lt;100000000,VALUE(MID($A446,2,20)),1000000000),1000000000))+ROW()/100000,"")</f>
        <v/>
      </c>
    </row>
    <row r="447">
      <c r="F447" s="7">
        <f>IF($A447="","",E447*L447/100)</f>
        <v/>
      </c>
      <c r="J447" s="7" t="n"/>
      <c r="K447" s="7">
        <f>IF($A447="","",N447*U447/100)</f>
        <v/>
      </c>
      <c r="L447" s="7">
        <f>IF($A447="","",N447-K447)</f>
        <v/>
      </c>
      <c r="M447" s="7">
        <f>IF($A447="","",L447-F447)</f>
        <v/>
      </c>
      <c r="N447" s="7" t="n"/>
      <c r="O447" s="7" t="n"/>
      <c r="P447" s="7" t="n"/>
      <c r="R447" s="14" t="n"/>
      <c r="V447">
        <f>IF($A447="","",IF(COUNTIF($A$2:$A447,$A447)=1,1,0))</f>
        <v/>
      </c>
      <c r="W447">
        <f>IF($V447=1,SUMPRODUCT(--($Y$2:$Y$1501&lt;$Y447))+1,"")</f>
        <v/>
      </c>
      <c r="X447">
        <f>IF($A447="","",IF(OR($T447=TRUE(),$T447="TRUE"),1,0))</f>
        <v/>
      </c>
      <c r="Y447">
        <f>IF($V447=1,IFERROR(IF(VALUE($A447)&lt;100000000,VALUE($A447),1000000000),IFERROR(IF(VALUE(MID($A447,2,20))&lt;100000000,VALUE(MID($A447,2,20)),1000000000),1000000000))+ROW()/100000,"")</f>
        <v/>
      </c>
    </row>
    <row r="448">
      <c r="F448" s="7">
        <f>IF($A448="","",E448*L448/100)</f>
        <v/>
      </c>
      <c r="J448" s="7" t="n"/>
      <c r="K448" s="7">
        <f>IF($A448="","",N448*U448/100)</f>
        <v/>
      </c>
      <c r="L448" s="7">
        <f>IF($A448="","",N448-K448)</f>
        <v/>
      </c>
      <c r="M448" s="7">
        <f>IF($A448="","",L448-F448)</f>
        <v/>
      </c>
      <c r="N448" s="7" t="n"/>
      <c r="O448" s="7" t="n"/>
      <c r="P448" s="7" t="n"/>
      <c r="R448" s="14" t="n"/>
      <c r="V448">
        <f>IF($A448="","",IF(COUNTIF($A$2:$A448,$A448)=1,1,0))</f>
        <v/>
      </c>
      <c r="W448">
        <f>IF($V448=1,SUMPRODUCT(--($Y$2:$Y$1501&lt;$Y448))+1,"")</f>
        <v/>
      </c>
      <c r="X448">
        <f>IF($A448="","",IF(OR($T448=TRUE(),$T448="TRUE"),1,0))</f>
        <v/>
      </c>
      <c r="Y448">
        <f>IF($V448=1,IFERROR(IF(VALUE($A448)&lt;100000000,VALUE($A448),1000000000),IFERROR(IF(VALUE(MID($A448,2,20))&lt;100000000,VALUE(MID($A448,2,20)),1000000000),1000000000))+ROW()/100000,"")</f>
        <v/>
      </c>
    </row>
    <row r="449">
      <c r="F449" s="7">
        <f>IF($A449="","",E449*L449/100)</f>
        <v/>
      </c>
      <c r="J449" s="7" t="n"/>
      <c r="K449" s="7">
        <f>IF($A449="","",N449*U449/100)</f>
        <v/>
      </c>
      <c r="L449" s="7">
        <f>IF($A449="","",N449-K449)</f>
        <v/>
      </c>
      <c r="M449" s="7">
        <f>IF($A449="","",L449-F449)</f>
        <v/>
      </c>
      <c r="N449" s="7" t="n"/>
      <c r="O449" s="7" t="n"/>
      <c r="P449" s="7" t="n"/>
      <c r="R449" s="14" t="n"/>
      <c r="V449">
        <f>IF($A449="","",IF(COUNTIF($A$2:$A449,$A449)=1,1,0))</f>
        <v/>
      </c>
      <c r="W449">
        <f>IF($V449=1,SUMPRODUCT(--($Y$2:$Y$1501&lt;$Y449))+1,"")</f>
        <v/>
      </c>
      <c r="X449">
        <f>IF($A449="","",IF(OR($T449=TRUE(),$T449="TRUE"),1,0))</f>
        <v/>
      </c>
      <c r="Y449">
        <f>IF($V449=1,IFERROR(IF(VALUE($A449)&lt;100000000,VALUE($A449),1000000000),IFERROR(IF(VALUE(MID($A449,2,20))&lt;100000000,VALUE(MID($A449,2,20)),1000000000),1000000000))+ROW()/100000,"")</f>
        <v/>
      </c>
    </row>
    <row r="450">
      <c r="F450" s="7">
        <f>IF($A450="","",E450*L450/100)</f>
        <v/>
      </c>
      <c r="J450" s="7" t="n"/>
      <c r="K450" s="7">
        <f>IF($A450="","",N450*U450/100)</f>
        <v/>
      </c>
      <c r="L450" s="7">
        <f>IF($A450="","",N450-K450)</f>
        <v/>
      </c>
      <c r="M450" s="7">
        <f>IF($A450="","",L450-F450)</f>
        <v/>
      </c>
      <c r="N450" s="7" t="n"/>
      <c r="O450" s="7" t="n"/>
      <c r="P450" s="7" t="n"/>
      <c r="R450" s="14" t="n"/>
      <c r="V450">
        <f>IF($A450="","",IF(COUNTIF($A$2:$A450,$A450)=1,1,0))</f>
        <v/>
      </c>
      <c r="W450">
        <f>IF($V450=1,SUMPRODUCT(--($Y$2:$Y$1501&lt;$Y450))+1,"")</f>
        <v/>
      </c>
      <c r="X450">
        <f>IF($A450="","",IF(OR($T450=TRUE(),$T450="TRUE"),1,0))</f>
        <v/>
      </c>
      <c r="Y450">
        <f>IF($V450=1,IFERROR(IF(VALUE($A450)&lt;100000000,VALUE($A450),1000000000),IFERROR(IF(VALUE(MID($A450,2,20))&lt;100000000,VALUE(MID($A450,2,20)),1000000000),1000000000))+ROW()/100000,"")</f>
        <v/>
      </c>
    </row>
    <row r="451">
      <c r="F451" s="7">
        <f>IF($A451="","",E451*L451/100)</f>
        <v/>
      </c>
      <c r="J451" s="7" t="n"/>
      <c r="K451" s="7">
        <f>IF($A451="","",N451*U451/100)</f>
        <v/>
      </c>
      <c r="L451" s="7">
        <f>IF($A451="","",N451-K451)</f>
        <v/>
      </c>
      <c r="M451" s="7">
        <f>IF($A451="","",L451-F451)</f>
        <v/>
      </c>
      <c r="N451" s="7" t="n"/>
      <c r="O451" s="7" t="n"/>
      <c r="P451" s="7" t="n"/>
      <c r="R451" s="14" t="n"/>
      <c r="V451">
        <f>IF($A451="","",IF(COUNTIF($A$2:$A451,$A451)=1,1,0))</f>
        <v/>
      </c>
      <c r="W451">
        <f>IF($V451=1,SUMPRODUCT(--($Y$2:$Y$1501&lt;$Y451))+1,"")</f>
        <v/>
      </c>
      <c r="X451">
        <f>IF($A451="","",IF(OR($T451=TRUE(),$T451="TRUE"),1,0))</f>
        <v/>
      </c>
      <c r="Y451">
        <f>IF($V451=1,IFERROR(IF(VALUE($A451)&lt;100000000,VALUE($A451),1000000000),IFERROR(IF(VALUE(MID($A451,2,20))&lt;100000000,VALUE(MID($A451,2,20)),1000000000),1000000000))+ROW()/100000,"")</f>
        <v/>
      </c>
    </row>
    <row r="452">
      <c r="F452" s="7">
        <f>IF($A452="","",E452*L452/100)</f>
        <v/>
      </c>
      <c r="J452" s="7" t="n"/>
      <c r="K452" s="7">
        <f>IF($A452="","",N452*U452/100)</f>
        <v/>
      </c>
      <c r="L452" s="7">
        <f>IF($A452="","",N452-K452)</f>
        <v/>
      </c>
      <c r="M452" s="7">
        <f>IF($A452="","",L452-F452)</f>
        <v/>
      </c>
      <c r="N452" s="7" t="n"/>
      <c r="O452" s="7" t="n"/>
      <c r="P452" s="7" t="n"/>
      <c r="R452" s="14" t="n"/>
      <c r="V452">
        <f>IF($A452="","",IF(COUNTIF($A$2:$A452,$A452)=1,1,0))</f>
        <v/>
      </c>
      <c r="W452">
        <f>IF($V452=1,SUMPRODUCT(--($Y$2:$Y$1501&lt;$Y452))+1,"")</f>
        <v/>
      </c>
      <c r="X452">
        <f>IF($A452="","",IF(OR($T452=TRUE(),$T452="TRUE"),1,0))</f>
        <v/>
      </c>
      <c r="Y452">
        <f>IF($V452=1,IFERROR(IF(VALUE($A452)&lt;100000000,VALUE($A452),1000000000),IFERROR(IF(VALUE(MID($A452,2,20))&lt;100000000,VALUE(MID($A452,2,20)),1000000000),1000000000))+ROW()/100000,"")</f>
        <v/>
      </c>
    </row>
    <row r="453">
      <c r="F453" s="7">
        <f>IF($A453="","",E453*L453/100)</f>
        <v/>
      </c>
      <c r="J453" s="7" t="n"/>
      <c r="K453" s="7">
        <f>IF($A453="","",N453*U453/100)</f>
        <v/>
      </c>
      <c r="L453" s="7">
        <f>IF($A453="","",N453-K453)</f>
        <v/>
      </c>
      <c r="M453" s="7">
        <f>IF($A453="","",L453-F453)</f>
        <v/>
      </c>
      <c r="N453" s="7" t="n"/>
      <c r="O453" s="7" t="n"/>
      <c r="P453" s="7" t="n"/>
      <c r="R453" s="14" t="n"/>
      <c r="V453">
        <f>IF($A453="","",IF(COUNTIF($A$2:$A453,$A453)=1,1,0))</f>
        <v/>
      </c>
      <c r="W453">
        <f>IF($V453=1,SUMPRODUCT(--($Y$2:$Y$1501&lt;$Y453))+1,"")</f>
        <v/>
      </c>
      <c r="X453">
        <f>IF($A453="","",IF(OR($T453=TRUE(),$T453="TRUE"),1,0))</f>
        <v/>
      </c>
      <c r="Y453">
        <f>IF($V453=1,IFERROR(IF(VALUE($A453)&lt;100000000,VALUE($A453),1000000000),IFERROR(IF(VALUE(MID($A453,2,20))&lt;100000000,VALUE(MID($A453,2,20)),1000000000),1000000000))+ROW()/100000,"")</f>
        <v/>
      </c>
    </row>
    <row r="454">
      <c r="F454" s="7">
        <f>IF($A454="","",E454*L454/100)</f>
        <v/>
      </c>
      <c r="J454" s="7" t="n"/>
      <c r="K454" s="7">
        <f>IF($A454="","",N454*U454/100)</f>
        <v/>
      </c>
      <c r="L454" s="7">
        <f>IF($A454="","",N454-K454)</f>
        <v/>
      </c>
      <c r="M454" s="7">
        <f>IF($A454="","",L454-F454)</f>
        <v/>
      </c>
      <c r="N454" s="7" t="n"/>
      <c r="O454" s="7" t="n"/>
      <c r="P454" s="7" t="n"/>
      <c r="R454" s="14" t="n"/>
      <c r="V454">
        <f>IF($A454="","",IF(COUNTIF($A$2:$A454,$A454)=1,1,0))</f>
        <v/>
      </c>
      <c r="W454">
        <f>IF($V454=1,SUMPRODUCT(--($Y$2:$Y$1501&lt;$Y454))+1,"")</f>
        <v/>
      </c>
      <c r="X454">
        <f>IF($A454="","",IF(OR($T454=TRUE(),$T454="TRUE"),1,0))</f>
        <v/>
      </c>
      <c r="Y454">
        <f>IF($V454=1,IFERROR(IF(VALUE($A454)&lt;100000000,VALUE($A454),1000000000),IFERROR(IF(VALUE(MID($A454,2,20))&lt;100000000,VALUE(MID($A454,2,20)),1000000000),1000000000))+ROW()/100000,"")</f>
        <v/>
      </c>
    </row>
    <row r="455">
      <c r="F455" s="7">
        <f>IF($A455="","",E455*L455/100)</f>
        <v/>
      </c>
      <c r="J455" s="7" t="n"/>
      <c r="K455" s="7">
        <f>IF($A455="","",N455*U455/100)</f>
        <v/>
      </c>
      <c r="L455" s="7">
        <f>IF($A455="","",N455-K455)</f>
        <v/>
      </c>
      <c r="M455" s="7">
        <f>IF($A455="","",L455-F455)</f>
        <v/>
      </c>
      <c r="N455" s="7" t="n"/>
      <c r="O455" s="7" t="n"/>
      <c r="P455" s="7" t="n"/>
      <c r="R455" s="14" t="n"/>
      <c r="V455">
        <f>IF($A455="","",IF(COUNTIF($A$2:$A455,$A455)=1,1,0))</f>
        <v/>
      </c>
      <c r="W455">
        <f>IF($V455=1,SUMPRODUCT(--($Y$2:$Y$1501&lt;$Y455))+1,"")</f>
        <v/>
      </c>
      <c r="X455">
        <f>IF($A455="","",IF(OR($T455=TRUE(),$T455="TRUE"),1,0))</f>
        <v/>
      </c>
      <c r="Y455">
        <f>IF($V455=1,IFERROR(IF(VALUE($A455)&lt;100000000,VALUE($A455),1000000000),IFERROR(IF(VALUE(MID($A455,2,20))&lt;100000000,VALUE(MID($A455,2,20)),1000000000),1000000000))+ROW()/100000,"")</f>
        <v/>
      </c>
    </row>
    <row r="456">
      <c r="F456" s="7">
        <f>IF($A456="","",E456*L456/100)</f>
        <v/>
      </c>
      <c r="J456" s="7" t="n"/>
      <c r="K456" s="7">
        <f>IF($A456="","",N456*U456/100)</f>
        <v/>
      </c>
      <c r="L456" s="7">
        <f>IF($A456="","",N456-K456)</f>
        <v/>
      </c>
      <c r="M456" s="7">
        <f>IF($A456="","",L456-F456)</f>
        <v/>
      </c>
      <c r="N456" s="7" t="n"/>
      <c r="O456" s="7" t="n"/>
      <c r="P456" s="7" t="n"/>
      <c r="R456" s="14" t="n"/>
      <c r="V456">
        <f>IF($A456="","",IF(COUNTIF($A$2:$A456,$A456)=1,1,0))</f>
        <v/>
      </c>
      <c r="W456">
        <f>IF($V456=1,SUMPRODUCT(--($Y$2:$Y$1501&lt;$Y456))+1,"")</f>
        <v/>
      </c>
      <c r="X456">
        <f>IF($A456="","",IF(OR($T456=TRUE(),$T456="TRUE"),1,0))</f>
        <v/>
      </c>
      <c r="Y456">
        <f>IF($V456=1,IFERROR(IF(VALUE($A456)&lt;100000000,VALUE($A456),1000000000),IFERROR(IF(VALUE(MID($A456,2,20))&lt;100000000,VALUE(MID($A456,2,20)),1000000000),1000000000))+ROW()/100000,"")</f>
        <v/>
      </c>
    </row>
    <row r="457">
      <c r="F457" s="7">
        <f>IF($A457="","",E457*L457/100)</f>
        <v/>
      </c>
      <c r="J457" s="7" t="n"/>
      <c r="K457" s="7">
        <f>IF($A457="","",N457*U457/100)</f>
        <v/>
      </c>
      <c r="L457" s="7">
        <f>IF($A457="","",N457-K457)</f>
        <v/>
      </c>
      <c r="M457" s="7">
        <f>IF($A457="","",L457-F457)</f>
        <v/>
      </c>
      <c r="N457" s="7" t="n"/>
      <c r="O457" s="7" t="n"/>
      <c r="P457" s="7" t="n"/>
      <c r="R457" s="14" t="n"/>
      <c r="V457">
        <f>IF($A457="","",IF(COUNTIF($A$2:$A457,$A457)=1,1,0))</f>
        <v/>
      </c>
      <c r="W457">
        <f>IF($V457=1,SUMPRODUCT(--($Y$2:$Y$1501&lt;$Y457))+1,"")</f>
        <v/>
      </c>
      <c r="X457">
        <f>IF($A457="","",IF(OR($T457=TRUE(),$T457="TRUE"),1,0))</f>
        <v/>
      </c>
      <c r="Y457">
        <f>IF($V457=1,IFERROR(IF(VALUE($A457)&lt;100000000,VALUE($A457),1000000000),IFERROR(IF(VALUE(MID($A457,2,20))&lt;100000000,VALUE(MID($A457,2,20)),1000000000),1000000000))+ROW()/100000,"")</f>
        <v/>
      </c>
    </row>
    <row r="458">
      <c r="F458" s="7">
        <f>IF($A458="","",E458*L458/100)</f>
        <v/>
      </c>
      <c r="J458" s="7" t="n"/>
      <c r="K458" s="7">
        <f>IF($A458="","",N458*U458/100)</f>
        <v/>
      </c>
      <c r="L458" s="7">
        <f>IF($A458="","",N458-K458)</f>
        <v/>
      </c>
      <c r="M458" s="7">
        <f>IF($A458="","",L458-F458)</f>
        <v/>
      </c>
      <c r="N458" s="7" t="n"/>
      <c r="O458" s="7" t="n"/>
      <c r="P458" s="7" t="n"/>
      <c r="R458" s="14" t="n"/>
      <c r="V458">
        <f>IF($A458="","",IF(COUNTIF($A$2:$A458,$A458)=1,1,0))</f>
        <v/>
      </c>
      <c r="W458">
        <f>IF($V458=1,SUMPRODUCT(--($Y$2:$Y$1501&lt;$Y458))+1,"")</f>
        <v/>
      </c>
      <c r="X458">
        <f>IF($A458="","",IF(OR($T458=TRUE(),$T458="TRUE"),1,0))</f>
        <v/>
      </c>
      <c r="Y458">
        <f>IF($V458=1,IFERROR(IF(VALUE($A458)&lt;100000000,VALUE($A458),1000000000),IFERROR(IF(VALUE(MID($A458,2,20))&lt;100000000,VALUE(MID($A458,2,20)),1000000000),1000000000))+ROW()/100000,"")</f>
        <v/>
      </c>
    </row>
    <row r="459">
      <c r="F459" s="7">
        <f>IF($A459="","",E459*L459/100)</f>
        <v/>
      </c>
      <c r="J459" s="7" t="n"/>
      <c r="K459" s="7">
        <f>IF($A459="","",N459*U459/100)</f>
        <v/>
      </c>
      <c r="L459" s="7">
        <f>IF($A459="","",N459-K459)</f>
        <v/>
      </c>
      <c r="M459" s="7">
        <f>IF($A459="","",L459-F459)</f>
        <v/>
      </c>
      <c r="N459" s="7" t="n"/>
      <c r="O459" s="7" t="n"/>
      <c r="P459" s="7" t="n"/>
      <c r="R459" s="14" t="n"/>
      <c r="V459">
        <f>IF($A459="","",IF(COUNTIF($A$2:$A459,$A459)=1,1,0))</f>
        <v/>
      </c>
      <c r="W459">
        <f>IF($V459=1,SUMPRODUCT(--($Y$2:$Y$1501&lt;$Y459))+1,"")</f>
        <v/>
      </c>
      <c r="X459">
        <f>IF($A459="","",IF(OR($T459=TRUE(),$T459="TRUE"),1,0))</f>
        <v/>
      </c>
      <c r="Y459">
        <f>IF($V459=1,IFERROR(IF(VALUE($A459)&lt;100000000,VALUE($A459),1000000000),IFERROR(IF(VALUE(MID($A459,2,20))&lt;100000000,VALUE(MID($A459,2,20)),1000000000),1000000000))+ROW()/100000,"")</f>
        <v/>
      </c>
    </row>
    <row r="460">
      <c r="F460" s="7">
        <f>IF($A460="","",E460*L460/100)</f>
        <v/>
      </c>
      <c r="J460" s="7" t="n"/>
      <c r="K460" s="7">
        <f>IF($A460="","",N460*U460/100)</f>
        <v/>
      </c>
      <c r="L460" s="7">
        <f>IF($A460="","",N460-K460)</f>
        <v/>
      </c>
      <c r="M460" s="7">
        <f>IF($A460="","",L460-F460)</f>
        <v/>
      </c>
      <c r="N460" s="7" t="n"/>
      <c r="O460" s="7" t="n"/>
      <c r="P460" s="7" t="n"/>
      <c r="R460" s="14" t="n"/>
      <c r="V460">
        <f>IF($A460="","",IF(COUNTIF($A$2:$A460,$A460)=1,1,0))</f>
        <v/>
      </c>
      <c r="W460">
        <f>IF($V460=1,SUMPRODUCT(--($Y$2:$Y$1501&lt;$Y460))+1,"")</f>
        <v/>
      </c>
      <c r="X460">
        <f>IF($A460="","",IF(OR($T460=TRUE(),$T460="TRUE"),1,0))</f>
        <v/>
      </c>
      <c r="Y460">
        <f>IF($V460=1,IFERROR(IF(VALUE($A460)&lt;100000000,VALUE($A460),1000000000),IFERROR(IF(VALUE(MID($A460,2,20))&lt;100000000,VALUE(MID($A460,2,20)),1000000000),1000000000))+ROW()/100000,"")</f>
        <v/>
      </c>
    </row>
    <row r="461">
      <c r="F461" s="7">
        <f>IF($A461="","",E461*L461/100)</f>
        <v/>
      </c>
      <c r="J461" s="7" t="n"/>
      <c r="K461" s="7">
        <f>IF($A461="","",N461*U461/100)</f>
        <v/>
      </c>
      <c r="L461" s="7">
        <f>IF($A461="","",N461-K461)</f>
        <v/>
      </c>
      <c r="M461" s="7">
        <f>IF($A461="","",L461-F461)</f>
        <v/>
      </c>
      <c r="N461" s="7" t="n"/>
      <c r="O461" s="7" t="n"/>
      <c r="P461" s="7" t="n"/>
      <c r="R461" s="14" t="n"/>
      <c r="V461">
        <f>IF($A461="","",IF(COUNTIF($A$2:$A461,$A461)=1,1,0))</f>
        <v/>
      </c>
      <c r="W461">
        <f>IF($V461=1,SUMPRODUCT(--($Y$2:$Y$1501&lt;$Y461))+1,"")</f>
        <v/>
      </c>
      <c r="X461">
        <f>IF($A461="","",IF(OR($T461=TRUE(),$T461="TRUE"),1,0))</f>
        <v/>
      </c>
      <c r="Y461">
        <f>IF($V461=1,IFERROR(IF(VALUE($A461)&lt;100000000,VALUE($A461),1000000000),IFERROR(IF(VALUE(MID($A461,2,20))&lt;100000000,VALUE(MID($A461,2,20)),1000000000),1000000000))+ROW()/100000,"")</f>
        <v/>
      </c>
    </row>
    <row r="462">
      <c r="F462" s="7">
        <f>IF($A462="","",E462*L462/100)</f>
        <v/>
      </c>
      <c r="J462" s="7" t="n"/>
      <c r="K462" s="7">
        <f>IF($A462="","",N462*U462/100)</f>
        <v/>
      </c>
      <c r="L462" s="7">
        <f>IF($A462="","",N462-K462)</f>
        <v/>
      </c>
      <c r="M462" s="7">
        <f>IF($A462="","",L462-F462)</f>
        <v/>
      </c>
      <c r="N462" s="7" t="n"/>
      <c r="O462" s="7" t="n"/>
      <c r="P462" s="7" t="n"/>
      <c r="R462" s="14" t="n"/>
      <c r="V462">
        <f>IF($A462="","",IF(COUNTIF($A$2:$A462,$A462)=1,1,0))</f>
        <v/>
      </c>
      <c r="W462">
        <f>IF($V462=1,SUMPRODUCT(--($Y$2:$Y$1501&lt;$Y462))+1,"")</f>
        <v/>
      </c>
      <c r="X462">
        <f>IF($A462="","",IF(OR($T462=TRUE(),$T462="TRUE"),1,0))</f>
        <v/>
      </c>
      <c r="Y462">
        <f>IF($V462=1,IFERROR(IF(VALUE($A462)&lt;100000000,VALUE($A462),1000000000),IFERROR(IF(VALUE(MID($A462,2,20))&lt;100000000,VALUE(MID($A462,2,20)),1000000000),1000000000))+ROW()/100000,"")</f>
        <v/>
      </c>
    </row>
    <row r="463">
      <c r="F463" s="7">
        <f>IF($A463="","",E463*L463/100)</f>
        <v/>
      </c>
      <c r="J463" s="7" t="n"/>
      <c r="K463" s="7">
        <f>IF($A463="","",N463*U463/100)</f>
        <v/>
      </c>
      <c r="L463" s="7">
        <f>IF($A463="","",N463-K463)</f>
        <v/>
      </c>
      <c r="M463" s="7">
        <f>IF($A463="","",L463-F463)</f>
        <v/>
      </c>
      <c r="N463" s="7" t="n"/>
      <c r="O463" s="7" t="n"/>
      <c r="P463" s="7" t="n"/>
      <c r="R463" s="14" t="n"/>
      <c r="V463">
        <f>IF($A463="","",IF(COUNTIF($A$2:$A463,$A463)=1,1,0))</f>
        <v/>
      </c>
      <c r="W463">
        <f>IF($V463=1,SUMPRODUCT(--($Y$2:$Y$1501&lt;$Y463))+1,"")</f>
        <v/>
      </c>
      <c r="X463">
        <f>IF($A463="","",IF(OR($T463=TRUE(),$T463="TRUE"),1,0))</f>
        <v/>
      </c>
      <c r="Y463">
        <f>IF($V463=1,IFERROR(IF(VALUE($A463)&lt;100000000,VALUE($A463),1000000000),IFERROR(IF(VALUE(MID($A463,2,20))&lt;100000000,VALUE(MID($A463,2,20)),1000000000),1000000000))+ROW()/100000,"")</f>
        <v/>
      </c>
    </row>
    <row r="464">
      <c r="F464" s="7">
        <f>IF($A464="","",E464*L464/100)</f>
        <v/>
      </c>
      <c r="J464" s="7" t="n"/>
      <c r="K464" s="7">
        <f>IF($A464="","",N464*U464/100)</f>
        <v/>
      </c>
      <c r="L464" s="7">
        <f>IF($A464="","",N464-K464)</f>
        <v/>
      </c>
      <c r="M464" s="7">
        <f>IF($A464="","",L464-F464)</f>
        <v/>
      </c>
      <c r="N464" s="7" t="n"/>
      <c r="O464" s="7" t="n"/>
      <c r="P464" s="7" t="n"/>
      <c r="R464" s="14" t="n"/>
      <c r="V464">
        <f>IF($A464="","",IF(COUNTIF($A$2:$A464,$A464)=1,1,0))</f>
        <v/>
      </c>
      <c r="W464">
        <f>IF($V464=1,SUMPRODUCT(--($Y$2:$Y$1501&lt;$Y464))+1,"")</f>
        <v/>
      </c>
      <c r="X464">
        <f>IF($A464="","",IF(OR($T464=TRUE(),$T464="TRUE"),1,0))</f>
        <v/>
      </c>
      <c r="Y464">
        <f>IF($V464=1,IFERROR(IF(VALUE($A464)&lt;100000000,VALUE($A464),1000000000),IFERROR(IF(VALUE(MID($A464,2,20))&lt;100000000,VALUE(MID($A464,2,20)),1000000000),1000000000))+ROW()/100000,"")</f>
        <v/>
      </c>
    </row>
    <row r="465">
      <c r="F465" s="7">
        <f>IF($A465="","",E465*L465/100)</f>
        <v/>
      </c>
      <c r="J465" s="7" t="n"/>
      <c r="K465" s="7">
        <f>IF($A465="","",N465*U465/100)</f>
        <v/>
      </c>
      <c r="L465" s="7">
        <f>IF($A465="","",N465-K465)</f>
        <v/>
      </c>
      <c r="M465" s="7">
        <f>IF($A465="","",L465-F465)</f>
        <v/>
      </c>
      <c r="N465" s="7" t="n"/>
      <c r="O465" s="7" t="n"/>
      <c r="P465" s="7" t="n"/>
      <c r="R465" s="14" t="n"/>
      <c r="V465">
        <f>IF($A465="","",IF(COUNTIF($A$2:$A465,$A465)=1,1,0))</f>
        <v/>
      </c>
      <c r="W465">
        <f>IF($V465=1,SUMPRODUCT(--($Y$2:$Y$1501&lt;$Y465))+1,"")</f>
        <v/>
      </c>
      <c r="X465">
        <f>IF($A465="","",IF(OR($T465=TRUE(),$T465="TRUE"),1,0))</f>
        <v/>
      </c>
      <c r="Y465">
        <f>IF($V465=1,IFERROR(IF(VALUE($A465)&lt;100000000,VALUE($A465),1000000000),IFERROR(IF(VALUE(MID($A465,2,20))&lt;100000000,VALUE(MID($A465,2,20)),1000000000),1000000000))+ROW()/100000,"")</f>
        <v/>
      </c>
    </row>
    <row r="466">
      <c r="F466" s="7">
        <f>IF($A466="","",E466*L466/100)</f>
        <v/>
      </c>
      <c r="J466" s="7" t="n"/>
      <c r="K466" s="7">
        <f>IF($A466="","",N466*U466/100)</f>
        <v/>
      </c>
      <c r="L466" s="7">
        <f>IF($A466="","",N466-K466)</f>
        <v/>
      </c>
      <c r="M466" s="7">
        <f>IF($A466="","",L466-F466)</f>
        <v/>
      </c>
      <c r="N466" s="7" t="n"/>
      <c r="O466" s="7" t="n"/>
      <c r="P466" s="7" t="n"/>
      <c r="R466" s="14" t="n"/>
      <c r="V466">
        <f>IF($A466="","",IF(COUNTIF($A$2:$A466,$A466)=1,1,0))</f>
        <v/>
      </c>
      <c r="W466">
        <f>IF($V466=1,SUMPRODUCT(--($Y$2:$Y$1501&lt;$Y466))+1,"")</f>
        <v/>
      </c>
      <c r="X466">
        <f>IF($A466="","",IF(OR($T466=TRUE(),$T466="TRUE"),1,0))</f>
        <v/>
      </c>
      <c r="Y466">
        <f>IF($V466=1,IFERROR(IF(VALUE($A466)&lt;100000000,VALUE($A466),1000000000),IFERROR(IF(VALUE(MID($A466,2,20))&lt;100000000,VALUE(MID($A466,2,20)),1000000000),1000000000))+ROW()/100000,"")</f>
        <v/>
      </c>
    </row>
    <row r="467">
      <c r="F467" s="7">
        <f>IF($A467="","",E467*L467/100)</f>
        <v/>
      </c>
      <c r="J467" s="7" t="n"/>
      <c r="K467" s="7">
        <f>IF($A467="","",N467*U467/100)</f>
        <v/>
      </c>
      <c r="L467" s="7">
        <f>IF($A467="","",N467-K467)</f>
        <v/>
      </c>
      <c r="M467" s="7">
        <f>IF($A467="","",L467-F467)</f>
        <v/>
      </c>
      <c r="N467" s="7" t="n"/>
      <c r="O467" s="7" t="n"/>
      <c r="P467" s="7" t="n"/>
      <c r="R467" s="14" t="n"/>
      <c r="V467">
        <f>IF($A467="","",IF(COUNTIF($A$2:$A467,$A467)=1,1,0))</f>
        <v/>
      </c>
      <c r="W467">
        <f>IF($V467=1,SUMPRODUCT(--($Y$2:$Y$1501&lt;$Y467))+1,"")</f>
        <v/>
      </c>
      <c r="X467">
        <f>IF($A467="","",IF(OR($T467=TRUE(),$T467="TRUE"),1,0))</f>
        <v/>
      </c>
      <c r="Y467">
        <f>IF($V467=1,IFERROR(IF(VALUE($A467)&lt;100000000,VALUE($A467),1000000000),IFERROR(IF(VALUE(MID($A467,2,20))&lt;100000000,VALUE(MID($A467,2,20)),1000000000),1000000000))+ROW()/100000,"")</f>
        <v/>
      </c>
    </row>
    <row r="468">
      <c r="F468" s="7">
        <f>IF($A468="","",E468*L468/100)</f>
        <v/>
      </c>
      <c r="J468" s="7" t="n"/>
      <c r="K468" s="7">
        <f>IF($A468="","",N468*U468/100)</f>
        <v/>
      </c>
      <c r="L468" s="7">
        <f>IF($A468="","",N468-K468)</f>
        <v/>
      </c>
      <c r="M468" s="7">
        <f>IF($A468="","",L468-F468)</f>
        <v/>
      </c>
      <c r="N468" s="7" t="n"/>
      <c r="O468" s="7" t="n"/>
      <c r="P468" s="7" t="n"/>
      <c r="R468" s="14" t="n"/>
      <c r="V468">
        <f>IF($A468="","",IF(COUNTIF($A$2:$A468,$A468)=1,1,0))</f>
        <v/>
      </c>
      <c r="W468">
        <f>IF($V468=1,SUMPRODUCT(--($Y$2:$Y$1501&lt;$Y468))+1,"")</f>
        <v/>
      </c>
      <c r="X468">
        <f>IF($A468="","",IF(OR($T468=TRUE(),$T468="TRUE"),1,0))</f>
        <v/>
      </c>
      <c r="Y468">
        <f>IF($V468=1,IFERROR(IF(VALUE($A468)&lt;100000000,VALUE($A468),1000000000),IFERROR(IF(VALUE(MID($A468,2,20))&lt;100000000,VALUE(MID($A468,2,20)),1000000000),1000000000))+ROW()/100000,"")</f>
        <v/>
      </c>
    </row>
    <row r="469">
      <c r="F469" s="7">
        <f>IF($A469="","",E469*L469/100)</f>
        <v/>
      </c>
      <c r="J469" s="7" t="n"/>
      <c r="K469" s="7">
        <f>IF($A469="","",N469*U469/100)</f>
        <v/>
      </c>
      <c r="L469" s="7">
        <f>IF($A469="","",N469-K469)</f>
        <v/>
      </c>
      <c r="M469" s="7">
        <f>IF($A469="","",L469-F469)</f>
        <v/>
      </c>
      <c r="N469" s="7" t="n"/>
      <c r="O469" s="7" t="n"/>
      <c r="P469" s="7" t="n"/>
      <c r="R469" s="14" t="n"/>
      <c r="V469">
        <f>IF($A469="","",IF(COUNTIF($A$2:$A469,$A469)=1,1,0))</f>
        <v/>
      </c>
      <c r="W469">
        <f>IF($V469=1,SUMPRODUCT(--($Y$2:$Y$1501&lt;$Y469))+1,"")</f>
        <v/>
      </c>
      <c r="X469">
        <f>IF($A469="","",IF(OR($T469=TRUE(),$T469="TRUE"),1,0))</f>
        <v/>
      </c>
      <c r="Y469">
        <f>IF($V469=1,IFERROR(IF(VALUE($A469)&lt;100000000,VALUE($A469),1000000000),IFERROR(IF(VALUE(MID($A469,2,20))&lt;100000000,VALUE(MID($A469,2,20)),1000000000),1000000000))+ROW()/100000,"")</f>
        <v/>
      </c>
    </row>
    <row r="470">
      <c r="F470" s="7">
        <f>IF($A470="","",E470*L470/100)</f>
        <v/>
      </c>
      <c r="J470" s="7" t="n"/>
      <c r="K470" s="7">
        <f>IF($A470="","",N470*U470/100)</f>
        <v/>
      </c>
      <c r="L470" s="7">
        <f>IF($A470="","",N470-K470)</f>
        <v/>
      </c>
      <c r="M470" s="7">
        <f>IF($A470="","",L470-F470)</f>
        <v/>
      </c>
      <c r="N470" s="7" t="n"/>
      <c r="O470" s="7" t="n"/>
      <c r="P470" s="7" t="n"/>
      <c r="R470" s="14" t="n"/>
      <c r="V470">
        <f>IF($A470="","",IF(COUNTIF($A$2:$A470,$A470)=1,1,0))</f>
        <v/>
      </c>
      <c r="W470">
        <f>IF($V470=1,SUMPRODUCT(--($Y$2:$Y$1501&lt;$Y470))+1,"")</f>
        <v/>
      </c>
      <c r="X470">
        <f>IF($A470="","",IF(OR($T470=TRUE(),$T470="TRUE"),1,0))</f>
        <v/>
      </c>
      <c r="Y470">
        <f>IF($V470=1,IFERROR(IF(VALUE($A470)&lt;100000000,VALUE($A470),1000000000),IFERROR(IF(VALUE(MID($A470,2,20))&lt;100000000,VALUE(MID($A470,2,20)),1000000000),1000000000))+ROW()/100000,"")</f>
        <v/>
      </c>
    </row>
    <row r="471">
      <c r="F471" s="7">
        <f>IF($A471="","",E471*L471/100)</f>
        <v/>
      </c>
      <c r="J471" s="7" t="n"/>
      <c r="K471" s="7">
        <f>IF($A471="","",N471*U471/100)</f>
        <v/>
      </c>
      <c r="L471" s="7">
        <f>IF($A471="","",N471-K471)</f>
        <v/>
      </c>
      <c r="M471" s="7">
        <f>IF($A471="","",L471-F471)</f>
        <v/>
      </c>
      <c r="N471" s="7" t="n"/>
      <c r="O471" s="7" t="n"/>
      <c r="P471" s="7" t="n"/>
      <c r="R471" s="14" t="n"/>
      <c r="V471">
        <f>IF($A471="","",IF(COUNTIF($A$2:$A471,$A471)=1,1,0))</f>
        <v/>
      </c>
      <c r="W471">
        <f>IF($V471=1,SUMPRODUCT(--($Y$2:$Y$1501&lt;$Y471))+1,"")</f>
        <v/>
      </c>
      <c r="X471">
        <f>IF($A471="","",IF(OR($T471=TRUE(),$T471="TRUE"),1,0))</f>
        <v/>
      </c>
      <c r="Y471">
        <f>IF($V471=1,IFERROR(IF(VALUE($A471)&lt;100000000,VALUE($A471),1000000000),IFERROR(IF(VALUE(MID($A471,2,20))&lt;100000000,VALUE(MID($A471,2,20)),1000000000),1000000000))+ROW()/100000,"")</f>
        <v/>
      </c>
    </row>
    <row r="472">
      <c r="F472" s="7">
        <f>IF($A472="","",E472*L472/100)</f>
        <v/>
      </c>
      <c r="J472" s="7" t="n"/>
      <c r="K472" s="7">
        <f>IF($A472="","",N472*U472/100)</f>
        <v/>
      </c>
      <c r="L472" s="7">
        <f>IF($A472="","",N472-K472)</f>
        <v/>
      </c>
      <c r="M472" s="7">
        <f>IF($A472="","",L472-F472)</f>
        <v/>
      </c>
      <c r="N472" s="7" t="n"/>
      <c r="O472" s="7" t="n"/>
      <c r="P472" s="7" t="n"/>
      <c r="R472" s="14" t="n"/>
      <c r="V472">
        <f>IF($A472="","",IF(COUNTIF($A$2:$A472,$A472)=1,1,0))</f>
        <v/>
      </c>
      <c r="W472">
        <f>IF($V472=1,SUMPRODUCT(--($Y$2:$Y$1501&lt;$Y472))+1,"")</f>
        <v/>
      </c>
      <c r="X472">
        <f>IF($A472="","",IF(OR($T472=TRUE(),$T472="TRUE"),1,0))</f>
        <v/>
      </c>
      <c r="Y472">
        <f>IF($V472=1,IFERROR(IF(VALUE($A472)&lt;100000000,VALUE($A472),1000000000),IFERROR(IF(VALUE(MID($A472,2,20))&lt;100000000,VALUE(MID($A472,2,20)),1000000000),1000000000))+ROW()/100000,"")</f>
        <v/>
      </c>
    </row>
    <row r="473">
      <c r="F473" s="7">
        <f>IF($A473="","",E473*L473/100)</f>
        <v/>
      </c>
      <c r="J473" s="7" t="n"/>
      <c r="K473" s="7">
        <f>IF($A473="","",N473*U473/100)</f>
        <v/>
      </c>
      <c r="L473" s="7">
        <f>IF($A473="","",N473-K473)</f>
        <v/>
      </c>
      <c r="M473" s="7">
        <f>IF($A473="","",L473-F473)</f>
        <v/>
      </c>
      <c r="N473" s="7" t="n"/>
      <c r="O473" s="7" t="n"/>
      <c r="P473" s="7" t="n"/>
      <c r="R473" s="14" t="n"/>
      <c r="V473">
        <f>IF($A473="","",IF(COUNTIF($A$2:$A473,$A473)=1,1,0))</f>
        <v/>
      </c>
      <c r="W473">
        <f>IF($V473=1,SUMPRODUCT(--($Y$2:$Y$1501&lt;$Y473))+1,"")</f>
        <v/>
      </c>
      <c r="X473">
        <f>IF($A473="","",IF(OR($T473=TRUE(),$T473="TRUE"),1,0))</f>
        <v/>
      </c>
      <c r="Y473">
        <f>IF($V473=1,IFERROR(IF(VALUE($A473)&lt;100000000,VALUE($A473),1000000000),IFERROR(IF(VALUE(MID($A473,2,20))&lt;100000000,VALUE(MID($A473,2,20)),1000000000),1000000000))+ROW()/100000,"")</f>
        <v/>
      </c>
    </row>
    <row r="474">
      <c r="F474" s="7">
        <f>IF($A474="","",E474*L474/100)</f>
        <v/>
      </c>
      <c r="J474" s="7" t="n"/>
      <c r="K474" s="7">
        <f>IF($A474="","",N474*U474/100)</f>
        <v/>
      </c>
      <c r="L474" s="7">
        <f>IF($A474="","",N474-K474)</f>
        <v/>
      </c>
      <c r="M474" s="7">
        <f>IF($A474="","",L474-F474)</f>
        <v/>
      </c>
      <c r="N474" s="7" t="n"/>
      <c r="O474" s="7" t="n"/>
      <c r="P474" s="7" t="n"/>
      <c r="R474" s="14" t="n"/>
      <c r="V474">
        <f>IF($A474="","",IF(COUNTIF($A$2:$A474,$A474)=1,1,0))</f>
        <v/>
      </c>
      <c r="W474">
        <f>IF($V474=1,SUMPRODUCT(--($Y$2:$Y$1501&lt;$Y474))+1,"")</f>
        <v/>
      </c>
      <c r="X474">
        <f>IF($A474="","",IF(OR($T474=TRUE(),$T474="TRUE"),1,0))</f>
        <v/>
      </c>
      <c r="Y474">
        <f>IF($V474=1,IFERROR(IF(VALUE($A474)&lt;100000000,VALUE($A474),1000000000),IFERROR(IF(VALUE(MID($A474,2,20))&lt;100000000,VALUE(MID($A474,2,20)),1000000000),1000000000))+ROW()/100000,"")</f>
        <v/>
      </c>
    </row>
    <row r="475">
      <c r="F475" s="7">
        <f>IF($A475="","",E475*L475/100)</f>
        <v/>
      </c>
      <c r="J475" s="7" t="n"/>
      <c r="K475" s="7">
        <f>IF($A475="","",N475*U475/100)</f>
        <v/>
      </c>
      <c r="L475" s="7">
        <f>IF($A475="","",N475-K475)</f>
        <v/>
      </c>
      <c r="M475" s="7">
        <f>IF($A475="","",L475-F475)</f>
        <v/>
      </c>
      <c r="N475" s="7" t="n"/>
      <c r="O475" s="7" t="n"/>
      <c r="P475" s="7" t="n"/>
      <c r="R475" s="14" t="n"/>
      <c r="V475">
        <f>IF($A475="","",IF(COUNTIF($A$2:$A475,$A475)=1,1,0))</f>
        <v/>
      </c>
      <c r="W475">
        <f>IF($V475=1,SUMPRODUCT(--($Y$2:$Y$1501&lt;$Y475))+1,"")</f>
        <v/>
      </c>
      <c r="X475">
        <f>IF($A475="","",IF(OR($T475=TRUE(),$T475="TRUE"),1,0))</f>
        <v/>
      </c>
      <c r="Y475">
        <f>IF($V475=1,IFERROR(IF(VALUE($A475)&lt;100000000,VALUE($A475),1000000000),IFERROR(IF(VALUE(MID($A475,2,20))&lt;100000000,VALUE(MID($A475,2,20)),1000000000),1000000000))+ROW()/100000,"")</f>
        <v/>
      </c>
    </row>
    <row r="476">
      <c r="F476" s="7">
        <f>IF($A476="","",E476*L476/100)</f>
        <v/>
      </c>
      <c r="J476" s="7" t="n"/>
      <c r="K476" s="7">
        <f>IF($A476="","",N476*U476/100)</f>
        <v/>
      </c>
      <c r="L476" s="7">
        <f>IF($A476="","",N476-K476)</f>
        <v/>
      </c>
      <c r="M476" s="7">
        <f>IF($A476="","",L476-F476)</f>
        <v/>
      </c>
      <c r="N476" s="7" t="n"/>
      <c r="O476" s="7" t="n"/>
      <c r="P476" s="7" t="n"/>
      <c r="R476" s="14" t="n"/>
      <c r="V476">
        <f>IF($A476="","",IF(COUNTIF($A$2:$A476,$A476)=1,1,0))</f>
        <v/>
      </c>
      <c r="W476">
        <f>IF($V476=1,SUMPRODUCT(--($Y$2:$Y$1501&lt;$Y476))+1,"")</f>
        <v/>
      </c>
      <c r="X476">
        <f>IF($A476="","",IF(OR($T476=TRUE(),$T476="TRUE"),1,0))</f>
        <v/>
      </c>
      <c r="Y476">
        <f>IF($V476=1,IFERROR(IF(VALUE($A476)&lt;100000000,VALUE($A476),1000000000),IFERROR(IF(VALUE(MID($A476,2,20))&lt;100000000,VALUE(MID($A476,2,20)),1000000000),1000000000))+ROW()/100000,"")</f>
        <v/>
      </c>
    </row>
    <row r="477">
      <c r="F477" s="7">
        <f>IF($A477="","",E477*L477/100)</f>
        <v/>
      </c>
      <c r="J477" s="7" t="n"/>
      <c r="K477" s="7">
        <f>IF($A477="","",N477*U477/100)</f>
        <v/>
      </c>
      <c r="L477" s="7">
        <f>IF($A477="","",N477-K477)</f>
        <v/>
      </c>
      <c r="M477" s="7">
        <f>IF($A477="","",L477-F477)</f>
        <v/>
      </c>
      <c r="N477" s="7" t="n"/>
      <c r="O477" s="7" t="n"/>
      <c r="P477" s="7" t="n"/>
      <c r="R477" s="14" t="n"/>
      <c r="V477">
        <f>IF($A477="","",IF(COUNTIF($A$2:$A477,$A477)=1,1,0))</f>
        <v/>
      </c>
      <c r="W477">
        <f>IF($V477=1,SUMPRODUCT(--($Y$2:$Y$1501&lt;$Y477))+1,"")</f>
        <v/>
      </c>
      <c r="X477">
        <f>IF($A477="","",IF(OR($T477=TRUE(),$T477="TRUE"),1,0))</f>
        <v/>
      </c>
      <c r="Y477">
        <f>IF($V477=1,IFERROR(IF(VALUE($A477)&lt;100000000,VALUE($A477),1000000000),IFERROR(IF(VALUE(MID($A477,2,20))&lt;100000000,VALUE(MID($A477,2,20)),1000000000),1000000000))+ROW()/100000,"")</f>
        <v/>
      </c>
    </row>
    <row r="478">
      <c r="F478" s="7">
        <f>IF($A478="","",E478*L478/100)</f>
        <v/>
      </c>
      <c r="J478" s="7" t="n"/>
      <c r="K478" s="7">
        <f>IF($A478="","",N478*U478/100)</f>
        <v/>
      </c>
      <c r="L478" s="7">
        <f>IF($A478="","",N478-K478)</f>
        <v/>
      </c>
      <c r="M478" s="7">
        <f>IF($A478="","",L478-F478)</f>
        <v/>
      </c>
      <c r="N478" s="7" t="n"/>
      <c r="O478" s="7" t="n"/>
      <c r="P478" s="7" t="n"/>
      <c r="R478" s="14" t="n"/>
      <c r="V478">
        <f>IF($A478="","",IF(COUNTIF($A$2:$A478,$A478)=1,1,0))</f>
        <v/>
      </c>
      <c r="W478">
        <f>IF($V478=1,SUMPRODUCT(--($Y$2:$Y$1501&lt;$Y478))+1,"")</f>
        <v/>
      </c>
      <c r="X478">
        <f>IF($A478="","",IF(OR($T478=TRUE(),$T478="TRUE"),1,0))</f>
        <v/>
      </c>
      <c r="Y478">
        <f>IF($V478=1,IFERROR(IF(VALUE($A478)&lt;100000000,VALUE($A478),1000000000),IFERROR(IF(VALUE(MID($A478,2,20))&lt;100000000,VALUE(MID($A478,2,20)),1000000000),1000000000))+ROW()/100000,"")</f>
        <v/>
      </c>
    </row>
    <row r="479">
      <c r="F479" s="7">
        <f>IF($A479="","",E479*L479/100)</f>
        <v/>
      </c>
      <c r="J479" s="7" t="n"/>
      <c r="K479" s="7">
        <f>IF($A479="","",N479*U479/100)</f>
        <v/>
      </c>
      <c r="L479" s="7">
        <f>IF($A479="","",N479-K479)</f>
        <v/>
      </c>
      <c r="M479" s="7">
        <f>IF($A479="","",L479-F479)</f>
        <v/>
      </c>
      <c r="N479" s="7" t="n"/>
      <c r="O479" s="7" t="n"/>
      <c r="P479" s="7" t="n"/>
      <c r="R479" s="14" t="n"/>
      <c r="V479">
        <f>IF($A479="","",IF(COUNTIF($A$2:$A479,$A479)=1,1,0))</f>
        <v/>
      </c>
      <c r="W479">
        <f>IF($V479=1,SUMPRODUCT(--($Y$2:$Y$1501&lt;$Y479))+1,"")</f>
        <v/>
      </c>
      <c r="X479">
        <f>IF($A479="","",IF(OR($T479=TRUE(),$T479="TRUE"),1,0))</f>
        <v/>
      </c>
      <c r="Y479">
        <f>IF($V479=1,IFERROR(IF(VALUE($A479)&lt;100000000,VALUE($A479),1000000000),IFERROR(IF(VALUE(MID($A479,2,20))&lt;100000000,VALUE(MID($A479,2,20)),1000000000),1000000000))+ROW()/100000,"")</f>
        <v/>
      </c>
    </row>
    <row r="480">
      <c r="F480" s="7">
        <f>IF($A480="","",E480*L480/100)</f>
        <v/>
      </c>
      <c r="J480" s="7" t="n"/>
      <c r="K480" s="7">
        <f>IF($A480="","",N480*U480/100)</f>
        <v/>
      </c>
      <c r="L480" s="7">
        <f>IF($A480="","",N480-K480)</f>
        <v/>
      </c>
      <c r="M480" s="7">
        <f>IF($A480="","",L480-F480)</f>
        <v/>
      </c>
      <c r="N480" s="7" t="n"/>
      <c r="O480" s="7" t="n"/>
      <c r="P480" s="7" t="n"/>
      <c r="R480" s="14" t="n"/>
      <c r="V480">
        <f>IF($A480="","",IF(COUNTIF($A$2:$A480,$A480)=1,1,0))</f>
        <v/>
      </c>
      <c r="W480">
        <f>IF($V480=1,SUMPRODUCT(--($Y$2:$Y$1501&lt;$Y480))+1,"")</f>
        <v/>
      </c>
      <c r="X480">
        <f>IF($A480="","",IF(OR($T480=TRUE(),$T480="TRUE"),1,0))</f>
        <v/>
      </c>
      <c r="Y480">
        <f>IF($V480=1,IFERROR(IF(VALUE($A480)&lt;100000000,VALUE($A480),1000000000),IFERROR(IF(VALUE(MID($A480,2,20))&lt;100000000,VALUE(MID($A480,2,20)),1000000000),1000000000))+ROW()/100000,"")</f>
        <v/>
      </c>
    </row>
    <row r="481">
      <c r="F481" s="7">
        <f>IF($A481="","",E481*L481/100)</f>
        <v/>
      </c>
      <c r="J481" s="7" t="n"/>
      <c r="K481" s="7">
        <f>IF($A481="","",N481*U481/100)</f>
        <v/>
      </c>
      <c r="L481" s="7">
        <f>IF($A481="","",N481-K481)</f>
        <v/>
      </c>
      <c r="M481" s="7">
        <f>IF($A481="","",L481-F481)</f>
        <v/>
      </c>
      <c r="N481" s="7" t="n"/>
      <c r="O481" s="7" t="n"/>
      <c r="P481" s="7" t="n"/>
      <c r="R481" s="14" t="n"/>
      <c r="V481">
        <f>IF($A481="","",IF(COUNTIF($A$2:$A481,$A481)=1,1,0))</f>
        <v/>
      </c>
      <c r="W481">
        <f>IF($V481=1,SUMPRODUCT(--($Y$2:$Y$1501&lt;$Y481))+1,"")</f>
        <v/>
      </c>
      <c r="X481">
        <f>IF($A481="","",IF(OR($T481=TRUE(),$T481="TRUE"),1,0))</f>
        <v/>
      </c>
      <c r="Y481">
        <f>IF($V481=1,IFERROR(IF(VALUE($A481)&lt;100000000,VALUE($A481),1000000000),IFERROR(IF(VALUE(MID($A481,2,20))&lt;100000000,VALUE(MID($A481,2,20)),1000000000),1000000000))+ROW()/100000,"")</f>
        <v/>
      </c>
    </row>
    <row r="482">
      <c r="F482" s="7">
        <f>IF($A482="","",E482*L482/100)</f>
        <v/>
      </c>
      <c r="J482" s="7" t="n"/>
      <c r="K482" s="7">
        <f>IF($A482="","",N482*U482/100)</f>
        <v/>
      </c>
      <c r="L482" s="7">
        <f>IF($A482="","",N482-K482)</f>
        <v/>
      </c>
      <c r="M482" s="7">
        <f>IF($A482="","",L482-F482)</f>
        <v/>
      </c>
      <c r="N482" s="7" t="n"/>
      <c r="O482" s="7" t="n"/>
      <c r="P482" s="7" t="n"/>
      <c r="R482" s="14" t="n"/>
      <c r="V482">
        <f>IF($A482="","",IF(COUNTIF($A$2:$A482,$A482)=1,1,0))</f>
        <v/>
      </c>
      <c r="W482">
        <f>IF($V482=1,SUMPRODUCT(--($Y$2:$Y$1501&lt;$Y482))+1,"")</f>
        <v/>
      </c>
      <c r="X482">
        <f>IF($A482="","",IF(OR($T482=TRUE(),$T482="TRUE"),1,0))</f>
        <v/>
      </c>
      <c r="Y482">
        <f>IF($V482=1,IFERROR(IF(VALUE($A482)&lt;100000000,VALUE($A482),1000000000),IFERROR(IF(VALUE(MID($A482,2,20))&lt;100000000,VALUE(MID($A482,2,20)),1000000000),1000000000))+ROW()/100000,"")</f>
        <v/>
      </c>
    </row>
    <row r="483">
      <c r="F483" s="7">
        <f>IF($A483="","",E483*L483/100)</f>
        <v/>
      </c>
      <c r="J483" s="7" t="n"/>
      <c r="K483" s="7">
        <f>IF($A483="","",N483*U483/100)</f>
        <v/>
      </c>
      <c r="L483" s="7">
        <f>IF($A483="","",N483-K483)</f>
        <v/>
      </c>
      <c r="M483" s="7">
        <f>IF($A483="","",L483-F483)</f>
        <v/>
      </c>
      <c r="N483" s="7" t="n"/>
      <c r="O483" s="7" t="n"/>
      <c r="P483" s="7" t="n"/>
      <c r="R483" s="14" t="n"/>
      <c r="V483">
        <f>IF($A483="","",IF(COUNTIF($A$2:$A483,$A483)=1,1,0))</f>
        <v/>
      </c>
      <c r="W483">
        <f>IF($V483=1,SUMPRODUCT(--($Y$2:$Y$1501&lt;$Y483))+1,"")</f>
        <v/>
      </c>
      <c r="X483">
        <f>IF($A483="","",IF(OR($T483=TRUE(),$T483="TRUE"),1,0))</f>
        <v/>
      </c>
      <c r="Y483">
        <f>IF($V483=1,IFERROR(IF(VALUE($A483)&lt;100000000,VALUE($A483),1000000000),IFERROR(IF(VALUE(MID($A483,2,20))&lt;100000000,VALUE(MID($A483,2,20)),1000000000),1000000000))+ROW()/100000,"")</f>
        <v/>
      </c>
    </row>
    <row r="484">
      <c r="F484" s="7">
        <f>IF($A484="","",E484*L484/100)</f>
        <v/>
      </c>
      <c r="J484" s="7" t="n"/>
      <c r="K484" s="7">
        <f>IF($A484="","",N484*U484/100)</f>
        <v/>
      </c>
      <c r="L484" s="7">
        <f>IF($A484="","",N484-K484)</f>
        <v/>
      </c>
      <c r="M484" s="7">
        <f>IF($A484="","",L484-F484)</f>
        <v/>
      </c>
      <c r="N484" s="7" t="n"/>
      <c r="O484" s="7" t="n"/>
      <c r="P484" s="7" t="n"/>
      <c r="R484" s="14" t="n"/>
      <c r="V484">
        <f>IF($A484="","",IF(COUNTIF($A$2:$A484,$A484)=1,1,0))</f>
        <v/>
      </c>
      <c r="W484">
        <f>IF($V484=1,SUMPRODUCT(--($Y$2:$Y$1501&lt;$Y484))+1,"")</f>
        <v/>
      </c>
      <c r="X484">
        <f>IF($A484="","",IF(OR($T484=TRUE(),$T484="TRUE"),1,0))</f>
        <v/>
      </c>
      <c r="Y484">
        <f>IF($V484=1,IFERROR(IF(VALUE($A484)&lt;100000000,VALUE($A484),1000000000),IFERROR(IF(VALUE(MID($A484,2,20))&lt;100000000,VALUE(MID($A484,2,20)),1000000000),1000000000))+ROW()/100000,"")</f>
        <v/>
      </c>
    </row>
    <row r="485">
      <c r="F485" s="7">
        <f>IF($A485="","",E485*L485/100)</f>
        <v/>
      </c>
      <c r="J485" s="7" t="n"/>
      <c r="K485" s="7">
        <f>IF($A485="","",N485*U485/100)</f>
        <v/>
      </c>
      <c r="L485" s="7">
        <f>IF($A485="","",N485-K485)</f>
        <v/>
      </c>
      <c r="M485" s="7">
        <f>IF($A485="","",L485-F485)</f>
        <v/>
      </c>
      <c r="N485" s="7" t="n"/>
      <c r="O485" s="7" t="n"/>
      <c r="P485" s="7" t="n"/>
      <c r="R485" s="14" t="n"/>
      <c r="V485">
        <f>IF($A485="","",IF(COUNTIF($A$2:$A485,$A485)=1,1,0))</f>
        <v/>
      </c>
      <c r="W485">
        <f>IF($V485=1,SUMPRODUCT(--($Y$2:$Y$1501&lt;$Y485))+1,"")</f>
        <v/>
      </c>
      <c r="X485">
        <f>IF($A485="","",IF(OR($T485=TRUE(),$T485="TRUE"),1,0))</f>
        <v/>
      </c>
      <c r="Y485">
        <f>IF($V485=1,IFERROR(IF(VALUE($A485)&lt;100000000,VALUE($A485),1000000000),IFERROR(IF(VALUE(MID($A485,2,20))&lt;100000000,VALUE(MID($A485,2,20)),1000000000),1000000000))+ROW()/100000,"")</f>
        <v/>
      </c>
    </row>
    <row r="486">
      <c r="F486" s="7">
        <f>IF($A486="","",E486*L486/100)</f>
        <v/>
      </c>
      <c r="J486" s="7" t="n"/>
      <c r="K486" s="7">
        <f>IF($A486="","",N486*U486/100)</f>
        <v/>
      </c>
      <c r="L486" s="7">
        <f>IF($A486="","",N486-K486)</f>
        <v/>
      </c>
      <c r="M486" s="7">
        <f>IF($A486="","",L486-F486)</f>
        <v/>
      </c>
      <c r="N486" s="7" t="n"/>
      <c r="O486" s="7" t="n"/>
      <c r="P486" s="7" t="n"/>
      <c r="R486" s="14" t="n"/>
      <c r="V486">
        <f>IF($A486="","",IF(COUNTIF($A$2:$A486,$A486)=1,1,0))</f>
        <v/>
      </c>
      <c r="W486">
        <f>IF($V486=1,SUMPRODUCT(--($Y$2:$Y$1501&lt;$Y486))+1,"")</f>
        <v/>
      </c>
      <c r="X486">
        <f>IF($A486="","",IF(OR($T486=TRUE(),$T486="TRUE"),1,0))</f>
        <v/>
      </c>
      <c r="Y486">
        <f>IF($V486=1,IFERROR(IF(VALUE($A486)&lt;100000000,VALUE($A486),1000000000),IFERROR(IF(VALUE(MID($A486,2,20))&lt;100000000,VALUE(MID($A486,2,20)),1000000000),1000000000))+ROW()/100000,"")</f>
        <v/>
      </c>
    </row>
    <row r="487">
      <c r="F487" s="7">
        <f>IF($A487="","",E487*L487/100)</f>
        <v/>
      </c>
      <c r="J487" s="7" t="n"/>
      <c r="K487" s="7">
        <f>IF($A487="","",N487*U487/100)</f>
        <v/>
      </c>
      <c r="L487" s="7">
        <f>IF($A487="","",N487-K487)</f>
        <v/>
      </c>
      <c r="M487" s="7">
        <f>IF($A487="","",L487-F487)</f>
        <v/>
      </c>
      <c r="N487" s="7" t="n"/>
      <c r="O487" s="7" t="n"/>
      <c r="P487" s="7" t="n"/>
      <c r="R487" s="14" t="n"/>
      <c r="V487">
        <f>IF($A487="","",IF(COUNTIF($A$2:$A487,$A487)=1,1,0))</f>
        <v/>
      </c>
      <c r="W487">
        <f>IF($V487=1,SUMPRODUCT(--($Y$2:$Y$1501&lt;$Y487))+1,"")</f>
        <v/>
      </c>
      <c r="X487">
        <f>IF($A487="","",IF(OR($T487=TRUE(),$T487="TRUE"),1,0))</f>
        <v/>
      </c>
      <c r="Y487">
        <f>IF($V487=1,IFERROR(IF(VALUE($A487)&lt;100000000,VALUE($A487),1000000000),IFERROR(IF(VALUE(MID($A487,2,20))&lt;100000000,VALUE(MID($A487,2,20)),1000000000),1000000000))+ROW()/100000,"")</f>
        <v/>
      </c>
    </row>
    <row r="488">
      <c r="F488" s="7">
        <f>IF($A488="","",E488*L488/100)</f>
        <v/>
      </c>
      <c r="J488" s="7" t="n"/>
      <c r="K488" s="7">
        <f>IF($A488="","",N488*U488/100)</f>
        <v/>
      </c>
      <c r="L488" s="7">
        <f>IF($A488="","",N488-K488)</f>
        <v/>
      </c>
      <c r="M488" s="7">
        <f>IF($A488="","",L488-F488)</f>
        <v/>
      </c>
      <c r="N488" s="7" t="n"/>
      <c r="O488" s="7" t="n"/>
      <c r="P488" s="7" t="n"/>
      <c r="R488" s="14" t="n"/>
      <c r="V488">
        <f>IF($A488="","",IF(COUNTIF($A$2:$A488,$A488)=1,1,0))</f>
        <v/>
      </c>
      <c r="W488">
        <f>IF($V488=1,SUMPRODUCT(--($Y$2:$Y$1501&lt;$Y488))+1,"")</f>
        <v/>
      </c>
      <c r="X488">
        <f>IF($A488="","",IF(OR($T488=TRUE(),$T488="TRUE"),1,0))</f>
        <v/>
      </c>
      <c r="Y488">
        <f>IF($V488=1,IFERROR(IF(VALUE($A488)&lt;100000000,VALUE($A488),1000000000),IFERROR(IF(VALUE(MID($A488,2,20))&lt;100000000,VALUE(MID($A488,2,20)),1000000000),1000000000))+ROW()/100000,"")</f>
        <v/>
      </c>
    </row>
    <row r="489">
      <c r="F489" s="7">
        <f>IF($A489="","",E489*L489/100)</f>
        <v/>
      </c>
      <c r="J489" s="7" t="n"/>
      <c r="K489" s="7">
        <f>IF($A489="","",N489*U489/100)</f>
        <v/>
      </c>
      <c r="L489" s="7">
        <f>IF($A489="","",N489-K489)</f>
        <v/>
      </c>
      <c r="M489" s="7">
        <f>IF($A489="","",L489-F489)</f>
        <v/>
      </c>
      <c r="N489" s="7" t="n"/>
      <c r="O489" s="7" t="n"/>
      <c r="P489" s="7" t="n"/>
      <c r="R489" s="14" t="n"/>
      <c r="V489">
        <f>IF($A489="","",IF(COUNTIF($A$2:$A489,$A489)=1,1,0))</f>
        <v/>
      </c>
      <c r="W489">
        <f>IF($V489=1,SUMPRODUCT(--($Y$2:$Y$1501&lt;$Y489))+1,"")</f>
        <v/>
      </c>
      <c r="X489">
        <f>IF($A489="","",IF(OR($T489=TRUE(),$T489="TRUE"),1,0))</f>
        <v/>
      </c>
      <c r="Y489">
        <f>IF($V489=1,IFERROR(IF(VALUE($A489)&lt;100000000,VALUE($A489),1000000000),IFERROR(IF(VALUE(MID($A489,2,20))&lt;100000000,VALUE(MID($A489,2,20)),1000000000),1000000000))+ROW()/100000,"")</f>
        <v/>
      </c>
    </row>
    <row r="490">
      <c r="F490" s="7">
        <f>IF($A490="","",E490*L490/100)</f>
        <v/>
      </c>
      <c r="J490" s="7" t="n"/>
      <c r="K490" s="7">
        <f>IF($A490="","",N490*U490/100)</f>
        <v/>
      </c>
      <c r="L490" s="7">
        <f>IF($A490="","",N490-K490)</f>
        <v/>
      </c>
      <c r="M490" s="7">
        <f>IF($A490="","",L490-F490)</f>
        <v/>
      </c>
      <c r="N490" s="7" t="n"/>
      <c r="O490" s="7" t="n"/>
      <c r="P490" s="7" t="n"/>
      <c r="R490" s="14" t="n"/>
      <c r="V490">
        <f>IF($A490="","",IF(COUNTIF($A$2:$A490,$A490)=1,1,0))</f>
        <v/>
      </c>
      <c r="W490">
        <f>IF($V490=1,SUMPRODUCT(--($Y$2:$Y$1501&lt;$Y490))+1,"")</f>
        <v/>
      </c>
      <c r="X490">
        <f>IF($A490="","",IF(OR($T490=TRUE(),$T490="TRUE"),1,0))</f>
        <v/>
      </c>
      <c r="Y490">
        <f>IF($V490=1,IFERROR(IF(VALUE($A490)&lt;100000000,VALUE($A490),1000000000),IFERROR(IF(VALUE(MID($A490,2,20))&lt;100000000,VALUE(MID($A490,2,20)),1000000000),1000000000))+ROW()/100000,"")</f>
        <v/>
      </c>
    </row>
    <row r="491">
      <c r="F491" s="7">
        <f>IF($A491="","",E491*L491/100)</f>
        <v/>
      </c>
      <c r="J491" s="7" t="n"/>
      <c r="K491" s="7">
        <f>IF($A491="","",N491*U491/100)</f>
        <v/>
      </c>
      <c r="L491" s="7">
        <f>IF($A491="","",N491-K491)</f>
        <v/>
      </c>
      <c r="M491" s="7">
        <f>IF($A491="","",L491-F491)</f>
        <v/>
      </c>
      <c r="N491" s="7" t="n"/>
      <c r="O491" s="7" t="n"/>
      <c r="P491" s="7" t="n"/>
      <c r="R491" s="14" t="n"/>
      <c r="V491">
        <f>IF($A491="","",IF(COUNTIF($A$2:$A491,$A491)=1,1,0))</f>
        <v/>
      </c>
      <c r="W491">
        <f>IF($V491=1,SUMPRODUCT(--($Y$2:$Y$1501&lt;$Y491))+1,"")</f>
        <v/>
      </c>
      <c r="X491">
        <f>IF($A491="","",IF(OR($T491=TRUE(),$T491="TRUE"),1,0))</f>
        <v/>
      </c>
      <c r="Y491">
        <f>IF($V491=1,IFERROR(IF(VALUE($A491)&lt;100000000,VALUE($A491),1000000000),IFERROR(IF(VALUE(MID($A491,2,20))&lt;100000000,VALUE(MID($A491,2,20)),1000000000),1000000000))+ROW()/100000,"")</f>
        <v/>
      </c>
    </row>
    <row r="492">
      <c r="F492" s="7">
        <f>IF($A492="","",E492*L492/100)</f>
        <v/>
      </c>
      <c r="J492" s="7" t="n"/>
      <c r="K492" s="7">
        <f>IF($A492="","",N492*U492/100)</f>
        <v/>
      </c>
      <c r="L492" s="7">
        <f>IF($A492="","",N492-K492)</f>
        <v/>
      </c>
      <c r="M492" s="7">
        <f>IF($A492="","",L492-F492)</f>
        <v/>
      </c>
      <c r="N492" s="7" t="n"/>
      <c r="O492" s="7" t="n"/>
      <c r="P492" s="7" t="n"/>
      <c r="R492" s="14" t="n"/>
      <c r="V492">
        <f>IF($A492="","",IF(COUNTIF($A$2:$A492,$A492)=1,1,0))</f>
        <v/>
      </c>
      <c r="W492">
        <f>IF($V492=1,SUMPRODUCT(--($Y$2:$Y$1501&lt;$Y492))+1,"")</f>
        <v/>
      </c>
      <c r="X492">
        <f>IF($A492="","",IF(OR($T492=TRUE(),$T492="TRUE"),1,0))</f>
        <v/>
      </c>
      <c r="Y492">
        <f>IF($V492=1,IFERROR(IF(VALUE($A492)&lt;100000000,VALUE($A492),1000000000),IFERROR(IF(VALUE(MID($A492,2,20))&lt;100000000,VALUE(MID($A492,2,20)),1000000000),1000000000))+ROW()/100000,"")</f>
        <v/>
      </c>
    </row>
    <row r="493">
      <c r="F493" s="7">
        <f>IF($A493="","",E493*L493/100)</f>
        <v/>
      </c>
      <c r="J493" s="7" t="n"/>
      <c r="K493" s="7">
        <f>IF($A493="","",N493*U493/100)</f>
        <v/>
      </c>
      <c r="L493" s="7">
        <f>IF($A493="","",N493-K493)</f>
        <v/>
      </c>
      <c r="M493" s="7">
        <f>IF($A493="","",L493-F493)</f>
        <v/>
      </c>
      <c r="N493" s="7" t="n"/>
      <c r="O493" s="7" t="n"/>
      <c r="P493" s="7" t="n"/>
      <c r="R493" s="14" t="n"/>
      <c r="V493">
        <f>IF($A493="","",IF(COUNTIF($A$2:$A493,$A493)=1,1,0))</f>
        <v/>
      </c>
      <c r="W493">
        <f>IF($V493=1,SUMPRODUCT(--($Y$2:$Y$1501&lt;$Y493))+1,"")</f>
        <v/>
      </c>
      <c r="X493">
        <f>IF($A493="","",IF(OR($T493=TRUE(),$T493="TRUE"),1,0))</f>
        <v/>
      </c>
      <c r="Y493">
        <f>IF($V493=1,IFERROR(IF(VALUE($A493)&lt;100000000,VALUE($A493),1000000000),IFERROR(IF(VALUE(MID($A493,2,20))&lt;100000000,VALUE(MID($A493,2,20)),1000000000),1000000000))+ROW()/100000,"")</f>
        <v/>
      </c>
    </row>
    <row r="494">
      <c r="F494" s="7">
        <f>IF($A494="","",E494*L494/100)</f>
        <v/>
      </c>
      <c r="J494" s="7" t="n"/>
      <c r="K494" s="7">
        <f>IF($A494="","",N494*U494/100)</f>
        <v/>
      </c>
      <c r="L494" s="7">
        <f>IF($A494="","",N494-K494)</f>
        <v/>
      </c>
      <c r="M494" s="7">
        <f>IF($A494="","",L494-F494)</f>
        <v/>
      </c>
      <c r="N494" s="7" t="n"/>
      <c r="O494" s="7" t="n"/>
      <c r="P494" s="7" t="n"/>
      <c r="R494" s="14" t="n"/>
      <c r="V494">
        <f>IF($A494="","",IF(COUNTIF($A$2:$A494,$A494)=1,1,0))</f>
        <v/>
      </c>
      <c r="W494">
        <f>IF($V494=1,SUMPRODUCT(--($Y$2:$Y$1501&lt;$Y494))+1,"")</f>
        <v/>
      </c>
      <c r="X494">
        <f>IF($A494="","",IF(OR($T494=TRUE(),$T494="TRUE"),1,0))</f>
        <v/>
      </c>
      <c r="Y494">
        <f>IF($V494=1,IFERROR(IF(VALUE($A494)&lt;100000000,VALUE($A494),1000000000),IFERROR(IF(VALUE(MID($A494,2,20))&lt;100000000,VALUE(MID($A494,2,20)),1000000000),1000000000))+ROW()/100000,"")</f>
        <v/>
      </c>
    </row>
    <row r="495">
      <c r="F495" s="7">
        <f>IF($A495="","",E495*L495/100)</f>
        <v/>
      </c>
      <c r="J495" s="7" t="n"/>
      <c r="K495" s="7">
        <f>IF($A495="","",N495*U495/100)</f>
        <v/>
      </c>
      <c r="L495" s="7">
        <f>IF($A495="","",N495-K495)</f>
        <v/>
      </c>
      <c r="M495" s="7">
        <f>IF($A495="","",L495-F495)</f>
        <v/>
      </c>
      <c r="N495" s="7" t="n"/>
      <c r="O495" s="7" t="n"/>
      <c r="P495" s="7" t="n"/>
      <c r="R495" s="14" t="n"/>
      <c r="V495">
        <f>IF($A495="","",IF(COUNTIF($A$2:$A495,$A495)=1,1,0))</f>
        <v/>
      </c>
      <c r="W495">
        <f>IF($V495=1,SUMPRODUCT(--($Y$2:$Y$1501&lt;$Y495))+1,"")</f>
        <v/>
      </c>
      <c r="X495">
        <f>IF($A495="","",IF(OR($T495=TRUE(),$T495="TRUE"),1,0))</f>
        <v/>
      </c>
      <c r="Y495">
        <f>IF($V495=1,IFERROR(IF(VALUE($A495)&lt;100000000,VALUE($A495),1000000000),IFERROR(IF(VALUE(MID($A495,2,20))&lt;100000000,VALUE(MID($A495,2,20)),1000000000),1000000000))+ROW()/100000,"")</f>
        <v/>
      </c>
    </row>
    <row r="496">
      <c r="F496" s="7">
        <f>IF($A496="","",E496*L496/100)</f>
        <v/>
      </c>
      <c r="J496" s="7" t="n"/>
      <c r="K496" s="7">
        <f>IF($A496="","",N496*U496/100)</f>
        <v/>
      </c>
      <c r="L496" s="7">
        <f>IF($A496="","",N496-K496)</f>
        <v/>
      </c>
      <c r="M496" s="7">
        <f>IF($A496="","",L496-F496)</f>
        <v/>
      </c>
      <c r="N496" s="7" t="n"/>
      <c r="O496" s="7" t="n"/>
      <c r="P496" s="7" t="n"/>
      <c r="R496" s="14" t="n"/>
      <c r="V496">
        <f>IF($A496="","",IF(COUNTIF($A$2:$A496,$A496)=1,1,0))</f>
        <v/>
      </c>
      <c r="W496">
        <f>IF($V496=1,SUMPRODUCT(--($Y$2:$Y$1501&lt;$Y496))+1,"")</f>
        <v/>
      </c>
      <c r="X496">
        <f>IF($A496="","",IF(OR($T496=TRUE(),$T496="TRUE"),1,0))</f>
        <v/>
      </c>
      <c r="Y496">
        <f>IF($V496=1,IFERROR(IF(VALUE($A496)&lt;100000000,VALUE($A496),1000000000),IFERROR(IF(VALUE(MID($A496,2,20))&lt;100000000,VALUE(MID($A496,2,20)),1000000000),1000000000))+ROW()/100000,"")</f>
        <v/>
      </c>
    </row>
    <row r="497">
      <c r="F497" s="7">
        <f>IF($A497="","",E497*L497/100)</f>
        <v/>
      </c>
      <c r="J497" s="7" t="n"/>
      <c r="K497" s="7">
        <f>IF($A497="","",N497*U497/100)</f>
        <v/>
      </c>
      <c r="L497" s="7">
        <f>IF($A497="","",N497-K497)</f>
        <v/>
      </c>
      <c r="M497" s="7">
        <f>IF($A497="","",L497-F497)</f>
        <v/>
      </c>
      <c r="N497" s="7" t="n"/>
      <c r="O497" s="7" t="n"/>
      <c r="P497" s="7" t="n"/>
      <c r="R497" s="14" t="n"/>
      <c r="V497">
        <f>IF($A497="","",IF(COUNTIF($A$2:$A497,$A497)=1,1,0))</f>
        <v/>
      </c>
      <c r="W497">
        <f>IF($V497=1,SUMPRODUCT(--($Y$2:$Y$1501&lt;$Y497))+1,"")</f>
        <v/>
      </c>
      <c r="X497">
        <f>IF($A497="","",IF(OR($T497=TRUE(),$T497="TRUE"),1,0))</f>
        <v/>
      </c>
      <c r="Y497">
        <f>IF($V497=1,IFERROR(IF(VALUE($A497)&lt;100000000,VALUE($A497),1000000000),IFERROR(IF(VALUE(MID($A497,2,20))&lt;100000000,VALUE(MID($A497,2,20)),1000000000),1000000000))+ROW()/100000,"")</f>
        <v/>
      </c>
    </row>
    <row r="498">
      <c r="F498" s="7">
        <f>IF($A498="","",E498*L498/100)</f>
        <v/>
      </c>
      <c r="J498" s="7" t="n"/>
      <c r="K498" s="7">
        <f>IF($A498="","",N498*U498/100)</f>
        <v/>
      </c>
      <c r="L498" s="7">
        <f>IF($A498="","",N498-K498)</f>
        <v/>
      </c>
      <c r="M498" s="7">
        <f>IF($A498="","",L498-F498)</f>
        <v/>
      </c>
      <c r="N498" s="7" t="n"/>
      <c r="O498" s="7" t="n"/>
      <c r="P498" s="7" t="n"/>
      <c r="R498" s="14" t="n"/>
      <c r="V498">
        <f>IF($A498="","",IF(COUNTIF($A$2:$A498,$A498)=1,1,0))</f>
        <v/>
      </c>
      <c r="W498">
        <f>IF($V498=1,SUMPRODUCT(--($Y$2:$Y$1501&lt;$Y498))+1,"")</f>
        <v/>
      </c>
      <c r="X498">
        <f>IF($A498="","",IF(OR($T498=TRUE(),$T498="TRUE"),1,0))</f>
        <v/>
      </c>
      <c r="Y498">
        <f>IF($V498=1,IFERROR(IF(VALUE($A498)&lt;100000000,VALUE($A498),1000000000),IFERROR(IF(VALUE(MID($A498,2,20))&lt;100000000,VALUE(MID($A498,2,20)),1000000000),1000000000))+ROW()/100000,"")</f>
        <v/>
      </c>
    </row>
    <row r="499">
      <c r="F499" s="7">
        <f>IF($A499="","",E499*L499/100)</f>
        <v/>
      </c>
      <c r="J499" s="7" t="n"/>
      <c r="K499" s="7">
        <f>IF($A499="","",N499*U499/100)</f>
        <v/>
      </c>
      <c r="L499" s="7">
        <f>IF($A499="","",N499-K499)</f>
        <v/>
      </c>
      <c r="M499" s="7">
        <f>IF($A499="","",L499-F499)</f>
        <v/>
      </c>
      <c r="N499" s="7" t="n"/>
      <c r="O499" s="7" t="n"/>
      <c r="P499" s="7" t="n"/>
      <c r="R499" s="14" t="n"/>
      <c r="V499">
        <f>IF($A499="","",IF(COUNTIF($A$2:$A499,$A499)=1,1,0))</f>
        <v/>
      </c>
      <c r="W499">
        <f>IF($V499=1,SUMPRODUCT(--($Y$2:$Y$1501&lt;$Y499))+1,"")</f>
        <v/>
      </c>
      <c r="X499">
        <f>IF($A499="","",IF(OR($T499=TRUE(),$T499="TRUE"),1,0))</f>
        <v/>
      </c>
      <c r="Y499">
        <f>IF($V499=1,IFERROR(IF(VALUE($A499)&lt;100000000,VALUE($A499),1000000000),IFERROR(IF(VALUE(MID($A499,2,20))&lt;100000000,VALUE(MID($A499,2,20)),1000000000),1000000000))+ROW()/100000,"")</f>
        <v/>
      </c>
    </row>
    <row r="500">
      <c r="F500" s="7">
        <f>IF($A500="","",E500*L500/100)</f>
        <v/>
      </c>
      <c r="J500" s="7" t="n"/>
      <c r="K500" s="7">
        <f>IF($A500="","",N500*U500/100)</f>
        <v/>
      </c>
      <c r="L500" s="7">
        <f>IF($A500="","",N500-K500)</f>
        <v/>
      </c>
      <c r="M500" s="7">
        <f>IF($A500="","",L500-F500)</f>
        <v/>
      </c>
      <c r="N500" s="7" t="n"/>
      <c r="O500" s="7" t="n"/>
      <c r="P500" s="7" t="n"/>
      <c r="R500" s="14" t="n"/>
      <c r="V500">
        <f>IF($A500="","",IF(COUNTIF($A$2:$A500,$A500)=1,1,0))</f>
        <v/>
      </c>
      <c r="W500">
        <f>IF($V500=1,SUMPRODUCT(--($Y$2:$Y$1501&lt;$Y500))+1,"")</f>
        <v/>
      </c>
      <c r="X500">
        <f>IF($A500="","",IF(OR($T500=TRUE(),$T500="TRUE"),1,0))</f>
        <v/>
      </c>
      <c r="Y500">
        <f>IF($V500=1,IFERROR(IF(VALUE($A500)&lt;100000000,VALUE($A500),1000000000),IFERROR(IF(VALUE(MID($A500,2,20))&lt;100000000,VALUE(MID($A500,2,20)),1000000000),1000000000))+ROW()/100000,"")</f>
        <v/>
      </c>
    </row>
    <row r="501">
      <c r="F501" s="7">
        <f>IF($A501="","",E501*L501/100)</f>
        <v/>
      </c>
      <c r="J501" s="7" t="n"/>
      <c r="K501" s="7">
        <f>IF($A501="","",N501*U501/100)</f>
        <v/>
      </c>
      <c r="L501" s="7">
        <f>IF($A501="","",N501-K501)</f>
        <v/>
      </c>
      <c r="M501" s="7">
        <f>IF($A501="","",L501-F501)</f>
        <v/>
      </c>
      <c r="N501" s="7" t="n"/>
      <c r="O501" s="7" t="n"/>
      <c r="P501" s="7" t="n"/>
      <c r="R501" s="14" t="n"/>
      <c r="V501">
        <f>IF($A501="","",IF(COUNTIF($A$2:$A501,$A501)=1,1,0))</f>
        <v/>
      </c>
      <c r="W501">
        <f>IF($V501=1,SUMPRODUCT(--($Y$2:$Y$1501&lt;$Y501))+1,"")</f>
        <v/>
      </c>
      <c r="X501">
        <f>IF($A501="","",IF(OR($T501=TRUE(),$T501="TRUE"),1,0))</f>
        <v/>
      </c>
      <c r="Y501">
        <f>IF($V501=1,IFERROR(IF(VALUE($A501)&lt;100000000,VALUE($A501),1000000000),IFERROR(IF(VALUE(MID($A501,2,20))&lt;100000000,VALUE(MID($A501,2,20)),1000000000),1000000000))+ROW()/100000,"")</f>
        <v/>
      </c>
    </row>
    <row r="502">
      <c r="F502" s="7">
        <f>IF($A502="","",E502*L502/100)</f>
        <v/>
      </c>
      <c r="J502" s="7" t="n"/>
      <c r="K502" s="7">
        <f>IF($A502="","",N502*U502/100)</f>
        <v/>
      </c>
      <c r="L502" s="7">
        <f>IF($A502="","",N502-K502)</f>
        <v/>
      </c>
      <c r="M502" s="7">
        <f>IF($A502="","",L502-F502)</f>
        <v/>
      </c>
      <c r="N502" s="7" t="n"/>
      <c r="O502" s="7" t="n"/>
      <c r="P502" s="7" t="n"/>
      <c r="R502" s="14" t="n"/>
      <c r="V502">
        <f>IF($A502="","",IF(COUNTIF($A$2:$A502,$A502)=1,1,0))</f>
        <v/>
      </c>
      <c r="W502">
        <f>IF($V502=1,SUMPRODUCT(--($Y$2:$Y$1501&lt;$Y502))+1,"")</f>
        <v/>
      </c>
      <c r="X502">
        <f>IF($A502="","",IF(OR($T502=TRUE(),$T502="TRUE"),1,0))</f>
        <v/>
      </c>
      <c r="Y502">
        <f>IF($V502=1,IFERROR(IF(VALUE($A502)&lt;100000000,VALUE($A502),1000000000),IFERROR(IF(VALUE(MID($A502,2,20))&lt;100000000,VALUE(MID($A502,2,20)),1000000000),1000000000))+ROW()/100000,"")</f>
        <v/>
      </c>
    </row>
    <row r="503">
      <c r="F503" s="7">
        <f>IF($A503="","",E503*L503/100)</f>
        <v/>
      </c>
      <c r="J503" s="7" t="n"/>
      <c r="K503" s="7">
        <f>IF($A503="","",N503*U503/100)</f>
        <v/>
      </c>
      <c r="L503" s="7">
        <f>IF($A503="","",N503-K503)</f>
        <v/>
      </c>
      <c r="M503" s="7">
        <f>IF($A503="","",L503-F503)</f>
        <v/>
      </c>
      <c r="N503" s="7" t="n"/>
      <c r="O503" s="7" t="n"/>
      <c r="P503" s="7" t="n"/>
      <c r="R503" s="14" t="n"/>
      <c r="V503">
        <f>IF($A503="","",IF(COUNTIF($A$2:$A503,$A503)=1,1,0))</f>
        <v/>
      </c>
      <c r="W503">
        <f>IF($V503=1,SUMPRODUCT(--($Y$2:$Y$1501&lt;$Y503))+1,"")</f>
        <v/>
      </c>
      <c r="X503">
        <f>IF($A503="","",IF(OR($T503=TRUE(),$T503="TRUE"),1,0))</f>
        <v/>
      </c>
      <c r="Y503">
        <f>IF($V503=1,IFERROR(IF(VALUE($A503)&lt;100000000,VALUE($A503),1000000000),IFERROR(IF(VALUE(MID($A503,2,20))&lt;100000000,VALUE(MID($A503,2,20)),1000000000),1000000000))+ROW()/100000,"")</f>
        <v/>
      </c>
    </row>
    <row r="504">
      <c r="F504" s="7">
        <f>IF($A504="","",E504*L504/100)</f>
        <v/>
      </c>
      <c r="J504" s="7" t="n"/>
      <c r="K504" s="7">
        <f>IF($A504="","",N504*U504/100)</f>
        <v/>
      </c>
      <c r="L504" s="7">
        <f>IF($A504="","",N504-K504)</f>
        <v/>
      </c>
      <c r="M504" s="7">
        <f>IF($A504="","",L504-F504)</f>
        <v/>
      </c>
      <c r="N504" s="7" t="n"/>
      <c r="O504" s="7" t="n"/>
      <c r="P504" s="7" t="n"/>
      <c r="R504" s="14" t="n"/>
      <c r="V504">
        <f>IF($A504="","",IF(COUNTIF($A$2:$A504,$A504)=1,1,0))</f>
        <v/>
      </c>
      <c r="W504">
        <f>IF($V504=1,SUMPRODUCT(--($Y$2:$Y$1501&lt;$Y504))+1,"")</f>
        <v/>
      </c>
      <c r="X504">
        <f>IF($A504="","",IF(OR($T504=TRUE(),$T504="TRUE"),1,0))</f>
        <v/>
      </c>
      <c r="Y504">
        <f>IF($V504=1,IFERROR(IF(VALUE($A504)&lt;100000000,VALUE($A504),1000000000),IFERROR(IF(VALUE(MID($A504,2,20))&lt;100000000,VALUE(MID($A504,2,20)),1000000000),1000000000))+ROW()/100000,"")</f>
        <v/>
      </c>
    </row>
    <row r="505">
      <c r="F505" s="7">
        <f>IF($A505="","",E505*L505/100)</f>
        <v/>
      </c>
      <c r="J505" s="7" t="n"/>
      <c r="K505" s="7">
        <f>IF($A505="","",N505*U505/100)</f>
        <v/>
      </c>
      <c r="L505" s="7">
        <f>IF($A505="","",N505-K505)</f>
        <v/>
      </c>
      <c r="M505" s="7">
        <f>IF($A505="","",L505-F505)</f>
        <v/>
      </c>
      <c r="N505" s="7" t="n"/>
      <c r="O505" s="7" t="n"/>
      <c r="P505" s="7" t="n"/>
      <c r="R505" s="14" t="n"/>
      <c r="V505">
        <f>IF($A505="","",IF(COUNTIF($A$2:$A505,$A505)=1,1,0))</f>
        <v/>
      </c>
      <c r="W505">
        <f>IF($V505=1,SUMPRODUCT(--($Y$2:$Y$1501&lt;$Y505))+1,"")</f>
        <v/>
      </c>
      <c r="X505">
        <f>IF($A505="","",IF(OR($T505=TRUE(),$T505="TRUE"),1,0))</f>
        <v/>
      </c>
      <c r="Y505">
        <f>IF($V505=1,IFERROR(IF(VALUE($A505)&lt;100000000,VALUE($A505),1000000000),IFERROR(IF(VALUE(MID($A505,2,20))&lt;100000000,VALUE(MID($A505,2,20)),1000000000),1000000000))+ROW()/100000,"")</f>
        <v/>
      </c>
    </row>
    <row r="506">
      <c r="F506" s="7">
        <f>IF($A506="","",E506*L506/100)</f>
        <v/>
      </c>
      <c r="J506" s="7" t="n"/>
      <c r="K506" s="7">
        <f>IF($A506="","",N506*U506/100)</f>
        <v/>
      </c>
      <c r="L506" s="7">
        <f>IF($A506="","",N506-K506)</f>
        <v/>
      </c>
      <c r="M506" s="7">
        <f>IF($A506="","",L506-F506)</f>
        <v/>
      </c>
      <c r="N506" s="7" t="n"/>
      <c r="O506" s="7" t="n"/>
      <c r="P506" s="7" t="n"/>
      <c r="R506" s="14" t="n"/>
      <c r="V506">
        <f>IF($A506="","",IF(COUNTIF($A$2:$A506,$A506)=1,1,0))</f>
        <v/>
      </c>
      <c r="W506">
        <f>IF($V506=1,SUMPRODUCT(--($Y$2:$Y$1501&lt;$Y506))+1,"")</f>
        <v/>
      </c>
      <c r="X506">
        <f>IF($A506="","",IF(OR($T506=TRUE(),$T506="TRUE"),1,0))</f>
        <v/>
      </c>
      <c r="Y506">
        <f>IF($V506=1,IFERROR(IF(VALUE($A506)&lt;100000000,VALUE($A506),1000000000),IFERROR(IF(VALUE(MID($A506,2,20))&lt;100000000,VALUE(MID($A506,2,20)),1000000000),1000000000))+ROW()/100000,"")</f>
        <v/>
      </c>
    </row>
    <row r="507">
      <c r="F507" s="7">
        <f>IF($A507="","",E507*L507/100)</f>
        <v/>
      </c>
      <c r="J507" s="7" t="n"/>
      <c r="K507" s="7">
        <f>IF($A507="","",N507*U507/100)</f>
        <v/>
      </c>
      <c r="L507" s="7">
        <f>IF($A507="","",N507-K507)</f>
        <v/>
      </c>
      <c r="M507" s="7">
        <f>IF($A507="","",L507-F507)</f>
        <v/>
      </c>
      <c r="N507" s="7" t="n"/>
      <c r="O507" s="7" t="n"/>
      <c r="P507" s="7" t="n"/>
      <c r="R507" s="14" t="n"/>
      <c r="V507">
        <f>IF($A507="","",IF(COUNTIF($A$2:$A507,$A507)=1,1,0))</f>
        <v/>
      </c>
      <c r="W507">
        <f>IF($V507=1,SUMPRODUCT(--($Y$2:$Y$1501&lt;$Y507))+1,"")</f>
        <v/>
      </c>
      <c r="X507">
        <f>IF($A507="","",IF(OR($T507=TRUE(),$T507="TRUE"),1,0))</f>
        <v/>
      </c>
      <c r="Y507">
        <f>IF($V507=1,IFERROR(IF(VALUE($A507)&lt;100000000,VALUE($A507),1000000000),IFERROR(IF(VALUE(MID($A507,2,20))&lt;100000000,VALUE(MID($A507,2,20)),1000000000),1000000000))+ROW()/100000,"")</f>
        <v/>
      </c>
    </row>
    <row r="508">
      <c r="F508" s="7">
        <f>IF($A508="","",E508*L508/100)</f>
        <v/>
      </c>
      <c r="J508" s="7" t="n"/>
      <c r="K508" s="7">
        <f>IF($A508="","",N508*U508/100)</f>
        <v/>
      </c>
      <c r="L508" s="7">
        <f>IF($A508="","",N508-K508)</f>
        <v/>
      </c>
      <c r="M508" s="7">
        <f>IF($A508="","",L508-F508)</f>
        <v/>
      </c>
      <c r="N508" s="7" t="n"/>
      <c r="O508" s="7" t="n"/>
      <c r="P508" s="7" t="n"/>
      <c r="R508" s="14" t="n"/>
      <c r="V508">
        <f>IF($A508="","",IF(COUNTIF($A$2:$A508,$A508)=1,1,0))</f>
        <v/>
      </c>
      <c r="W508">
        <f>IF($V508=1,SUMPRODUCT(--($Y$2:$Y$1501&lt;$Y508))+1,"")</f>
        <v/>
      </c>
      <c r="X508">
        <f>IF($A508="","",IF(OR($T508=TRUE(),$T508="TRUE"),1,0))</f>
        <v/>
      </c>
      <c r="Y508">
        <f>IF($V508=1,IFERROR(IF(VALUE($A508)&lt;100000000,VALUE($A508),1000000000),IFERROR(IF(VALUE(MID($A508,2,20))&lt;100000000,VALUE(MID($A508,2,20)),1000000000),1000000000))+ROW()/100000,"")</f>
        <v/>
      </c>
    </row>
    <row r="509">
      <c r="F509" s="7">
        <f>IF($A509="","",E509*L509/100)</f>
        <v/>
      </c>
      <c r="J509" s="7" t="n"/>
      <c r="K509" s="7">
        <f>IF($A509="","",N509*U509/100)</f>
        <v/>
      </c>
      <c r="L509" s="7">
        <f>IF($A509="","",N509-K509)</f>
        <v/>
      </c>
      <c r="M509" s="7">
        <f>IF($A509="","",L509-F509)</f>
        <v/>
      </c>
      <c r="N509" s="7" t="n"/>
      <c r="O509" s="7" t="n"/>
      <c r="P509" s="7" t="n"/>
      <c r="R509" s="14" t="n"/>
      <c r="V509">
        <f>IF($A509="","",IF(COUNTIF($A$2:$A509,$A509)=1,1,0))</f>
        <v/>
      </c>
      <c r="W509">
        <f>IF($V509=1,SUMPRODUCT(--($Y$2:$Y$1501&lt;$Y509))+1,"")</f>
        <v/>
      </c>
      <c r="X509">
        <f>IF($A509="","",IF(OR($T509=TRUE(),$T509="TRUE"),1,0))</f>
        <v/>
      </c>
      <c r="Y509">
        <f>IF($V509=1,IFERROR(IF(VALUE($A509)&lt;100000000,VALUE($A509),1000000000),IFERROR(IF(VALUE(MID($A509,2,20))&lt;100000000,VALUE(MID($A509,2,20)),1000000000),1000000000))+ROW()/100000,"")</f>
        <v/>
      </c>
    </row>
    <row r="510">
      <c r="F510" s="7">
        <f>IF($A510="","",E510*L510/100)</f>
        <v/>
      </c>
      <c r="J510" s="7" t="n"/>
      <c r="K510" s="7">
        <f>IF($A510="","",N510*U510/100)</f>
        <v/>
      </c>
      <c r="L510" s="7">
        <f>IF($A510="","",N510-K510)</f>
        <v/>
      </c>
      <c r="M510" s="7">
        <f>IF($A510="","",L510-F510)</f>
        <v/>
      </c>
      <c r="N510" s="7" t="n"/>
      <c r="O510" s="7" t="n"/>
      <c r="P510" s="7" t="n"/>
      <c r="R510" s="14" t="n"/>
      <c r="V510">
        <f>IF($A510="","",IF(COUNTIF($A$2:$A510,$A510)=1,1,0))</f>
        <v/>
      </c>
      <c r="W510">
        <f>IF($V510=1,SUMPRODUCT(--($Y$2:$Y$1501&lt;$Y510))+1,"")</f>
        <v/>
      </c>
      <c r="X510">
        <f>IF($A510="","",IF(OR($T510=TRUE(),$T510="TRUE"),1,0))</f>
        <v/>
      </c>
      <c r="Y510">
        <f>IF($V510=1,IFERROR(IF(VALUE($A510)&lt;100000000,VALUE($A510),1000000000),IFERROR(IF(VALUE(MID($A510,2,20))&lt;100000000,VALUE(MID($A510,2,20)),1000000000),1000000000))+ROW()/100000,"")</f>
        <v/>
      </c>
    </row>
    <row r="511">
      <c r="F511" s="7">
        <f>IF($A511="","",E511*L511/100)</f>
        <v/>
      </c>
      <c r="J511" s="7" t="n"/>
      <c r="K511" s="7">
        <f>IF($A511="","",N511*U511/100)</f>
        <v/>
      </c>
      <c r="L511" s="7">
        <f>IF($A511="","",N511-K511)</f>
        <v/>
      </c>
      <c r="M511" s="7">
        <f>IF($A511="","",L511-F511)</f>
        <v/>
      </c>
      <c r="N511" s="7" t="n"/>
      <c r="O511" s="7" t="n"/>
      <c r="P511" s="7" t="n"/>
      <c r="R511" s="14" t="n"/>
      <c r="V511">
        <f>IF($A511="","",IF(COUNTIF($A$2:$A511,$A511)=1,1,0))</f>
        <v/>
      </c>
      <c r="W511">
        <f>IF($V511=1,SUMPRODUCT(--($Y$2:$Y$1501&lt;$Y511))+1,"")</f>
        <v/>
      </c>
      <c r="X511">
        <f>IF($A511="","",IF(OR($T511=TRUE(),$T511="TRUE"),1,0))</f>
        <v/>
      </c>
      <c r="Y511">
        <f>IF($V511=1,IFERROR(IF(VALUE($A511)&lt;100000000,VALUE($A511),1000000000),IFERROR(IF(VALUE(MID($A511,2,20))&lt;100000000,VALUE(MID($A511,2,20)),1000000000),1000000000))+ROW()/100000,"")</f>
        <v/>
      </c>
    </row>
    <row r="512">
      <c r="F512" s="7">
        <f>IF($A512="","",E512*L512/100)</f>
        <v/>
      </c>
      <c r="J512" s="7" t="n"/>
      <c r="K512" s="7">
        <f>IF($A512="","",N512*U512/100)</f>
        <v/>
      </c>
      <c r="L512" s="7">
        <f>IF($A512="","",N512-K512)</f>
        <v/>
      </c>
      <c r="M512" s="7">
        <f>IF($A512="","",L512-F512)</f>
        <v/>
      </c>
      <c r="N512" s="7" t="n"/>
      <c r="O512" s="7" t="n"/>
      <c r="P512" s="7" t="n"/>
      <c r="R512" s="14" t="n"/>
      <c r="V512">
        <f>IF($A512="","",IF(COUNTIF($A$2:$A512,$A512)=1,1,0))</f>
        <v/>
      </c>
      <c r="W512">
        <f>IF($V512=1,SUMPRODUCT(--($Y$2:$Y$1501&lt;$Y512))+1,"")</f>
        <v/>
      </c>
      <c r="X512">
        <f>IF($A512="","",IF(OR($T512=TRUE(),$T512="TRUE"),1,0))</f>
        <v/>
      </c>
      <c r="Y512">
        <f>IF($V512=1,IFERROR(IF(VALUE($A512)&lt;100000000,VALUE($A512),1000000000),IFERROR(IF(VALUE(MID($A512,2,20))&lt;100000000,VALUE(MID($A512,2,20)),1000000000),1000000000))+ROW()/100000,"")</f>
        <v/>
      </c>
    </row>
    <row r="513">
      <c r="F513" s="7">
        <f>IF($A513="","",E513*L513/100)</f>
        <v/>
      </c>
      <c r="J513" s="7" t="n"/>
      <c r="K513" s="7">
        <f>IF($A513="","",N513*U513/100)</f>
        <v/>
      </c>
      <c r="L513" s="7">
        <f>IF($A513="","",N513-K513)</f>
        <v/>
      </c>
      <c r="M513" s="7">
        <f>IF($A513="","",L513-F513)</f>
        <v/>
      </c>
      <c r="N513" s="7" t="n"/>
      <c r="O513" s="7" t="n"/>
      <c r="P513" s="7" t="n"/>
      <c r="R513" s="14" t="n"/>
      <c r="V513">
        <f>IF($A513="","",IF(COUNTIF($A$2:$A513,$A513)=1,1,0))</f>
        <v/>
      </c>
      <c r="W513">
        <f>IF($V513=1,SUMPRODUCT(--($Y$2:$Y$1501&lt;$Y513))+1,"")</f>
        <v/>
      </c>
      <c r="X513">
        <f>IF($A513="","",IF(OR($T513=TRUE(),$T513="TRUE"),1,0))</f>
        <v/>
      </c>
      <c r="Y513">
        <f>IF($V513=1,IFERROR(IF(VALUE($A513)&lt;100000000,VALUE($A513),1000000000),IFERROR(IF(VALUE(MID($A513,2,20))&lt;100000000,VALUE(MID($A513,2,20)),1000000000),1000000000))+ROW()/100000,"")</f>
        <v/>
      </c>
    </row>
    <row r="514">
      <c r="F514" s="7">
        <f>IF($A514="","",E514*L514/100)</f>
        <v/>
      </c>
      <c r="J514" s="7" t="n"/>
      <c r="K514" s="7">
        <f>IF($A514="","",N514*U514/100)</f>
        <v/>
      </c>
      <c r="L514" s="7">
        <f>IF($A514="","",N514-K514)</f>
        <v/>
      </c>
      <c r="M514" s="7">
        <f>IF($A514="","",L514-F514)</f>
        <v/>
      </c>
      <c r="N514" s="7" t="n"/>
      <c r="O514" s="7" t="n"/>
      <c r="P514" s="7" t="n"/>
      <c r="R514" s="14" t="n"/>
      <c r="V514">
        <f>IF($A514="","",IF(COUNTIF($A$2:$A514,$A514)=1,1,0))</f>
        <v/>
      </c>
      <c r="W514">
        <f>IF($V514=1,SUMPRODUCT(--($Y$2:$Y$1501&lt;$Y514))+1,"")</f>
        <v/>
      </c>
      <c r="X514">
        <f>IF($A514="","",IF(OR($T514=TRUE(),$T514="TRUE"),1,0))</f>
        <v/>
      </c>
      <c r="Y514">
        <f>IF($V514=1,IFERROR(IF(VALUE($A514)&lt;100000000,VALUE($A514),1000000000),IFERROR(IF(VALUE(MID($A514,2,20))&lt;100000000,VALUE(MID($A514,2,20)),1000000000),1000000000))+ROW()/100000,"")</f>
        <v/>
      </c>
    </row>
    <row r="515">
      <c r="F515" s="7">
        <f>IF($A515="","",E515*L515/100)</f>
        <v/>
      </c>
      <c r="J515" s="7" t="n"/>
      <c r="K515" s="7">
        <f>IF($A515="","",N515*U515/100)</f>
        <v/>
      </c>
      <c r="L515" s="7">
        <f>IF($A515="","",N515-K515)</f>
        <v/>
      </c>
      <c r="M515" s="7">
        <f>IF($A515="","",L515-F515)</f>
        <v/>
      </c>
      <c r="N515" s="7" t="n"/>
      <c r="O515" s="7" t="n"/>
      <c r="P515" s="7" t="n"/>
      <c r="R515" s="14" t="n"/>
      <c r="V515">
        <f>IF($A515="","",IF(COUNTIF($A$2:$A515,$A515)=1,1,0))</f>
        <v/>
      </c>
      <c r="W515">
        <f>IF($V515=1,SUMPRODUCT(--($Y$2:$Y$1501&lt;$Y515))+1,"")</f>
        <v/>
      </c>
      <c r="X515">
        <f>IF($A515="","",IF(OR($T515=TRUE(),$T515="TRUE"),1,0))</f>
        <v/>
      </c>
      <c r="Y515">
        <f>IF($V515=1,IFERROR(IF(VALUE($A515)&lt;100000000,VALUE($A515),1000000000),IFERROR(IF(VALUE(MID($A515,2,20))&lt;100000000,VALUE(MID($A515,2,20)),1000000000),1000000000))+ROW()/100000,"")</f>
        <v/>
      </c>
    </row>
    <row r="516">
      <c r="F516" s="7">
        <f>IF($A516="","",E516*L516/100)</f>
        <v/>
      </c>
      <c r="J516" s="7" t="n"/>
      <c r="K516" s="7">
        <f>IF($A516="","",N516*U516/100)</f>
        <v/>
      </c>
      <c r="L516" s="7">
        <f>IF($A516="","",N516-K516)</f>
        <v/>
      </c>
      <c r="M516" s="7">
        <f>IF($A516="","",L516-F516)</f>
        <v/>
      </c>
      <c r="N516" s="7" t="n"/>
      <c r="O516" s="7" t="n"/>
      <c r="P516" s="7" t="n"/>
      <c r="R516" s="14" t="n"/>
      <c r="V516">
        <f>IF($A516="","",IF(COUNTIF($A$2:$A516,$A516)=1,1,0))</f>
        <v/>
      </c>
      <c r="W516">
        <f>IF($V516=1,SUMPRODUCT(--($Y$2:$Y$1501&lt;$Y516))+1,"")</f>
        <v/>
      </c>
      <c r="X516">
        <f>IF($A516="","",IF(OR($T516=TRUE(),$T516="TRUE"),1,0))</f>
        <v/>
      </c>
      <c r="Y516">
        <f>IF($V516=1,IFERROR(IF(VALUE($A516)&lt;100000000,VALUE($A516),1000000000),IFERROR(IF(VALUE(MID($A516,2,20))&lt;100000000,VALUE(MID($A516,2,20)),1000000000),1000000000))+ROW()/100000,"")</f>
        <v/>
      </c>
    </row>
    <row r="517">
      <c r="F517" s="7">
        <f>IF($A517="","",E517*L517/100)</f>
        <v/>
      </c>
      <c r="J517" s="7" t="n"/>
      <c r="K517" s="7">
        <f>IF($A517="","",N517*U517/100)</f>
        <v/>
      </c>
      <c r="L517" s="7">
        <f>IF($A517="","",N517-K517)</f>
        <v/>
      </c>
      <c r="M517" s="7">
        <f>IF($A517="","",L517-F517)</f>
        <v/>
      </c>
      <c r="N517" s="7" t="n"/>
      <c r="O517" s="7" t="n"/>
      <c r="P517" s="7" t="n"/>
      <c r="R517" s="14" t="n"/>
      <c r="V517">
        <f>IF($A517="","",IF(COUNTIF($A$2:$A517,$A517)=1,1,0))</f>
        <v/>
      </c>
      <c r="W517">
        <f>IF($V517=1,SUMPRODUCT(--($Y$2:$Y$1501&lt;$Y517))+1,"")</f>
        <v/>
      </c>
      <c r="X517">
        <f>IF($A517="","",IF(OR($T517=TRUE(),$T517="TRUE"),1,0))</f>
        <v/>
      </c>
      <c r="Y517">
        <f>IF($V517=1,IFERROR(IF(VALUE($A517)&lt;100000000,VALUE($A517),1000000000),IFERROR(IF(VALUE(MID($A517,2,20))&lt;100000000,VALUE(MID($A517,2,20)),1000000000),1000000000))+ROW()/100000,"")</f>
        <v/>
      </c>
    </row>
    <row r="518">
      <c r="F518" s="7">
        <f>IF($A518="","",E518*L518/100)</f>
        <v/>
      </c>
      <c r="J518" s="7" t="n"/>
      <c r="K518" s="7">
        <f>IF($A518="","",N518*U518/100)</f>
        <v/>
      </c>
      <c r="L518" s="7">
        <f>IF($A518="","",N518-K518)</f>
        <v/>
      </c>
      <c r="M518" s="7">
        <f>IF($A518="","",L518-F518)</f>
        <v/>
      </c>
      <c r="N518" s="7" t="n"/>
      <c r="O518" s="7" t="n"/>
      <c r="P518" s="7" t="n"/>
      <c r="R518" s="14" t="n"/>
      <c r="V518">
        <f>IF($A518="","",IF(COUNTIF($A$2:$A518,$A518)=1,1,0))</f>
        <v/>
      </c>
      <c r="W518">
        <f>IF($V518=1,SUMPRODUCT(--($Y$2:$Y$1501&lt;$Y518))+1,"")</f>
        <v/>
      </c>
      <c r="X518">
        <f>IF($A518="","",IF(OR($T518=TRUE(),$T518="TRUE"),1,0))</f>
        <v/>
      </c>
      <c r="Y518">
        <f>IF($V518=1,IFERROR(IF(VALUE($A518)&lt;100000000,VALUE($A518),1000000000),IFERROR(IF(VALUE(MID($A518,2,20))&lt;100000000,VALUE(MID($A518,2,20)),1000000000),1000000000))+ROW()/100000,"")</f>
        <v/>
      </c>
    </row>
    <row r="519">
      <c r="F519" s="7">
        <f>IF($A519="","",E519*L519/100)</f>
        <v/>
      </c>
      <c r="J519" s="7" t="n"/>
      <c r="K519" s="7">
        <f>IF($A519="","",N519*U519/100)</f>
        <v/>
      </c>
      <c r="L519" s="7">
        <f>IF($A519="","",N519-K519)</f>
        <v/>
      </c>
      <c r="M519" s="7">
        <f>IF($A519="","",L519-F519)</f>
        <v/>
      </c>
      <c r="N519" s="7" t="n"/>
      <c r="O519" s="7" t="n"/>
      <c r="P519" s="7" t="n"/>
      <c r="R519" s="14" t="n"/>
      <c r="V519">
        <f>IF($A519="","",IF(COUNTIF($A$2:$A519,$A519)=1,1,0))</f>
        <v/>
      </c>
      <c r="W519">
        <f>IF($V519=1,SUMPRODUCT(--($Y$2:$Y$1501&lt;$Y519))+1,"")</f>
        <v/>
      </c>
      <c r="X519">
        <f>IF($A519="","",IF(OR($T519=TRUE(),$T519="TRUE"),1,0))</f>
        <v/>
      </c>
      <c r="Y519">
        <f>IF($V519=1,IFERROR(IF(VALUE($A519)&lt;100000000,VALUE($A519),1000000000),IFERROR(IF(VALUE(MID($A519,2,20))&lt;100000000,VALUE(MID($A519,2,20)),1000000000),1000000000))+ROW()/100000,"")</f>
        <v/>
      </c>
    </row>
    <row r="520">
      <c r="F520" s="7">
        <f>IF($A520="","",E520*L520/100)</f>
        <v/>
      </c>
      <c r="J520" s="7" t="n"/>
      <c r="K520" s="7">
        <f>IF($A520="","",N520*U520/100)</f>
        <v/>
      </c>
      <c r="L520" s="7">
        <f>IF($A520="","",N520-K520)</f>
        <v/>
      </c>
      <c r="M520" s="7">
        <f>IF($A520="","",L520-F520)</f>
        <v/>
      </c>
      <c r="N520" s="7" t="n"/>
      <c r="O520" s="7" t="n"/>
      <c r="P520" s="7" t="n"/>
      <c r="R520" s="14" t="n"/>
      <c r="V520">
        <f>IF($A520="","",IF(COUNTIF($A$2:$A520,$A520)=1,1,0))</f>
        <v/>
      </c>
      <c r="W520">
        <f>IF($V520=1,SUMPRODUCT(--($Y$2:$Y$1501&lt;$Y520))+1,"")</f>
        <v/>
      </c>
      <c r="X520">
        <f>IF($A520="","",IF(OR($T520=TRUE(),$T520="TRUE"),1,0))</f>
        <v/>
      </c>
      <c r="Y520">
        <f>IF($V520=1,IFERROR(IF(VALUE($A520)&lt;100000000,VALUE($A520),1000000000),IFERROR(IF(VALUE(MID($A520,2,20))&lt;100000000,VALUE(MID($A520,2,20)),1000000000),1000000000))+ROW()/100000,"")</f>
        <v/>
      </c>
    </row>
    <row r="521">
      <c r="F521" s="7">
        <f>IF($A521="","",E521*L521/100)</f>
        <v/>
      </c>
      <c r="J521" s="7" t="n"/>
      <c r="K521" s="7">
        <f>IF($A521="","",N521*U521/100)</f>
        <v/>
      </c>
      <c r="L521" s="7">
        <f>IF($A521="","",N521-K521)</f>
        <v/>
      </c>
      <c r="M521" s="7">
        <f>IF($A521="","",L521-F521)</f>
        <v/>
      </c>
      <c r="N521" s="7" t="n"/>
      <c r="O521" s="7" t="n"/>
      <c r="P521" s="7" t="n"/>
      <c r="R521" s="14" t="n"/>
      <c r="V521">
        <f>IF($A521="","",IF(COUNTIF($A$2:$A521,$A521)=1,1,0))</f>
        <v/>
      </c>
      <c r="W521">
        <f>IF($V521=1,SUMPRODUCT(--($Y$2:$Y$1501&lt;$Y521))+1,"")</f>
        <v/>
      </c>
      <c r="X521">
        <f>IF($A521="","",IF(OR($T521=TRUE(),$T521="TRUE"),1,0))</f>
        <v/>
      </c>
      <c r="Y521">
        <f>IF($V521=1,IFERROR(IF(VALUE($A521)&lt;100000000,VALUE($A521),1000000000),IFERROR(IF(VALUE(MID($A521,2,20))&lt;100000000,VALUE(MID($A521,2,20)),1000000000),1000000000))+ROW()/100000,"")</f>
        <v/>
      </c>
    </row>
    <row r="522">
      <c r="F522" s="7">
        <f>IF($A522="","",E522*L522/100)</f>
        <v/>
      </c>
      <c r="J522" s="7" t="n"/>
      <c r="K522" s="7">
        <f>IF($A522="","",N522*U522/100)</f>
        <v/>
      </c>
      <c r="L522" s="7">
        <f>IF($A522="","",N522-K522)</f>
        <v/>
      </c>
      <c r="M522" s="7">
        <f>IF($A522="","",L522-F522)</f>
        <v/>
      </c>
      <c r="N522" s="7" t="n"/>
      <c r="O522" s="7" t="n"/>
      <c r="P522" s="7" t="n"/>
      <c r="R522" s="14" t="n"/>
      <c r="V522">
        <f>IF($A522="","",IF(COUNTIF($A$2:$A522,$A522)=1,1,0))</f>
        <v/>
      </c>
      <c r="W522">
        <f>IF($V522=1,SUMPRODUCT(--($Y$2:$Y$1501&lt;$Y522))+1,"")</f>
        <v/>
      </c>
      <c r="X522">
        <f>IF($A522="","",IF(OR($T522=TRUE(),$T522="TRUE"),1,0))</f>
        <v/>
      </c>
      <c r="Y522">
        <f>IF($V522=1,IFERROR(IF(VALUE($A522)&lt;100000000,VALUE($A522),1000000000),IFERROR(IF(VALUE(MID($A522,2,20))&lt;100000000,VALUE(MID($A522,2,20)),1000000000),1000000000))+ROW()/100000,"")</f>
        <v/>
      </c>
    </row>
    <row r="523">
      <c r="F523" s="7">
        <f>IF($A523="","",E523*L523/100)</f>
        <v/>
      </c>
      <c r="J523" s="7" t="n"/>
      <c r="K523" s="7">
        <f>IF($A523="","",N523*U523/100)</f>
        <v/>
      </c>
      <c r="L523" s="7">
        <f>IF($A523="","",N523-K523)</f>
        <v/>
      </c>
      <c r="M523" s="7">
        <f>IF($A523="","",L523-F523)</f>
        <v/>
      </c>
      <c r="N523" s="7" t="n"/>
      <c r="O523" s="7" t="n"/>
      <c r="P523" s="7" t="n"/>
      <c r="R523" s="14" t="n"/>
      <c r="V523">
        <f>IF($A523="","",IF(COUNTIF($A$2:$A523,$A523)=1,1,0))</f>
        <v/>
      </c>
      <c r="W523">
        <f>IF($V523=1,SUMPRODUCT(--($Y$2:$Y$1501&lt;$Y523))+1,"")</f>
        <v/>
      </c>
      <c r="X523">
        <f>IF($A523="","",IF(OR($T523=TRUE(),$T523="TRUE"),1,0))</f>
        <v/>
      </c>
      <c r="Y523">
        <f>IF($V523=1,IFERROR(IF(VALUE($A523)&lt;100000000,VALUE($A523),1000000000),IFERROR(IF(VALUE(MID($A523,2,20))&lt;100000000,VALUE(MID($A523,2,20)),1000000000),1000000000))+ROW()/100000,"")</f>
        <v/>
      </c>
    </row>
    <row r="524">
      <c r="F524" s="7">
        <f>IF($A524="","",E524*L524/100)</f>
        <v/>
      </c>
      <c r="J524" s="7" t="n"/>
      <c r="K524" s="7">
        <f>IF($A524="","",N524*U524/100)</f>
        <v/>
      </c>
      <c r="L524" s="7">
        <f>IF($A524="","",N524-K524)</f>
        <v/>
      </c>
      <c r="M524" s="7">
        <f>IF($A524="","",L524-F524)</f>
        <v/>
      </c>
      <c r="N524" s="7" t="n"/>
      <c r="O524" s="7" t="n"/>
      <c r="P524" s="7" t="n"/>
      <c r="R524" s="14" t="n"/>
      <c r="V524">
        <f>IF($A524="","",IF(COUNTIF($A$2:$A524,$A524)=1,1,0))</f>
        <v/>
      </c>
      <c r="W524">
        <f>IF($V524=1,SUMPRODUCT(--($Y$2:$Y$1501&lt;$Y524))+1,"")</f>
        <v/>
      </c>
      <c r="X524">
        <f>IF($A524="","",IF(OR($T524=TRUE(),$T524="TRUE"),1,0))</f>
        <v/>
      </c>
      <c r="Y524">
        <f>IF($V524=1,IFERROR(IF(VALUE($A524)&lt;100000000,VALUE($A524),1000000000),IFERROR(IF(VALUE(MID($A524,2,20))&lt;100000000,VALUE(MID($A524,2,20)),1000000000),1000000000))+ROW()/100000,"")</f>
        <v/>
      </c>
    </row>
    <row r="525">
      <c r="F525" s="7">
        <f>IF($A525="","",E525*L525/100)</f>
        <v/>
      </c>
      <c r="J525" s="7" t="n"/>
      <c r="K525" s="7">
        <f>IF($A525="","",N525*U525/100)</f>
        <v/>
      </c>
      <c r="L525" s="7">
        <f>IF($A525="","",N525-K525)</f>
        <v/>
      </c>
      <c r="M525" s="7">
        <f>IF($A525="","",L525-F525)</f>
        <v/>
      </c>
      <c r="N525" s="7" t="n"/>
      <c r="O525" s="7" t="n"/>
      <c r="P525" s="7" t="n"/>
      <c r="R525" s="14" t="n"/>
      <c r="V525">
        <f>IF($A525="","",IF(COUNTIF($A$2:$A525,$A525)=1,1,0))</f>
        <v/>
      </c>
      <c r="W525">
        <f>IF($V525=1,SUMPRODUCT(--($Y$2:$Y$1501&lt;$Y525))+1,"")</f>
        <v/>
      </c>
      <c r="X525">
        <f>IF($A525="","",IF(OR($T525=TRUE(),$T525="TRUE"),1,0))</f>
        <v/>
      </c>
      <c r="Y525">
        <f>IF($V525=1,IFERROR(IF(VALUE($A525)&lt;100000000,VALUE($A525),1000000000),IFERROR(IF(VALUE(MID($A525,2,20))&lt;100000000,VALUE(MID($A525,2,20)),1000000000),1000000000))+ROW()/100000,"")</f>
        <v/>
      </c>
    </row>
    <row r="526">
      <c r="F526" s="7">
        <f>IF($A526="","",E526*L526/100)</f>
        <v/>
      </c>
      <c r="J526" s="7" t="n"/>
      <c r="K526" s="7">
        <f>IF($A526="","",N526*U526/100)</f>
        <v/>
      </c>
      <c r="L526" s="7">
        <f>IF($A526="","",N526-K526)</f>
        <v/>
      </c>
      <c r="M526" s="7">
        <f>IF($A526="","",L526-F526)</f>
        <v/>
      </c>
      <c r="N526" s="7" t="n"/>
      <c r="O526" s="7" t="n"/>
      <c r="P526" s="7" t="n"/>
      <c r="R526" s="14" t="n"/>
      <c r="V526">
        <f>IF($A526="","",IF(COUNTIF($A$2:$A526,$A526)=1,1,0))</f>
        <v/>
      </c>
      <c r="W526">
        <f>IF($V526=1,SUMPRODUCT(--($Y$2:$Y$1501&lt;$Y526))+1,"")</f>
        <v/>
      </c>
      <c r="X526">
        <f>IF($A526="","",IF(OR($T526=TRUE(),$T526="TRUE"),1,0))</f>
        <v/>
      </c>
      <c r="Y526">
        <f>IF($V526=1,IFERROR(IF(VALUE($A526)&lt;100000000,VALUE($A526),1000000000),IFERROR(IF(VALUE(MID($A526,2,20))&lt;100000000,VALUE(MID($A526,2,20)),1000000000),1000000000))+ROW()/100000,"")</f>
        <v/>
      </c>
    </row>
    <row r="527">
      <c r="F527" s="7">
        <f>IF($A527="","",E527*L527/100)</f>
        <v/>
      </c>
      <c r="J527" s="7" t="n"/>
      <c r="K527" s="7">
        <f>IF($A527="","",N527*U527/100)</f>
        <v/>
      </c>
      <c r="L527" s="7">
        <f>IF($A527="","",N527-K527)</f>
        <v/>
      </c>
      <c r="M527" s="7">
        <f>IF($A527="","",L527-F527)</f>
        <v/>
      </c>
      <c r="N527" s="7" t="n"/>
      <c r="O527" s="7" t="n"/>
      <c r="P527" s="7" t="n"/>
      <c r="R527" s="14" t="n"/>
      <c r="V527">
        <f>IF($A527="","",IF(COUNTIF($A$2:$A527,$A527)=1,1,0))</f>
        <v/>
      </c>
      <c r="W527">
        <f>IF($V527=1,SUMPRODUCT(--($Y$2:$Y$1501&lt;$Y527))+1,"")</f>
        <v/>
      </c>
      <c r="X527">
        <f>IF($A527="","",IF(OR($T527=TRUE(),$T527="TRUE"),1,0))</f>
        <v/>
      </c>
      <c r="Y527">
        <f>IF($V527=1,IFERROR(IF(VALUE($A527)&lt;100000000,VALUE($A527),1000000000),IFERROR(IF(VALUE(MID($A527,2,20))&lt;100000000,VALUE(MID($A527,2,20)),1000000000),1000000000))+ROW()/100000,"")</f>
        <v/>
      </c>
    </row>
    <row r="528">
      <c r="F528" s="7">
        <f>IF($A528="","",E528*L528/100)</f>
        <v/>
      </c>
      <c r="J528" s="7" t="n"/>
      <c r="K528" s="7">
        <f>IF($A528="","",N528*U528/100)</f>
        <v/>
      </c>
      <c r="L528" s="7">
        <f>IF($A528="","",N528-K528)</f>
        <v/>
      </c>
      <c r="M528" s="7">
        <f>IF($A528="","",L528-F528)</f>
        <v/>
      </c>
      <c r="N528" s="7" t="n"/>
      <c r="O528" s="7" t="n"/>
      <c r="P528" s="7" t="n"/>
      <c r="R528" s="14" t="n"/>
      <c r="V528">
        <f>IF($A528="","",IF(COUNTIF($A$2:$A528,$A528)=1,1,0))</f>
        <v/>
      </c>
      <c r="W528">
        <f>IF($V528=1,SUMPRODUCT(--($Y$2:$Y$1501&lt;$Y528))+1,"")</f>
        <v/>
      </c>
      <c r="X528">
        <f>IF($A528="","",IF(OR($T528=TRUE(),$T528="TRUE"),1,0))</f>
        <v/>
      </c>
      <c r="Y528">
        <f>IF($V528=1,IFERROR(IF(VALUE($A528)&lt;100000000,VALUE($A528),1000000000),IFERROR(IF(VALUE(MID($A528,2,20))&lt;100000000,VALUE(MID($A528,2,20)),1000000000),1000000000))+ROW()/100000,"")</f>
        <v/>
      </c>
    </row>
    <row r="529">
      <c r="F529" s="7">
        <f>IF($A529="","",E529*L529/100)</f>
        <v/>
      </c>
      <c r="J529" s="7" t="n"/>
      <c r="K529" s="7">
        <f>IF($A529="","",N529*U529/100)</f>
        <v/>
      </c>
      <c r="L529" s="7">
        <f>IF($A529="","",N529-K529)</f>
        <v/>
      </c>
      <c r="M529" s="7">
        <f>IF($A529="","",L529-F529)</f>
        <v/>
      </c>
      <c r="N529" s="7" t="n"/>
      <c r="O529" s="7" t="n"/>
      <c r="P529" s="7" t="n"/>
      <c r="R529" s="14" t="n"/>
      <c r="V529">
        <f>IF($A529="","",IF(COUNTIF($A$2:$A529,$A529)=1,1,0))</f>
        <v/>
      </c>
      <c r="W529">
        <f>IF($V529=1,SUMPRODUCT(--($Y$2:$Y$1501&lt;$Y529))+1,"")</f>
        <v/>
      </c>
      <c r="X529">
        <f>IF($A529="","",IF(OR($T529=TRUE(),$T529="TRUE"),1,0))</f>
        <v/>
      </c>
      <c r="Y529">
        <f>IF($V529=1,IFERROR(IF(VALUE($A529)&lt;100000000,VALUE($A529),1000000000),IFERROR(IF(VALUE(MID($A529,2,20))&lt;100000000,VALUE(MID($A529,2,20)),1000000000),1000000000))+ROW()/100000,"")</f>
        <v/>
      </c>
    </row>
    <row r="530">
      <c r="F530" s="7">
        <f>IF($A530="","",E530*L530/100)</f>
        <v/>
      </c>
      <c r="J530" s="7" t="n"/>
      <c r="K530" s="7">
        <f>IF($A530="","",N530*U530/100)</f>
        <v/>
      </c>
      <c r="L530" s="7">
        <f>IF($A530="","",N530-K530)</f>
        <v/>
      </c>
      <c r="M530" s="7">
        <f>IF($A530="","",L530-F530)</f>
        <v/>
      </c>
      <c r="N530" s="7" t="n"/>
      <c r="O530" s="7" t="n"/>
      <c r="P530" s="7" t="n"/>
      <c r="R530" s="14" t="n"/>
      <c r="V530">
        <f>IF($A530="","",IF(COUNTIF($A$2:$A530,$A530)=1,1,0))</f>
        <v/>
      </c>
      <c r="W530">
        <f>IF($V530=1,SUMPRODUCT(--($Y$2:$Y$1501&lt;$Y530))+1,"")</f>
        <v/>
      </c>
      <c r="X530">
        <f>IF($A530="","",IF(OR($T530=TRUE(),$T530="TRUE"),1,0))</f>
        <v/>
      </c>
      <c r="Y530">
        <f>IF($V530=1,IFERROR(IF(VALUE($A530)&lt;100000000,VALUE($A530),1000000000),IFERROR(IF(VALUE(MID($A530,2,20))&lt;100000000,VALUE(MID($A530,2,20)),1000000000),1000000000))+ROW()/100000,"")</f>
        <v/>
      </c>
    </row>
    <row r="531">
      <c r="F531" s="7">
        <f>IF($A531="","",E531*L531/100)</f>
        <v/>
      </c>
      <c r="J531" s="7" t="n"/>
      <c r="K531" s="7">
        <f>IF($A531="","",N531*U531/100)</f>
        <v/>
      </c>
      <c r="L531" s="7">
        <f>IF($A531="","",N531-K531)</f>
        <v/>
      </c>
      <c r="M531" s="7">
        <f>IF($A531="","",L531-F531)</f>
        <v/>
      </c>
      <c r="N531" s="7" t="n"/>
      <c r="O531" s="7" t="n"/>
      <c r="P531" s="7" t="n"/>
      <c r="R531" s="14" t="n"/>
      <c r="V531">
        <f>IF($A531="","",IF(COUNTIF($A$2:$A531,$A531)=1,1,0))</f>
        <v/>
      </c>
      <c r="W531">
        <f>IF($V531=1,SUMPRODUCT(--($Y$2:$Y$1501&lt;$Y531))+1,"")</f>
        <v/>
      </c>
      <c r="X531">
        <f>IF($A531="","",IF(OR($T531=TRUE(),$T531="TRUE"),1,0))</f>
        <v/>
      </c>
      <c r="Y531">
        <f>IF($V531=1,IFERROR(IF(VALUE($A531)&lt;100000000,VALUE($A531),1000000000),IFERROR(IF(VALUE(MID($A531,2,20))&lt;100000000,VALUE(MID($A531,2,20)),1000000000),1000000000))+ROW()/100000,"")</f>
        <v/>
      </c>
    </row>
    <row r="532">
      <c r="F532" s="7">
        <f>IF($A532="","",E532*L532/100)</f>
        <v/>
      </c>
      <c r="J532" s="7" t="n"/>
      <c r="K532" s="7">
        <f>IF($A532="","",N532*U532/100)</f>
        <v/>
      </c>
      <c r="L532" s="7">
        <f>IF($A532="","",N532-K532)</f>
        <v/>
      </c>
      <c r="M532" s="7">
        <f>IF($A532="","",L532-F532)</f>
        <v/>
      </c>
      <c r="N532" s="7" t="n"/>
      <c r="O532" s="7" t="n"/>
      <c r="P532" s="7" t="n"/>
      <c r="R532" s="14" t="n"/>
      <c r="V532">
        <f>IF($A532="","",IF(COUNTIF($A$2:$A532,$A532)=1,1,0))</f>
        <v/>
      </c>
      <c r="W532">
        <f>IF($V532=1,SUMPRODUCT(--($Y$2:$Y$1501&lt;$Y532))+1,"")</f>
        <v/>
      </c>
      <c r="X532">
        <f>IF($A532="","",IF(OR($T532=TRUE(),$T532="TRUE"),1,0))</f>
        <v/>
      </c>
      <c r="Y532">
        <f>IF($V532=1,IFERROR(IF(VALUE($A532)&lt;100000000,VALUE($A532),1000000000),IFERROR(IF(VALUE(MID($A532,2,20))&lt;100000000,VALUE(MID($A532,2,20)),1000000000),1000000000))+ROW()/100000,"")</f>
        <v/>
      </c>
    </row>
    <row r="533">
      <c r="F533" s="7">
        <f>IF($A533="","",E533*L533/100)</f>
        <v/>
      </c>
      <c r="J533" s="7" t="n"/>
      <c r="K533" s="7">
        <f>IF($A533="","",N533*U533/100)</f>
        <v/>
      </c>
      <c r="L533" s="7">
        <f>IF($A533="","",N533-K533)</f>
        <v/>
      </c>
      <c r="M533" s="7">
        <f>IF($A533="","",L533-F533)</f>
        <v/>
      </c>
      <c r="N533" s="7" t="n"/>
      <c r="O533" s="7" t="n"/>
      <c r="P533" s="7" t="n"/>
      <c r="R533" s="14" t="n"/>
      <c r="V533">
        <f>IF($A533="","",IF(COUNTIF($A$2:$A533,$A533)=1,1,0))</f>
        <v/>
      </c>
      <c r="W533">
        <f>IF($V533=1,SUMPRODUCT(--($Y$2:$Y$1501&lt;$Y533))+1,"")</f>
        <v/>
      </c>
      <c r="X533">
        <f>IF($A533="","",IF(OR($T533=TRUE(),$T533="TRUE"),1,0))</f>
        <v/>
      </c>
      <c r="Y533">
        <f>IF($V533=1,IFERROR(IF(VALUE($A533)&lt;100000000,VALUE($A533),1000000000),IFERROR(IF(VALUE(MID($A533,2,20))&lt;100000000,VALUE(MID($A533,2,20)),1000000000),1000000000))+ROW()/100000,"")</f>
        <v/>
      </c>
    </row>
    <row r="534">
      <c r="F534" s="7">
        <f>IF($A534="","",E534*L534/100)</f>
        <v/>
      </c>
      <c r="J534" s="7" t="n"/>
      <c r="K534" s="7">
        <f>IF($A534="","",N534*U534/100)</f>
        <v/>
      </c>
      <c r="L534" s="7">
        <f>IF($A534="","",N534-K534)</f>
        <v/>
      </c>
      <c r="M534" s="7">
        <f>IF($A534="","",L534-F534)</f>
        <v/>
      </c>
      <c r="N534" s="7" t="n"/>
      <c r="O534" s="7" t="n"/>
      <c r="P534" s="7" t="n"/>
      <c r="R534" s="14" t="n"/>
      <c r="V534">
        <f>IF($A534="","",IF(COUNTIF($A$2:$A534,$A534)=1,1,0))</f>
        <v/>
      </c>
      <c r="W534">
        <f>IF($V534=1,SUMPRODUCT(--($Y$2:$Y$1501&lt;$Y534))+1,"")</f>
        <v/>
      </c>
      <c r="X534">
        <f>IF($A534="","",IF(OR($T534=TRUE(),$T534="TRUE"),1,0))</f>
        <v/>
      </c>
      <c r="Y534">
        <f>IF($V534=1,IFERROR(IF(VALUE($A534)&lt;100000000,VALUE($A534),1000000000),IFERROR(IF(VALUE(MID($A534,2,20))&lt;100000000,VALUE(MID($A534,2,20)),1000000000),1000000000))+ROW()/100000,"")</f>
        <v/>
      </c>
    </row>
    <row r="535">
      <c r="F535" s="7">
        <f>IF($A535="","",E535*L535/100)</f>
        <v/>
      </c>
      <c r="J535" s="7" t="n"/>
      <c r="K535" s="7">
        <f>IF($A535="","",N535*U535/100)</f>
        <v/>
      </c>
      <c r="L535" s="7">
        <f>IF($A535="","",N535-K535)</f>
        <v/>
      </c>
      <c r="M535" s="7">
        <f>IF($A535="","",L535-F535)</f>
        <v/>
      </c>
      <c r="N535" s="7" t="n"/>
      <c r="O535" s="7" t="n"/>
      <c r="P535" s="7" t="n"/>
      <c r="R535" s="14" t="n"/>
      <c r="V535">
        <f>IF($A535="","",IF(COUNTIF($A$2:$A535,$A535)=1,1,0))</f>
        <v/>
      </c>
      <c r="W535">
        <f>IF($V535=1,SUMPRODUCT(--($Y$2:$Y$1501&lt;$Y535))+1,"")</f>
        <v/>
      </c>
      <c r="X535">
        <f>IF($A535="","",IF(OR($T535=TRUE(),$T535="TRUE"),1,0))</f>
        <v/>
      </c>
      <c r="Y535">
        <f>IF($V535=1,IFERROR(IF(VALUE($A535)&lt;100000000,VALUE($A535),1000000000),IFERROR(IF(VALUE(MID($A535,2,20))&lt;100000000,VALUE(MID($A535,2,20)),1000000000),1000000000))+ROW()/100000,"")</f>
        <v/>
      </c>
    </row>
    <row r="536">
      <c r="F536" s="7">
        <f>IF($A536="","",E536*L536/100)</f>
        <v/>
      </c>
      <c r="J536" s="7" t="n"/>
      <c r="K536" s="7">
        <f>IF($A536="","",N536*U536/100)</f>
        <v/>
      </c>
      <c r="L536" s="7">
        <f>IF($A536="","",N536-K536)</f>
        <v/>
      </c>
      <c r="M536" s="7">
        <f>IF($A536="","",L536-F536)</f>
        <v/>
      </c>
      <c r="N536" s="7" t="n"/>
      <c r="O536" s="7" t="n"/>
      <c r="P536" s="7" t="n"/>
      <c r="R536" s="14" t="n"/>
      <c r="V536">
        <f>IF($A536="","",IF(COUNTIF($A$2:$A536,$A536)=1,1,0))</f>
        <v/>
      </c>
      <c r="W536">
        <f>IF($V536=1,SUMPRODUCT(--($Y$2:$Y$1501&lt;$Y536))+1,"")</f>
        <v/>
      </c>
      <c r="X536">
        <f>IF($A536="","",IF(OR($T536=TRUE(),$T536="TRUE"),1,0))</f>
        <v/>
      </c>
      <c r="Y536">
        <f>IF($V536=1,IFERROR(IF(VALUE($A536)&lt;100000000,VALUE($A536),1000000000),IFERROR(IF(VALUE(MID($A536,2,20))&lt;100000000,VALUE(MID($A536,2,20)),1000000000),1000000000))+ROW()/100000,"")</f>
        <v/>
      </c>
    </row>
    <row r="537">
      <c r="F537" s="7">
        <f>IF($A537="","",E537*L537/100)</f>
        <v/>
      </c>
      <c r="J537" s="7" t="n"/>
      <c r="K537" s="7">
        <f>IF($A537="","",N537*U537/100)</f>
        <v/>
      </c>
      <c r="L537" s="7">
        <f>IF($A537="","",N537-K537)</f>
        <v/>
      </c>
      <c r="M537" s="7">
        <f>IF($A537="","",L537-F537)</f>
        <v/>
      </c>
      <c r="N537" s="7" t="n"/>
      <c r="O537" s="7" t="n"/>
      <c r="P537" s="7" t="n"/>
      <c r="R537" s="14" t="n"/>
      <c r="V537">
        <f>IF($A537="","",IF(COUNTIF($A$2:$A537,$A537)=1,1,0))</f>
        <v/>
      </c>
      <c r="W537">
        <f>IF($V537=1,SUMPRODUCT(--($Y$2:$Y$1501&lt;$Y537))+1,"")</f>
        <v/>
      </c>
      <c r="X537">
        <f>IF($A537="","",IF(OR($T537=TRUE(),$T537="TRUE"),1,0))</f>
        <v/>
      </c>
      <c r="Y537">
        <f>IF($V537=1,IFERROR(IF(VALUE($A537)&lt;100000000,VALUE($A537),1000000000),IFERROR(IF(VALUE(MID($A537,2,20))&lt;100000000,VALUE(MID($A537,2,20)),1000000000),1000000000))+ROW()/100000,"")</f>
        <v/>
      </c>
    </row>
    <row r="538">
      <c r="F538" s="7">
        <f>IF($A538="","",E538*L538/100)</f>
        <v/>
      </c>
      <c r="J538" s="7" t="n"/>
      <c r="K538" s="7">
        <f>IF($A538="","",N538*U538/100)</f>
        <v/>
      </c>
      <c r="L538" s="7">
        <f>IF($A538="","",N538-K538)</f>
        <v/>
      </c>
      <c r="M538" s="7">
        <f>IF($A538="","",L538-F538)</f>
        <v/>
      </c>
      <c r="N538" s="7" t="n"/>
      <c r="O538" s="7" t="n"/>
      <c r="P538" s="7" t="n"/>
      <c r="R538" s="14" t="n"/>
      <c r="V538">
        <f>IF($A538="","",IF(COUNTIF($A$2:$A538,$A538)=1,1,0))</f>
        <v/>
      </c>
      <c r="W538">
        <f>IF($V538=1,SUMPRODUCT(--($Y$2:$Y$1501&lt;$Y538))+1,"")</f>
        <v/>
      </c>
      <c r="X538">
        <f>IF($A538="","",IF(OR($T538=TRUE(),$T538="TRUE"),1,0))</f>
        <v/>
      </c>
      <c r="Y538">
        <f>IF($V538=1,IFERROR(IF(VALUE($A538)&lt;100000000,VALUE($A538),1000000000),IFERROR(IF(VALUE(MID($A538,2,20))&lt;100000000,VALUE(MID($A538,2,20)),1000000000),1000000000))+ROW()/100000,"")</f>
        <v/>
      </c>
    </row>
    <row r="539">
      <c r="F539" s="7">
        <f>IF($A539="","",E539*L539/100)</f>
        <v/>
      </c>
      <c r="J539" s="7" t="n"/>
      <c r="K539" s="7">
        <f>IF($A539="","",N539*U539/100)</f>
        <v/>
      </c>
      <c r="L539" s="7">
        <f>IF($A539="","",N539-K539)</f>
        <v/>
      </c>
      <c r="M539" s="7">
        <f>IF($A539="","",L539-F539)</f>
        <v/>
      </c>
      <c r="N539" s="7" t="n"/>
      <c r="O539" s="7" t="n"/>
      <c r="P539" s="7" t="n"/>
      <c r="R539" s="14" t="n"/>
      <c r="V539">
        <f>IF($A539="","",IF(COUNTIF($A$2:$A539,$A539)=1,1,0))</f>
        <v/>
      </c>
      <c r="W539">
        <f>IF($V539=1,SUMPRODUCT(--($Y$2:$Y$1501&lt;$Y539))+1,"")</f>
        <v/>
      </c>
      <c r="X539">
        <f>IF($A539="","",IF(OR($T539=TRUE(),$T539="TRUE"),1,0))</f>
        <v/>
      </c>
      <c r="Y539">
        <f>IF($V539=1,IFERROR(IF(VALUE($A539)&lt;100000000,VALUE($A539),1000000000),IFERROR(IF(VALUE(MID($A539,2,20))&lt;100000000,VALUE(MID($A539,2,20)),1000000000),1000000000))+ROW()/100000,"")</f>
        <v/>
      </c>
    </row>
    <row r="540">
      <c r="F540" s="7">
        <f>IF($A540="","",E540*L540/100)</f>
        <v/>
      </c>
      <c r="J540" s="7" t="n"/>
      <c r="K540" s="7">
        <f>IF($A540="","",N540*U540/100)</f>
        <v/>
      </c>
      <c r="L540" s="7">
        <f>IF($A540="","",N540-K540)</f>
        <v/>
      </c>
      <c r="M540" s="7">
        <f>IF($A540="","",L540-F540)</f>
        <v/>
      </c>
      <c r="N540" s="7" t="n"/>
      <c r="O540" s="7" t="n"/>
      <c r="P540" s="7" t="n"/>
      <c r="R540" s="14" t="n"/>
      <c r="V540">
        <f>IF($A540="","",IF(COUNTIF($A$2:$A540,$A540)=1,1,0))</f>
        <v/>
      </c>
      <c r="W540">
        <f>IF($V540=1,SUMPRODUCT(--($Y$2:$Y$1501&lt;$Y540))+1,"")</f>
        <v/>
      </c>
      <c r="X540">
        <f>IF($A540="","",IF(OR($T540=TRUE(),$T540="TRUE"),1,0))</f>
        <v/>
      </c>
      <c r="Y540">
        <f>IF($V540=1,IFERROR(IF(VALUE($A540)&lt;100000000,VALUE($A540),1000000000),IFERROR(IF(VALUE(MID($A540,2,20))&lt;100000000,VALUE(MID($A540,2,20)),1000000000),1000000000))+ROW()/100000,"")</f>
        <v/>
      </c>
    </row>
    <row r="541">
      <c r="F541" s="7">
        <f>IF($A541="","",E541*L541/100)</f>
        <v/>
      </c>
      <c r="J541" s="7" t="n"/>
      <c r="K541" s="7">
        <f>IF($A541="","",N541*U541/100)</f>
        <v/>
      </c>
      <c r="L541" s="7">
        <f>IF($A541="","",N541-K541)</f>
        <v/>
      </c>
      <c r="M541" s="7">
        <f>IF($A541="","",L541-F541)</f>
        <v/>
      </c>
      <c r="N541" s="7" t="n"/>
      <c r="O541" s="7" t="n"/>
      <c r="P541" s="7" t="n"/>
      <c r="R541" s="14" t="n"/>
      <c r="V541">
        <f>IF($A541="","",IF(COUNTIF($A$2:$A541,$A541)=1,1,0))</f>
        <v/>
      </c>
      <c r="W541">
        <f>IF($V541=1,SUMPRODUCT(--($Y$2:$Y$1501&lt;$Y541))+1,"")</f>
        <v/>
      </c>
      <c r="X541">
        <f>IF($A541="","",IF(OR($T541=TRUE(),$T541="TRUE"),1,0))</f>
        <v/>
      </c>
      <c r="Y541">
        <f>IF($V541=1,IFERROR(IF(VALUE($A541)&lt;100000000,VALUE($A541),1000000000),IFERROR(IF(VALUE(MID($A541,2,20))&lt;100000000,VALUE(MID($A541,2,20)),1000000000),1000000000))+ROW()/100000,"")</f>
        <v/>
      </c>
    </row>
    <row r="542">
      <c r="F542" s="7">
        <f>IF($A542="","",E542*L542/100)</f>
        <v/>
      </c>
      <c r="J542" s="7" t="n"/>
      <c r="K542" s="7">
        <f>IF($A542="","",N542*U542/100)</f>
        <v/>
      </c>
      <c r="L542" s="7">
        <f>IF($A542="","",N542-K542)</f>
        <v/>
      </c>
      <c r="M542" s="7">
        <f>IF($A542="","",L542-F542)</f>
        <v/>
      </c>
      <c r="N542" s="7" t="n"/>
      <c r="O542" s="7" t="n"/>
      <c r="P542" s="7" t="n"/>
      <c r="R542" s="14" t="n"/>
      <c r="V542">
        <f>IF($A542="","",IF(COUNTIF($A$2:$A542,$A542)=1,1,0))</f>
        <v/>
      </c>
      <c r="W542">
        <f>IF($V542=1,SUMPRODUCT(--($Y$2:$Y$1501&lt;$Y542))+1,"")</f>
        <v/>
      </c>
      <c r="X542">
        <f>IF($A542="","",IF(OR($T542=TRUE(),$T542="TRUE"),1,0))</f>
        <v/>
      </c>
      <c r="Y542">
        <f>IF($V542=1,IFERROR(IF(VALUE($A542)&lt;100000000,VALUE($A542),1000000000),IFERROR(IF(VALUE(MID($A542,2,20))&lt;100000000,VALUE(MID($A542,2,20)),1000000000),1000000000))+ROW()/100000,"")</f>
        <v/>
      </c>
    </row>
    <row r="543">
      <c r="F543" s="7">
        <f>IF($A543="","",E543*L543/100)</f>
        <v/>
      </c>
      <c r="J543" s="7" t="n"/>
      <c r="K543" s="7">
        <f>IF($A543="","",N543*U543/100)</f>
        <v/>
      </c>
      <c r="L543" s="7">
        <f>IF($A543="","",N543-K543)</f>
        <v/>
      </c>
      <c r="M543" s="7">
        <f>IF($A543="","",L543-F543)</f>
        <v/>
      </c>
      <c r="N543" s="7" t="n"/>
      <c r="O543" s="7" t="n"/>
      <c r="P543" s="7" t="n"/>
      <c r="R543" s="14" t="n"/>
      <c r="V543">
        <f>IF($A543="","",IF(COUNTIF($A$2:$A543,$A543)=1,1,0))</f>
        <v/>
      </c>
      <c r="W543">
        <f>IF($V543=1,SUMPRODUCT(--($Y$2:$Y$1501&lt;$Y543))+1,"")</f>
        <v/>
      </c>
      <c r="X543">
        <f>IF($A543="","",IF(OR($T543=TRUE(),$T543="TRUE"),1,0))</f>
        <v/>
      </c>
      <c r="Y543">
        <f>IF($V543=1,IFERROR(IF(VALUE($A543)&lt;100000000,VALUE($A543),1000000000),IFERROR(IF(VALUE(MID($A543,2,20))&lt;100000000,VALUE(MID($A543,2,20)),1000000000),1000000000))+ROW()/100000,"")</f>
        <v/>
      </c>
    </row>
    <row r="544">
      <c r="F544" s="7">
        <f>IF($A544="","",E544*L544/100)</f>
        <v/>
      </c>
      <c r="J544" s="7" t="n"/>
      <c r="K544" s="7">
        <f>IF($A544="","",N544*U544/100)</f>
        <v/>
      </c>
      <c r="L544" s="7">
        <f>IF($A544="","",N544-K544)</f>
        <v/>
      </c>
      <c r="M544" s="7">
        <f>IF($A544="","",L544-F544)</f>
        <v/>
      </c>
      <c r="N544" s="7" t="n"/>
      <c r="O544" s="7" t="n"/>
      <c r="P544" s="7" t="n"/>
      <c r="R544" s="14" t="n"/>
      <c r="V544">
        <f>IF($A544="","",IF(COUNTIF($A$2:$A544,$A544)=1,1,0))</f>
        <v/>
      </c>
      <c r="W544">
        <f>IF($V544=1,SUMPRODUCT(--($Y$2:$Y$1501&lt;$Y544))+1,"")</f>
        <v/>
      </c>
      <c r="X544">
        <f>IF($A544="","",IF(OR($T544=TRUE(),$T544="TRUE"),1,0))</f>
        <v/>
      </c>
      <c r="Y544">
        <f>IF($V544=1,IFERROR(IF(VALUE($A544)&lt;100000000,VALUE($A544),1000000000),IFERROR(IF(VALUE(MID($A544,2,20))&lt;100000000,VALUE(MID($A544,2,20)),1000000000),1000000000))+ROW()/100000,"")</f>
        <v/>
      </c>
    </row>
    <row r="545">
      <c r="F545" s="7">
        <f>IF($A545="","",E545*L545/100)</f>
        <v/>
      </c>
      <c r="J545" s="7" t="n"/>
      <c r="K545" s="7">
        <f>IF($A545="","",N545*U545/100)</f>
        <v/>
      </c>
      <c r="L545" s="7">
        <f>IF($A545="","",N545-K545)</f>
        <v/>
      </c>
      <c r="M545" s="7">
        <f>IF($A545="","",L545-F545)</f>
        <v/>
      </c>
      <c r="N545" s="7" t="n"/>
      <c r="O545" s="7" t="n"/>
      <c r="P545" s="7" t="n"/>
      <c r="R545" s="14" t="n"/>
      <c r="V545">
        <f>IF($A545="","",IF(COUNTIF($A$2:$A545,$A545)=1,1,0))</f>
        <v/>
      </c>
      <c r="W545">
        <f>IF($V545=1,SUMPRODUCT(--($Y$2:$Y$1501&lt;$Y545))+1,"")</f>
        <v/>
      </c>
      <c r="X545">
        <f>IF($A545="","",IF(OR($T545=TRUE(),$T545="TRUE"),1,0))</f>
        <v/>
      </c>
      <c r="Y545">
        <f>IF($V545=1,IFERROR(IF(VALUE($A545)&lt;100000000,VALUE($A545),1000000000),IFERROR(IF(VALUE(MID($A545,2,20))&lt;100000000,VALUE(MID($A545,2,20)),1000000000),1000000000))+ROW()/100000,"")</f>
        <v/>
      </c>
    </row>
    <row r="546">
      <c r="F546" s="7">
        <f>IF($A546="","",E546*L546/100)</f>
        <v/>
      </c>
      <c r="J546" s="7" t="n"/>
      <c r="K546" s="7">
        <f>IF($A546="","",N546*U546/100)</f>
        <v/>
      </c>
      <c r="L546" s="7">
        <f>IF($A546="","",N546-K546)</f>
        <v/>
      </c>
      <c r="M546" s="7">
        <f>IF($A546="","",L546-F546)</f>
        <v/>
      </c>
      <c r="N546" s="7" t="n"/>
      <c r="O546" s="7" t="n"/>
      <c r="P546" s="7" t="n"/>
      <c r="R546" s="14" t="n"/>
      <c r="V546">
        <f>IF($A546="","",IF(COUNTIF($A$2:$A546,$A546)=1,1,0))</f>
        <v/>
      </c>
      <c r="W546">
        <f>IF($V546=1,SUMPRODUCT(--($Y$2:$Y$1501&lt;$Y546))+1,"")</f>
        <v/>
      </c>
      <c r="X546">
        <f>IF($A546="","",IF(OR($T546=TRUE(),$T546="TRUE"),1,0))</f>
        <v/>
      </c>
      <c r="Y546">
        <f>IF($V546=1,IFERROR(IF(VALUE($A546)&lt;100000000,VALUE($A546),1000000000),IFERROR(IF(VALUE(MID($A546,2,20))&lt;100000000,VALUE(MID($A546,2,20)),1000000000),1000000000))+ROW()/100000,"")</f>
        <v/>
      </c>
    </row>
    <row r="547">
      <c r="F547" s="7">
        <f>IF($A547="","",E547*L547/100)</f>
        <v/>
      </c>
      <c r="J547" s="7" t="n"/>
      <c r="K547" s="7">
        <f>IF($A547="","",N547*U547/100)</f>
        <v/>
      </c>
      <c r="L547" s="7">
        <f>IF($A547="","",N547-K547)</f>
        <v/>
      </c>
      <c r="M547" s="7">
        <f>IF($A547="","",L547-F547)</f>
        <v/>
      </c>
      <c r="N547" s="7" t="n"/>
      <c r="O547" s="7" t="n"/>
      <c r="P547" s="7" t="n"/>
      <c r="R547" s="14" t="n"/>
      <c r="V547">
        <f>IF($A547="","",IF(COUNTIF($A$2:$A547,$A547)=1,1,0))</f>
        <v/>
      </c>
      <c r="W547">
        <f>IF($V547=1,SUMPRODUCT(--($Y$2:$Y$1501&lt;$Y547))+1,"")</f>
        <v/>
      </c>
      <c r="X547">
        <f>IF($A547="","",IF(OR($T547=TRUE(),$T547="TRUE"),1,0))</f>
        <v/>
      </c>
      <c r="Y547">
        <f>IF($V547=1,IFERROR(IF(VALUE($A547)&lt;100000000,VALUE($A547),1000000000),IFERROR(IF(VALUE(MID($A547,2,20))&lt;100000000,VALUE(MID($A547,2,20)),1000000000),1000000000))+ROW()/100000,"")</f>
        <v/>
      </c>
    </row>
    <row r="548">
      <c r="F548" s="7">
        <f>IF($A548="","",E548*L548/100)</f>
        <v/>
      </c>
      <c r="J548" s="7" t="n"/>
      <c r="K548" s="7">
        <f>IF($A548="","",N548*U548/100)</f>
        <v/>
      </c>
      <c r="L548" s="7">
        <f>IF($A548="","",N548-K548)</f>
        <v/>
      </c>
      <c r="M548" s="7">
        <f>IF($A548="","",L548-F548)</f>
        <v/>
      </c>
      <c r="N548" s="7" t="n"/>
      <c r="O548" s="7" t="n"/>
      <c r="P548" s="7" t="n"/>
      <c r="R548" s="14" t="n"/>
      <c r="V548">
        <f>IF($A548="","",IF(COUNTIF($A$2:$A548,$A548)=1,1,0))</f>
        <v/>
      </c>
      <c r="W548">
        <f>IF($V548=1,SUMPRODUCT(--($Y$2:$Y$1501&lt;$Y548))+1,"")</f>
        <v/>
      </c>
      <c r="X548">
        <f>IF($A548="","",IF(OR($T548=TRUE(),$T548="TRUE"),1,0))</f>
        <v/>
      </c>
      <c r="Y548">
        <f>IF($V548=1,IFERROR(IF(VALUE($A548)&lt;100000000,VALUE($A548),1000000000),IFERROR(IF(VALUE(MID($A548,2,20))&lt;100000000,VALUE(MID($A548,2,20)),1000000000),1000000000))+ROW()/100000,"")</f>
        <v/>
      </c>
    </row>
    <row r="549">
      <c r="F549" s="7">
        <f>IF($A549="","",E549*L549/100)</f>
        <v/>
      </c>
      <c r="J549" s="7" t="n"/>
      <c r="K549" s="7">
        <f>IF($A549="","",N549*U549/100)</f>
        <v/>
      </c>
      <c r="L549" s="7">
        <f>IF($A549="","",N549-K549)</f>
        <v/>
      </c>
      <c r="M549" s="7">
        <f>IF($A549="","",L549-F549)</f>
        <v/>
      </c>
      <c r="N549" s="7" t="n"/>
      <c r="O549" s="7" t="n"/>
      <c r="P549" s="7" t="n"/>
      <c r="R549" s="14" t="n"/>
      <c r="V549">
        <f>IF($A549="","",IF(COUNTIF($A$2:$A549,$A549)=1,1,0))</f>
        <v/>
      </c>
      <c r="W549">
        <f>IF($V549=1,SUMPRODUCT(--($Y$2:$Y$1501&lt;$Y549))+1,"")</f>
        <v/>
      </c>
      <c r="X549">
        <f>IF($A549="","",IF(OR($T549=TRUE(),$T549="TRUE"),1,0))</f>
        <v/>
      </c>
      <c r="Y549">
        <f>IF($V549=1,IFERROR(IF(VALUE($A549)&lt;100000000,VALUE($A549),1000000000),IFERROR(IF(VALUE(MID($A549,2,20))&lt;100000000,VALUE(MID($A549,2,20)),1000000000),1000000000))+ROW()/100000,"")</f>
        <v/>
      </c>
    </row>
    <row r="550">
      <c r="F550" s="7">
        <f>IF($A550="","",E550*L550/100)</f>
        <v/>
      </c>
      <c r="J550" s="7" t="n"/>
      <c r="K550" s="7">
        <f>IF($A550="","",N550*U550/100)</f>
        <v/>
      </c>
      <c r="L550" s="7">
        <f>IF($A550="","",N550-K550)</f>
        <v/>
      </c>
      <c r="M550" s="7">
        <f>IF($A550="","",L550-F550)</f>
        <v/>
      </c>
      <c r="N550" s="7" t="n"/>
      <c r="O550" s="7" t="n"/>
      <c r="P550" s="7" t="n"/>
      <c r="R550" s="14" t="n"/>
      <c r="V550">
        <f>IF($A550="","",IF(COUNTIF($A$2:$A550,$A550)=1,1,0))</f>
        <v/>
      </c>
      <c r="W550">
        <f>IF($V550=1,SUMPRODUCT(--($Y$2:$Y$1501&lt;$Y550))+1,"")</f>
        <v/>
      </c>
      <c r="X550">
        <f>IF($A550="","",IF(OR($T550=TRUE(),$T550="TRUE"),1,0))</f>
        <v/>
      </c>
      <c r="Y550">
        <f>IF($V550=1,IFERROR(IF(VALUE($A550)&lt;100000000,VALUE($A550),1000000000),IFERROR(IF(VALUE(MID($A550,2,20))&lt;100000000,VALUE(MID($A550,2,20)),1000000000),1000000000))+ROW()/100000,"")</f>
        <v/>
      </c>
    </row>
    <row r="551">
      <c r="F551" s="7">
        <f>IF($A551="","",E551*L551/100)</f>
        <v/>
      </c>
      <c r="J551" s="7" t="n"/>
      <c r="K551" s="7">
        <f>IF($A551="","",N551*U551/100)</f>
        <v/>
      </c>
      <c r="L551" s="7">
        <f>IF($A551="","",N551-K551)</f>
        <v/>
      </c>
      <c r="M551" s="7">
        <f>IF($A551="","",L551-F551)</f>
        <v/>
      </c>
      <c r="N551" s="7" t="n"/>
      <c r="O551" s="7" t="n"/>
      <c r="P551" s="7" t="n"/>
      <c r="R551" s="14" t="n"/>
      <c r="V551">
        <f>IF($A551="","",IF(COUNTIF($A$2:$A551,$A551)=1,1,0))</f>
        <v/>
      </c>
      <c r="W551">
        <f>IF($V551=1,SUMPRODUCT(--($Y$2:$Y$1501&lt;$Y551))+1,"")</f>
        <v/>
      </c>
      <c r="X551">
        <f>IF($A551="","",IF(OR($T551=TRUE(),$T551="TRUE"),1,0))</f>
        <v/>
      </c>
      <c r="Y551">
        <f>IF($V551=1,IFERROR(IF(VALUE($A551)&lt;100000000,VALUE($A551),1000000000),IFERROR(IF(VALUE(MID($A551,2,20))&lt;100000000,VALUE(MID($A551,2,20)),1000000000),1000000000))+ROW()/100000,"")</f>
        <v/>
      </c>
    </row>
    <row r="552">
      <c r="F552" s="7">
        <f>IF($A552="","",E552*L552/100)</f>
        <v/>
      </c>
      <c r="J552" s="7" t="n"/>
      <c r="K552" s="7">
        <f>IF($A552="","",N552*U552/100)</f>
        <v/>
      </c>
      <c r="L552" s="7">
        <f>IF($A552="","",N552-K552)</f>
        <v/>
      </c>
      <c r="M552" s="7">
        <f>IF($A552="","",L552-F552)</f>
        <v/>
      </c>
      <c r="N552" s="7" t="n"/>
      <c r="O552" s="7" t="n"/>
      <c r="P552" s="7" t="n"/>
      <c r="R552" s="14" t="n"/>
      <c r="V552">
        <f>IF($A552="","",IF(COUNTIF($A$2:$A552,$A552)=1,1,0))</f>
        <v/>
      </c>
      <c r="W552">
        <f>IF($V552=1,SUMPRODUCT(--($Y$2:$Y$1501&lt;$Y552))+1,"")</f>
        <v/>
      </c>
      <c r="X552">
        <f>IF($A552="","",IF(OR($T552=TRUE(),$T552="TRUE"),1,0))</f>
        <v/>
      </c>
      <c r="Y552">
        <f>IF($V552=1,IFERROR(IF(VALUE($A552)&lt;100000000,VALUE($A552),1000000000),IFERROR(IF(VALUE(MID($A552,2,20))&lt;100000000,VALUE(MID($A552,2,20)),1000000000),1000000000))+ROW()/100000,"")</f>
        <v/>
      </c>
    </row>
    <row r="553">
      <c r="F553" s="7">
        <f>IF($A553="","",E553*L553/100)</f>
        <v/>
      </c>
      <c r="J553" s="7" t="n"/>
      <c r="K553" s="7">
        <f>IF($A553="","",N553*U553/100)</f>
        <v/>
      </c>
      <c r="L553" s="7">
        <f>IF($A553="","",N553-K553)</f>
        <v/>
      </c>
      <c r="M553" s="7">
        <f>IF($A553="","",L553-F553)</f>
        <v/>
      </c>
      <c r="N553" s="7" t="n"/>
      <c r="O553" s="7" t="n"/>
      <c r="P553" s="7" t="n"/>
      <c r="R553" s="14" t="n"/>
      <c r="V553">
        <f>IF($A553="","",IF(COUNTIF($A$2:$A553,$A553)=1,1,0))</f>
        <v/>
      </c>
      <c r="W553">
        <f>IF($V553=1,SUMPRODUCT(--($Y$2:$Y$1501&lt;$Y553))+1,"")</f>
        <v/>
      </c>
      <c r="X553">
        <f>IF($A553="","",IF(OR($T553=TRUE(),$T553="TRUE"),1,0))</f>
        <v/>
      </c>
      <c r="Y553">
        <f>IF($V553=1,IFERROR(IF(VALUE($A553)&lt;100000000,VALUE($A553),1000000000),IFERROR(IF(VALUE(MID($A553,2,20))&lt;100000000,VALUE(MID($A553,2,20)),1000000000),1000000000))+ROW()/100000,"")</f>
        <v/>
      </c>
    </row>
    <row r="554">
      <c r="F554" s="7">
        <f>IF($A554="","",E554*L554/100)</f>
        <v/>
      </c>
      <c r="J554" s="7" t="n"/>
      <c r="K554" s="7">
        <f>IF($A554="","",N554*U554/100)</f>
        <v/>
      </c>
      <c r="L554" s="7">
        <f>IF($A554="","",N554-K554)</f>
        <v/>
      </c>
      <c r="M554" s="7">
        <f>IF($A554="","",L554-F554)</f>
        <v/>
      </c>
      <c r="N554" s="7" t="n"/>
      <c r="O554" s="7" t="n"/>
      <c r="P554" s="7" t="n"/>
      <c r="R554" s="14" t="n"/>
      <c r="V554">
        <f>IF($A554="","",IF(COUNTIF($A$2:$A554,$A554)=1,1,0))</f>
        <v/>
      </c>
      <c r="W554">
        <f>IF($V554=1,SUMPRODUCT(--($Y$2:$Y$1501&lt;$Y554))+1,"")</f>
        <v/>
      </c>
      <c r="X554">
        <f>IF($A554="","",IF(OR($T554=TRUE(),$T554="TRUE"),1,0))</f>
        <v/>
      </c>
      <c r="Y554">
        <f>IF($V554=1,IFERROR(IF(VALUE($A554)&lt;100000000,VALUE($A554),1000000000),IFERROR(IF(VALUE(MID($A554,2,20))&lt;100000000,VALUE(MID($A554,2,20)),1000000000),1000000000))+ROW()/100000,"")</f>
        <v/>
      </c>
    </row>
    <row r="555">
      <c r="F555" s="7">
        <f>IF($A555="","",E555*L555/100)</f>
        <v/>
      </c>
      <c r="J555" s="7" t="n"/>
      <c r="K555" s="7">
        <f>IF($A555="","",N555*U555/100)</f>
        <v/>
      </c>
      <c r="L555" s="7">
        <f>IF($A555="","",N555-K555)</f>
        <v/>
      </c>
      <c r="M555" s="7">
        <f>IF($A555="","",L555-F555)</f>
        <v/>
      </c>
      <c r="N555" s="7" t="n"/>
      <c r="O555" s="7" t="n"/>
      <c r="P555" s="7" t="n"/>
      <c r="R555" s="14" t="n"/>
      <c r="V555">
        <f>IF($A555="","",IF(COUNTIF($A$2:$A555,$A555)=1,1,0))</f>
        <v/>
      </c>
      <c r="W555">
        <f>IF($V555=1,SUMPRODUCT(--($Y$2:$Y$1501&lt;$Y555))+1,"")</f>
        <v/>
      </c>
      <c r="X555">
        <f>IF($A555="","",IF(OR($T555=TRUE(),$T555="TRUE"),1,0))</f>
        <v/>
      </c>
      <c r="Y555">
        <f>IF($V555=1,IFERROR(IF(VALUE($A555)&lt;100000000,VALUE($A555),1000000000),IFERROR(IF(VALUE(MID($A555,2,20))&lt;100000000,VALUE(MID($A555,2,20)),1000000000),1000000000))+ROW()/100000,"")</f>
        <v/>
      </c>
    </row>
    <row r="556">
      <c r="F556" s="7">
        <f>IF($A556="","",E556*L556/100)</f>
        <v/>
      </c>
      <c r="J556" s="7" t="n"/>
      <c r="K556" s="7">
        <f>IF($A556="","",N556*U556/100)</f>
        <v/>
      </c>
      <c r="L556" s="7">
        <f>IF($A556="","",N556-K556)</f>
        <v/>
      </c>
      <c r="M556" s="7">
        <f>IF($A556="","",L556-F556)</f>
        <v/>
      </c>
      <c r="N556" s="7" t="n"/>
      <c r="O556" s="7" t="n"/>
      <c r="P556" s="7" t="n"/>
      <c r="R556" s="14" t="n"/>
      <c r="V556">
        <f>IF($A556="","",IF(COUNTIF($A$2:$A556,$A556)=1,1,0))</f>
        <v/>
      </c>
      <c r="W556">
        <f>IF($V556=1,SUMPRODUCT(--($Y$2:$Y$1501&lt;$Y556))+1,"")</f>
        <v/>
      </c>
      <c r="X556">
        <f>IF($A556="","",IF(OR($T556=TRUE(),$T556="TRUE"),1,0))</f>
        <v/>
      </c>
      <c r="Y556">
        <f>IF($V556=1,IFERROR(IF(VALUE($A556)&lt;100000000,VALUE($A556),1000000000),IFERROR(IF(VALUE(MID($A556,2,20))&lt;100000000,VALUE(MID($A556,2,20)),1000000000),1000000000))+ROW()/100000,"")</f>
        <v/>
      </c>
    </row>
    <row r="557">
      <c r="F557" s="7">
        <f>IF($A557="","",E557*L557/100)</f>
        <v/>
      </c>
      <c r="J557" s="7" t="n"/>
      <c r="K557" s="7">
        <f>IF($A557="","",N557*U557/100)</f>
        <v/>
      </c>
      <c r="L557" s="7">
        <f>IF($A557="","",N557-K557)</f>
        <v/>
      </c>
      <c r="M557" s="7">
        <f>IF($A557="","",L557-F557)</f>
        <v/>
      </c>
      <c r="N557" s="7" t="n"/>
      <c r="O557" s="7" t="n"/>
      <c r="P557" s="7" t="n"/>
      <c r="R557" s="14" t="n"/>
      <c r="V557">
        <f>IF($A557="","",IF(COUNTIF($A$2:$A557,$A557)=1,1,0))</f>
        <v/>
      </c>
      <c r="W557">
        <f>IF($V557=1,SUMPRODUCT(--($Y$2:$Y$1501&lt;$Y557))+1,"")</f>
        <v/>
      </c>
      <c r="X557">
        <f>IF($A557="","",IF(OR($T557=TRUE(),$T557="TRUE"),1,0))</f>
        <v/>
      </c>
      <c r="Y557">
        <f>IF($V557=1,IFERROR(IF(VALUE($A557)&lt;100000000,VALUE($A557),1000000000),IFERROR(IF(VALUE(MID($A557,2,20))&lt;100000000,VALUE(MID($A557,2,20)),1000000000),1000000000))+ROW()/100000,"")</f>
        <v/>
      </c>
    </row>
    <row r="558">
      <c r="F558" s="7">
        <f>IF($A558="","",E558*L558/100)</f>
        <v/>
      </c>
      <c r="J558" s="7" t="n"/>
      <c r="K558" s="7">
        <f>IF($A558="","",N558*U558/100)</f>
        <v/>
      </c>
      <c r="L558" s="7">
        <f>IF($A558="","",N558-K558)</f>
        <v/>
      </c>
      <c r="M558" s="7">
        <f>IF($A558="","",L558-F558)</f>
        <v/>
      </c>
      <c r="N558" s="7" t="n"/>
      <c r="O558" s="7" t="n"/>
      <c r="P558" s="7" t="n"/>
      <c r="R558" s="14" t="n"/>
      <c r="V558">
        <f>IF($A558="","",IF(COUNTIF($A$2:$A558,$A558)=1,1,0))</f>
        <v/>
      </c>
      <c r="W558">
        <f>IF($V558=1,SUMPRODUCT(--($Y$2:$Y$1501&lt;$Y558))+1,"")</f>
        <v/>
      </c>
      <c r="X558">
        <f>IF($A558="","",IF(OR($T558=TRUE(),$T558="TRUE"),1,0))</f>
        <v/>
      </c>
      <c r="Y558">
        <f>IF($V558=1,IFERROR(IF(VALUE($A558)&lt;100000000,VALUE($A558),1000000000),IFERROR(IF(VALUE(MID($A558,2,20))&lt;100000000,VALUE(MID($A558,2,20)),1000000000),1000000000))+ROW()/100000,"")</f>
        <v/>
      </c>
    </row>
    <row r="559">
      <c r="F559" s="7">
        <f>IF($A559="","",E559*L559/100)</f>
        <v/>
      </c>
      <c r="J559" s="7" t="n"/>
      <c r="K559" s="7">
        <f>IF($A559="","",N559*U559/100)</f>
        <v/>
      </c>
      <c r="L559" s="7">
        <f>IF($A559="","",N559-K559)</f>
        <v/>
      </c>
      <c r="M559" s="7">
        <f>IF($A559="","",L559-F559)</f>
        <v/>
      </c>
      <c r="N559" s="7" t="n"/>
      <c r="O559" s="7" t="n"/>
      <c r="P559" s="7" t="n"/>
      <c r="R559" s="14" t="n"/>
      <c r="V559">
        <f>IF($A559="","",IF(COUNTIF($A$2:$A559,$A559)=1,1,0))</f>
        <v/>
      </c>
      <c r="W559">
        <f>IF($V559=1,SUMPRODUCT(--($Y$2:$Y$1501&lt;$Y559))+1,"")</f>
        <v/>
      </c>
      <c r="X559">
        <f>IF($A559="","",IF(OR($T559=TRUE(),$T559="TRUE"),1,0))</f>
        <v/>
      </c>
      <c r="Y559">
        <f>IF($V559=1,IFERROR(IF(VALUE($A559)&lt;100000000,VALUE($A559),1000000000),IFERROR(IF(VALUE(MID($A559,2,20))&lt;100000000,VALUE(MID($A559,2,20)),1000000000),1000000000))+ROW()/100000,"")</f>
        <v/>
      </c>
    </row>
    <row r="560">
      <c r="F560" s="7">
        <f>IF($A560="","",E560*L560/100)</f>
        <v/>
      </c>
      <c r="J560" s="7" t="n"/>
      <c r="K560" s="7">
        <f>IF($A560="","",N560*U560/100)</f>
        <v/>
      </c>
      <c r="L560" s="7">
        <f>IF($A560="","",N560-K560)</f>
        <v/>
      </c>
      <c r="M560" s="7">
        <f>IF($A560="","",L560-F560)</f>
        <v/>
      </c>
      <c r="N560" s="7" t="n"/>
      <c r="O560" s="7" t="n"/>
      <c r="P560" s="7" t="n"/>
      <c r="R560" s="14" t="n"/>
      <c r="V560">
        <f>IF($A560="","",IF(COUNTIF($A$2:$A560,$A560)=1,1,0))</f>
        <v/>
      </c>
      <c r="W560">
        <f>IF($V560=1,SUMPRODUCT(--($Y$2:$Y$1501&lt;$Y560))+1,"")</f>
        <v/>
      </c>
      <c r="X560">
        <f>IF($A560="","",IF(OR($T560=TRUE(),$T560="TRUE"),1,0))</f>
        <v/>
      </c>
      <c r="Y560">
        <f>IF($V560=1,IFERROR(IF(VALUE($A560)&lt;100000000,VALUE($A560),1000000000),IFERROR(IF(VALUE(MID($A560,2,20))&lt;100000000,VALUE(MID($A560,2,20)),1000000000),1000000000))+ROW()/100000,"")</f>
        <v/>
      </c>
    </row>
    <row r="561">
      <c r="F561" s="7">
        <f>IF($A561="","",E561*L561/100)</f>
        <v/>
      </c>
      <c r="J561" s="7" t="n"/>
      <c r="K561" s="7">
        <f>IF($A561="","",N561*U561/100)</f>
        <v/>
      </c>
      <c r="L561" s="7">
        <f>IF($A561="","",N561-K561)</f>
        <v/>
      </c>
      <c r="M561" s="7">
        <f>IF($A561="","",L561-F561)</f>
        <v/>
      </c>
      <c r="N561" s="7" t="n"/>
      <c r="O561" s="7" t="n"/>
      <c r="P561" s="7" t="n"/>
      <c r="R561" s="14" t="n"/>
      <c r="V561">
        <f>IF($A561="","",IF(COUNTIF($A$2:$A561,$A561)=1,1,0))</f>
        <v/>
      </c>
      <c r="W561">
        <f>IF($V561=1,SUMPRODUCT(--($Y$2:$Y$1501&lt;$Y561))+1,"")</f>
        <v/>
      </c>
      <c r="X561">
        <f>IF($A561="","",IF(OR($T561=TRUE(),$T561="TRUE"),1,0))</f>
        <v/>
      </c>
      <c r="Y561">
        <f>IF($V561=1,IFERROR(IF(VALUE($A561)&lt;100000000,VALUE($A561),1000000000),IFERROR(IF(VALUE(MID($A561,2,20))&lt;100000000,VALUE(MID($A561,2,20)),1000000000),1000000000))+ROW()/100000,"")</f>
        <v/>
      </c>
    </row>
    <row r="562">
      <c r="F562" s="7">
        <f>IF($A562="","",E562*L562/100)</f>
        <v/>
      </c>
      <c r="J562" s="7" t="n"/>
      <c r="K562" s="7">
        <f>IF($A562="","",N562*U562/100)</f>
        <v/>
      </c>
      <c r="L562" s="7">
        <f>IF($A562="","",N562-K562)</f>
        <v/>
      </c>
      <c r="M562" s="7">
        <f>IF($A562="","",L562-F562)</f>
        <v/>
      </c>
      <c r="N562" s="7" t="n"/>
      <c r="O562" s="7" t="n"/>
      <c r="P562" s="7" t="n"/>
      <c r="R562" s="14" t="n"/>
      <c r="V562">
        <f>IF($A562="","",IF(COUNTIF($A$2:$A562,$A562)=1,1,0))</f>
        <v/>
      </c>
      <c r="W562">
        <f>IF($V562=1,SUMPRODUCT(--($Y$2:$Y$1501&lt;$Y562))+1,"")</f>
        <v/>
      </c>
      <c r="X562">
        <f>IF($A562="","",IF(OR($T562=TRUE(),$T562="TRUE"),1,0))</f>
        <v/>
      </c>
      <c r="Y562">
        <f>IF($V562=1,IFERROR(IF(VALUE($A562)&lt;100000000,VALUE($A562),1000000000),IFERROR(IF(VALUE(MID($A562,2,20))&lt;100000000,VALUE(MID($A562,2,20)),1000000000),1000000000))+ROW()/100000,"")</f>
        <v/>
      </c>
    </row>
    <row r="563">
      <c r="F563" s="7">
        <f>IF($A563="","",E563*L563/100)</f>
        <v/>
      </c>
      <c r="J563" s="7" t="n"/>
      <c r="K563" s="7">
        <f>IF($A563="","",N563*U563/100)</f>
        <v/>
      </c>
      <c r="L563" s="7">
        <f>IF($A563="","",N563-K563)</f>
        <v/>
      </c>
      <c r="M563" s="7">
        <f>IF($A563="","",L563-F563)</f>
        <v/>
      </c>
      <c r="N563" s="7" t="n"/>
      <c r="O563" s="7" t="n"/>
      <c r="P563" s="7" t="n"/>
      <c r="R563" s="14" t="n"/>
      <c r="V563">
        <f>IF($A563="","",IF(COUNTIF($A$2:$A563,$A563)=1,1,0))</f>
        <v/>
      </c>
      <c r="W563">
        <f>IF($V563=1,SUMPRODUCT(--($Y$2:$Y$1501&lt;$Y563))+1,"")</f>
        <v/>
      </c>
      <c r="X563">
        <f>IF($A563="","",IF(OR($T563=TRUE(),$T563="TRUE"),1,0))</f>
        <v/>
      </c>
      <c r="Y563">
        <f>IF($V563=1,IFERROR(IF(VALUE($A563)&lt;100000000,VALUE($A563),1000000000),IFERROR(IF(VALUE(MID($A563,2,20))&lt;100000000,VALUE(MID($A563,2,20)),1000000000),1000000000))+ROW()/100000,"")</f>
        <v/>
      </c>
    </row>
    <row r="564">
      <c r="F564" s="7">
        <f>IF($A564="","",E564*L564/100)</f>
        <v/>
      </c>
      <c r="J564" s="7" t="n"/>
      <c r="K564" s="7">
        <f>IF($A564="","",N564*U564/100)</f>
        <v/>
      </c>
      <c r="L564" s="7">
        <f>IF($A564="","",N564-K564)</f>
        <v/>
      </c>
      <c r="M564" s="7">
        <f>IF($A564="","",L564-F564)</f>
        <v/>
      </c>
      <c r="N564" s="7" t="n"/>
      <c r="O564" s="7" t="n"/>
      <c r="P564" s="7" t="n"/>
      <c r="R564" s="14" t="n"/>
      <c r="V564">
        <f>IF($A564="","",IF(COUNTIF($A$2:$A564,$A564)=1,1,0))</f>
        <v/>
      </c>
      <c r="W564">
        <f>IF($V564=1,SUMPRODUCT(--($Y$2:$Y$1501&lt;$Y564))+1,"")</f>
        <v/>
      </c>
      <c r="X564">
        <f>IF($A564="","",IF(OR($T564=TRUE(),$T564="TRUE"),1,0))</f>
        <v/>
      </c>
      <c r="Y564">
        <f>IF($V564=1,IFERROR(IF(VALUE($A564)&lt;100000000,VALUE($A564),1000000000),IFERROR(IF(VALUE(MID($A564,2,20))&lt;100000000,VALUE(MID($A564,2,20)),1000000000),1000000000))+ROW()/100000,"")</f>
        <v/>
      </c>
    </row>
    <row r="565">
      <c r="F565" s="7">
        <f>IF($A565="","",E565*L565/100)</f>
        <v/>
      </c>
      <c r="J565" s="7" t="n"/>
      <c r="K565" s="7">
        <f>IF($A565="","",N565*U565/100)</f>
        <v/>
      </c>
      <c r="L565" s="7">
        <f>IF($A565="","",N565-K565)</f>
        <v/>
      </c>
      <c r="M565" s="7">
        <f>IF($A565="","",L565-F565)</f>
        <v/>
      </c>
      <c r="N565" s="7" t="n"/>
      <c r="O565" s="7" t="n"/>
      <c r="P565" s="7" t="n"/>
      <c r="R565" s="14" t="n"/>
      <c r="V565">
        <f>IF($A565="","",IF(COUNTIF($A$2:$A565,$A565)=1,1,0))</f>
        <v/>
      </c>
      <c r="W565">
        <f>IF($V565=1,SUMPRODUCT(--($Y$2:$Y$1501&lt;$Y565))+1,"")</f>
        <v/>
      </c>
      <c r="X565">
        <f>IF($A565="","",IF(OR($T565=TRUE(),$T565="TRUE"),1,0))</f>
        <v/>
      </c>
      <c r="Y565">
        <f>IF($V565=1,IFERROR(IF(VALUE($A565)&lt;100000000,VALUE($A565),1000000000),IFERROR(IF(VALUE(MID($A565,2,20))&lt;100000000,VALUE(MID($A565,2,20)),1000000000),1000000000))+ROW()/100000,"")</f>
        <v/>
      </c>
    </row>
    <row r="566">
      <c r="F566" s="7">
        <f>IF($A566="","",E566*L566/100)</f>
        <v/>
      </c>
      <c r="J566" s="7" t="n"/>
      <c r="K566" s="7">
        <f>IF($A566="","",N566*U566/100)</f>
        <v/>
      </c>
      <c r="L566" s="7">
        <f>IF($A566="","",N566-K566)</f>
        <v/>
      </c>
      <c r="M566" s="7">
        <f>IF($A566="","",L566-F566)</f>
        <v/>
      </c>
      <c r="N566" s="7" t="n"/>
      <c r="O566" s="7" t="n"/>
      <c r="P566" s="7" t="n"/>
      <c r="R566" s="14" t="n"/>
      <c r="V566">
        <f>IF($A566="","",IF(COUNTIF($A$2:$A566,$A566)=1,1,0))</f>
        <v/>
      </c>
      <c r="W566">
        <f>IF($V566=1,SUMPRODUCT(--($Y$2:$Y$1501&lt;$Y566))+1,"")</f>
        <v/>
      </c>
      <c r="X566">
        <f>IF($A566="","",IF(OR($T566=TRUE(),$T566="TRUE"),1,0))</f>
        <v/>
      </c>
      <c r="Y566">
        <f>IF($V566=1,IFERROR(IF(VALUE($A566)&lt;100000000,VALUE($A566),1000000000),IFERROR(IF(VALUE(MID($A566,2,20))&lt;100000000,VALUE(MID($A566,2,20)),1000000000),1000000000))+ROW()/100000,"")</f>
        <v/>
      </c>
    </row>
    <row r="567">
      <c r="F567" s="7">
        <f>IF($A567="","",E567*L567/100)</f>
        <v/>
      </c>
      <c r="J567" s="7" t="n"/>
      <c r="K567" s="7">
        <f>IF($A567="","",N567*U567/100)</f>
        <v/>
      </c>
      <c r="L567" s="7">
        <f>IF($A567="","",N567-K567)</f>
        <v/>
      </c>
      <c r="M567" s="7">
        <f>IF($A567="","",L567-F567)</f>
        <v/>
      </c>
      <c r="N567" s="7" t="n"/>
      <c r="O567" s="7" t="n"/>
      <c r="P567" s="7" t="n"/>
      <c r="R567" s="14" t="n"/>
      <c r="V567">
        <f>IF($A567="","",IF(COUNTIF($A$2:$A567,$A567)=1,1,0))</f>
        <v/>
      </c>
      <c r="W567">
        <f>IF($V567=1,SUMPRODUCT(--($Y$2:$Y$1501&lt;$Y567))+1,"")</f>
        <v/>
      </c>
      <c r="X567">
        <f>IF($A567="","",IF(OR($T567=TRUE(),$T567="TRUE"),1,0))</f>
        <v/>
      </c>
      <c r="Y567">
        <f>IF($V567=1,IFERROR(IF(VALUE($A567)&lt;100000000,VALUE($A567),1000000000),IFERROR(IF(VALUE(MID($A567,2,20))&lt;100000000,VALUE(MID($A567,2,20)),1000000000),1000000000))+ROW()/100000,"")</f>
        <v/>
      </c>
    </row>
    <row r="568">
      <c r="F568" s="7">
        <f>IF($A568="","",E568*L568/100)</f>
        <v/>
      </c>
      <c r="J568" s="7" t="n"/>
      <c r="K568" s="7">
        <f>IF($A568="","",N568*U568/100)</f>
        <v/>
      </c>
      <c r="L568" s="7">
        <f>IF($A568="","",N568-K568)</f>
        <v/>
      </c>
      <c r="M568" s="7">
        <f>IF($A568="","",L568-F568)</f>
        <v/>
      </c>
      <c r="N568" s="7" t="n"/>
      <c r="O568" s="7" t="n"/>
      <c r="P568" s="7" t="n"/>
      <c r="R568" s="14" t="n"/>
      <c r="V568">
        <f>IF($A568="","",IF(COUNTIF($A$2:$A568,$A568)=1,1,0))</f>
        <v/>
      </c>
      <c r="W568">
        <f>IF($V568=1,SUMPRODUCT(--($Y$2:$Y$1501&lt;$Y568))+1,"")</f>
        <v/>
      </c>
      <c r="X568">
        <f>IF($A568="","",IF(OR($T568=TRUE(),$T568="TRUE"),1,0))</f>
        <v/>
      </c>
      <c r="Y568">
        <f>IF($V568=1,IFERROR(IF(VALUE($A568)&lt;100000000,VALUE($A568),1000000000),IFERROR(IF(VALUE(MID($A568,2,20))&lt;100000000,VALUE(MID($A568,2,20)),1000000000),1000000000))+ROW()/100000,"")</f>
        <v/>
      </c>
    </row>
    <row r="569">
      <c r="F569" s="7">
        <f>IF($A569="","",E569*L569/100)</f>
        <v/>
      </c>
      <c r="J569" s="7" t="n"/>
      <c r="K569" s="7">
        <f>IF($A569="","",N569*U569/100)</f>
        <v/>
      </c>
      <c r="L569" s="7">
        <f>IF($A569="","",N569-K569)</f>
        <v/>
      </c>
      <c r="M569" s="7">
        <f>IF($A569="","",L569-F569)</f>
        <v/>
      </c>
      <c r="N569" s="7" t="n"/>
      <c r="O569" s="7" t="n"/>
      <c r="P569" s="7" t="n"/>
      <c r="R569" s="14" t="n"/>
      <c r="V569">
        <f>IF($A569="","",IF(COUNTIF($A$2:$A569,$A569)=1,1,0))</f>
        <v/>
      </c>
      <c r="W569">
        <f>IF($V569=1,SUMPRODUCT(--($Y$2:$Y$1501&lt;$Y569))+1,"")</f>
        <v/>
      </c>
      <c r="X569">
        <f>IF($A569="","",IF(OR($T569=TRUE(),$T569="TRUE"),1,0))</f>
        <v/>
      </c>
      <c r="Y569">
        <f>IF($V569=1,IFERROR(IF(VALUE($A569)&lt;100000000,VALUE($A569),1000000000),IFERROR(IF(VALUE(MID($A569,2,20))&lt;100000000,VALUE(MID($A569,2,20)),1000000000),1000000000))+ROW()/100000,"")</f>
        <v/>
      </c>
    </row>
    <row r="570">
      <c r="F570" s="7">
        <f>IF($A570="","",E570*L570/100)</f>
        <v/>
      </c>
      <c r="J570" s="7" t="n"/>
      <c r="K570" s="7">
        <f>IF($A570="","",N570*U570/100)</f>
        <v/>
      </c>
      <c r="L570" s="7">
        <f>IF($A570="","",N570-K570)</f>
        <v/>
      </c>
      <c r="M570" s="7">
        <f>IF($A570="","",L570-F570)</f>
        <v/>
      </c>
      <c r="N570" s="7" t="n"/>
      <c r="O570" s="7" t="n"/>
      <c r="P570" s="7" t="n"/>
      <c r="R570" s="14" t="n"/>
      <c r="V570">
        <f>IF($A570="","",IF(COUNTIF($A$2:$A570,$A570)=1,1,0))</f>
        <v/>
      </c>
      <c r="W570">
        <f>IF($V570=1,SUMPRODUCT(--($Y$2:$Y$1501&lt;$Y570))+1,"")</f>
        <v/>
      </c>
      <c r="X570">
        <f>IF($A570="","",IF(OR($T570=TRUE(),$T570="TRUE"),1,0))</f>
        <v/>
      </c>
      <c r="Y570">
        <f>IF($V570=1,IFERROR(IF(VALUE($A570)&lt;100000000,VALUE($A570),1000000000),IFERROR(IF(VALUE(MID($A570,2,20))&lt;100000000,VALUE(MID($A570,2,20)),1000000000),1000000000))+ROW()/100000,"")</f>
        <v/>
      </c>
    </row>
    <row r="571">
      <c r="F571" s="7">
        <f>IF($A571="","",E571*L571/100)</f>
        <v/>
      </c>
      <c r="J571" s="7" t="n"/>
      <c r="K571" s="7">
        <f>IF($A571="","",N571*U571/100)</f>
        <v/>
      </c>
      <c r="L571" s="7">
        <f>IF($A571="","",N571-K571)</f>
        <v/>
      </c>
      <c r="M571" s="7">
        <f>IF($A571="","",L571-F571)</f>
        <v/>
      </c>
      <c r="N571" s="7" t="n"/>
      <c r="O571" s="7" t="n"/>
      <c r="P571" s="7" t="n"/>
      <c r="R571" s="14" t="n"/>
      <c r="V571">
        <f>IF($A571="","",IF(COUNTIF($A$2:$A571,$A571)=1,1,0))</f>
        <v/>
      </c>
      <c r="W571">
        <f>IF($V571=1,SUMPRODUCT(--($Y$2:$Y$1501&lt;$Y571))+1,"")</f>
        <v/>
      </c>
      <c r="X571">
        <f>IF($A571="","",IF(OR($T571=TRUE(),$T571="TRUE"),1,0))</f>
        <v/>
      </c>
      <c r="Y571">
        <f>IF($V571=1,IFERROR(IF(VALUE($A571)&lt;100000000,VALUE($A571),1000000000),IFERROR(IF(VALUE(MID($A571,2,20))&lt;100000000,VALUE(MID($A571,2,20)),1000000000),1000000000))+ROW()/100000,"")</f>
        <v/>
      </c>
    </row>
    <row r="572">
      <c r="F572" s="7">
        <f>IF($A572="","",E572*L572/100)</f>
        <v/>
      </c>
      <c r="J572" s="7" t="n"/>
      <c r="K572" s="7">
        <f>IF($A572="","",N572*U572/100)</f>
        <v/>
      </c>
      <c r="L572" s="7">
        <f>IF($A572="","",N572-K572)</f>
        <v/>
      </c>
      <c r="M572" s="7">
        <f>IF($A572="","",L572-F572)</f>
        <v/>
      </c>
      <c r="N572" s="7" t="n"/>
      <c r="O572" s="7" t="n"/>
      <c r="P572" s="7" t="n"/>
      <c r="R572" s="14" t="n"/>
      <c r="V572">
        <f>IF($A572="","",IF(COUNTIF($A$2:$A572,$A572)=1,1,0))</f>
        <v/>
      </c>
      <c r="W572">
        <f>IF($V572=1,SUMPRODUCT(--($Y$2:$Y$1501&lt;$Y572))+1,"")</f>
        <v/>
      </c>
      <c r="X572">
        <f>IF($A572="","",IF(OR($T572=TRUE(),$T572="TRUE"),1,0))</f>
        <v/>
      </c>
      <c r="Y572">
        <f>IF($V572=1,IFERROR(IF(VALUE($A572)&lt;100000000,VALUE($A572),1000000000),IFERROR(IF(VALUE(MID($A572,2,20))&lt;100000000,VALUE(MID($A572,2,20)),1000000000),1000000000))+ROW()/100000,"")</f>
        <v/>
      </c>
    </row>
    <row r="573">
      <c r="F573" s="7">
        <f>IF($A573="","",E573*L573/100)</f>
        <v/>
      </c>
      <c r="J573" s="7" t="n"/>
      <c r="K573" s="7">
        <f>IF($A573="","",N573*U573/100)</f>
        <v/>
      </c>
      <c r="L573" s="7">
        <f>IF($A573="","",N573-K573)</f>
        <v/>
      </c>
      <c r="M573" s="7">
        <f>IF($A573="","",L573-F573)</f>
        <v/>
      </c>
      <c r="N573" s="7" t="n"/>
      <c r="O573" s="7" t="n"/>
      <c r="P573" s="7" t="n"/>
      <c r="R573" s="14" t="n"/>
      <c r="V573">
        <f>IF($A573="","",IF(COUNTIF($A$2:$A573,$A573)=1,1,0))</f>
        <v/>
      </c>
      <c r="W573">
        <f>IF($V573=1,SUMPRODUCT(--($Y$2:$Y$1501&lt;$Y573))+1,"")</f>
        <v/>
      </c>
      <c r="X573">
        <f>IF($A573="","",IF(OR($T573=TRUE(),$T573="TRUE"),1,0))</f>
        <v/>
      </c>
      <c r="Y573">
        <f>IF($V573=1,IFERROR(IF(VALUE($A573)&lt;100000000,VALUE($A573),1000000000),IFERROR(IF(VALUE(MID($A573,2,20))&lt;100000000,VALUE(MID($A573,2,20)),1000000000),1000000000))+ROW()/100000,"")</f>
        <v/>
      </c>
    </row>
    <row r="574">
      <c r="F574" s="7">
        <f>IF($A574="","",E574*L574/100)</f>
        <v/>
      </c>
      <c r="J574" s="7" t="n"/>
      <c r="K574" s="7">
        <f>IF($A574="","",N574*U574/100)</f>
        <v/>
      </c>
      <c r="L574" s="7">
        <f>IF($A574="","",N574-K574)</f>
        <v/>
      </c>
      <c r="M574" s="7">
        <f>IF($A574="","",L574-F574)</f>
        <v/>
      </c>
      <c r="N574" s="7" t="n"/>
      <c r="O574" s="7" t="n"/>
      <c r="P574" s="7" t="n"/>
      <c r="R574" s="14" t="n"/>
      <c r="V574">
        <f>IF($A574="","",IF(COUNTIF($A$2:$A574,$A574)=1,1,0))</f>
        <v/>
      </c>
      <c r="W574">
        <f>IF($V574=1,SUMPRODUCT(--($Y$2:$Y$1501&lt;$Y574))+1,"")</f>
        <v/>
      </c>
      <c r="X574">
        <f>IF($A574="","",IF(OR($T574=TRUE(),$T574="TRUE"),1,0))</f>
        <v/>
      </c>
      <c r="Y574">
        <f>IF($V574=1,IFERROR(IF(VALUE($A574)&lt;100000000,VALUE($A574),1000000000),IFERROR(IF(VALUE(MID($A574,2,20))&lt;100000000,VALUE(MID($A574,2,20)),1000000000),1000000000))+ROW()/100000,"")</f>
        <v/>
      </c>
    </row>
    <row r="575">
      <c r="F575" s="7">
        <f>IF($A575="","",E575*L575/100)</f>
        <v/>
      </c>
      <c r="J575" s="7" t="n"/>
      <c r="K575" s="7">
        <f>IF($A575="","",N575*U575/100)</f>
        <v/>
      </c>
      <c r="L575" s="7">
        <f>IF($A575="","",N575-K575)</f>
        <v/>
      </c>
      <c r="M575" s="7">
        <f>IF($A575="","",L575-F575)</f>
        <v/>
      </c>
      <c r="N575" s="7" t="n"/>
      <c r="O575" s="7" t="n"/>
      <c r="P575" s="7" t="n"/>
      <c r="R575" s="14" t="n"/>
      <c r="V575">
        <f>IF($A575="","",IF(COUNTIF($A$2:$A575,$A575)=1,1,0))</f>
        <v/>
      </c>
      <c r="W575">
        <f>IF($V575=1,SUMPRODUCT(--($Y$2:$Y$1501&lt;$Y575))+1,"")</f>
        <v/>
      </c>
      <c r="X575">
        <f>IF($A575="","",IF(OR($T575=TRUE(),$T575="TRUE"),1,0))</f>
        <v/>
      </c>
      <c r="Y575">
        <f>IF($V575=1,IFERROR(IF(VALUE($A575)&lt;100000000,VALUE($A575),1000000000),IFERROR(IF(VALUE(MID($A575,2,20))&lt;100000000,VALUE(MID($A575,2,20)),1000000000),1000000000))+ROW()/100000,"")</f>
        <v/>
      </c>
    </row>
    <row r="576">
      <c r="F576" s="7">
        <f>IF($A576="","",E576*L576/100)</f>
        <v/>
      </c>
      <c r="J576" s="7" t="n"/>
      <c r="K576" s="7">
        <f>IF($A576="","",N576*U576/100)</f>
        <v/>
      </c>
      <c r="L576" s="7">
        <f>IF($A576="","",N576-K576)</f>
        <v/>
      </c>
      <c r="M576" s="7">
        <f>IF($A576="","",L576-F576)</f>
        <v/>
      </c>
      <c r="N576" s="7" t="n"/>
      <c r="O576" s="7" t="n"/>
      <c r="P576" s="7" t="n"/>
      <c r="R576" s="14" t="n"/>
      <c r="V576">
        <f>IF($A576="","",IF(COUNTIF($A$2:$A576,$A576)=1,1,0))</f>
        <v/>
      </c>
      <c r="W576">
        <f>IF($V576=1,SUMPRODUCT(--($Y$2:$Y$1501&lt;$Y576))+1,"")</f>
        <v/>
      </c>
      <c r="X576">
        <f>IF($A576="","",IF(OR($T576=TRUE(),$T576="TRUE"),1,0))</f>
        <v/>
      </c>
      <c r="Y576">
        <f>IF($V576=1,IFERROR(IF(VALUE($A576)&lt;100000000,VALUE($A576),1000000000),IFERROR(IF(VALUE(MID($A576,2,20))&lt;100000000,VALUE(MID($A576,2,20)),1000000000),1000000000))+ROW()/100000,"")</f>
        <v/>
      </c>
    </row>
    <row r="577">
      <c r="F577" s="7">
        <f>IF($A577="","",E577*L577/100)</f>
        <v/>
      </c>
      <c r="J577" s="7" t="n"/>
      <c r="K577" s="7">
        <f>IF($A577="","",N577*U577/100)</f>
        <v/>
      </c>
      <c r="L577" s="7">
        <f>IF($A577="","",N577-K577)</f>
        <v/>
      </c>
      <c r="M577" s="7">
        <f>IF($A577="","",L577-F577)</f>
        <v/>
      </c>
      <c r="N577" s="7" t="n"/>
      <c r="O577" s="7" t="n"/>
      <c r="P577" s="7" t="n"/>
      <c r="R577" s="14" t="n"/>
      <c r="V577">
        <f>IF($A577="","",IF(COUNTIF($A$2:$A577,$A577)=1,1,0))</f>
        <v/>
      </c>
      <c r="W577">
        <f>IF($V577=1,SUMPRODUCT(--($Y$2:$Y$1501&lt;$Y577))+1,"")</f>
        <v/>
      </c>
      <c r="X577">
        <f>IF($A577="","",IF(OR($T577=TRUE(),$T577="TRUE"),1,0))</f>
        <v/>
      </c>
      <c r="Y577">
        <f>IF($V577=1,IFERROR(IF(VALUE($A577)&lt;100000000,VALUE($A577),1000000000),IFERROR(IF(VALUE(MID($A577,2,20))&lt;100000000,VALUE(MID($A577,2,20)),1000000000),1000000000))+ROW()/100000,"")</f>
        <v/>
      </c>
    </row>
    <row r="578">
      <c r="F578" s="7">
        <f>IF($A578="","",E578*L578/100)</f>
        <v/>
      </c>
      <c r="J578" s="7" t="n"/>
      <c r="K578" s="7">
        <f>IF($A578="","",N578*U578/100)</f>
        <v/>
      </c>
      <c r="L578" s="7">
        <f>IF($A578="","",N578-K578)</f>
        <v/>
      </c>
      <c r="M578" s="7">
        <f>IF($A578="","",L578-F578)</f>
        <v/>
      </c>
      <c r="N578" s="7" t="n"/>
      <c r="O578" s="7" t="n"/>
      <c r="P578" s="7" t="n"/>
      <c r="R578" s="14" t="n"/>
      <c r="V578">
        <f>IF($A578="","",IF(COUNTIF($A$2:$A578,$A578)=1,1,0))</f>
        <v/>
      </c>
      <c r="W578">
        <f>IF($V578=1,SUMPRODUCT(--($Y$2:$Y$1501&lt;$Y578))+1,"")</f>
        <v/>
      </c>
      <c r="X578">
        <f>IF($A578="","",IF(OR($T578=TRUE(),$T578="TRUE"),1,0))</f>
        <v/>
      </c>
      <c r="Y578">
        <f>IF($V578=1,IFERROR(IF(VALUE($A578)&lt;100000000,VALUE($A578),1000000000),IFERROR(IF(VALUE(MID($A578,2,20))&lt;100000000,VALUE(MID($A578,2,20)),1000000000),1000000000))+ROW()/100000,"")</f>
        <v/>
      </c>
    </row>
    <row r="579">
      <c r="F579" s="7">
        <f>IF($A579="","",E579*L579/100)</f>
        <v/>
      </c>
      <c r="J579" s="7" t="n"/>
      <c r="K579" s="7">
        <f>IF($A579="","",N579*U579/100)</f>
        <v/>
      </c>
      <c r="L579" s="7">
        <f>IF($A579="","",N579-K579)</f>
        <v/>
      </c>
      <c r="M579" s="7">
        <f>IF($A579="","",L579-F579)</f>
        <v/>
      </c>
      <c r="N579" s="7" t="n"/>
      <c r="O579" s="7" t="n"/>
      <c r="P579" s="7" t="n"/>
      <c r="R579" s="14" t="n"/>
      <c r="V579">
        <f>IF($A579="","",IF(COUNTIF($A$2:$A579,$A579)=1,1,0))</f>
        <v/>
      </c>
      <c r="W579">
        <f>IF($V579=1,SUMPRODUCT(--($Y$2:$Y$1501&lt;$Y579))+1,"")</f>
        <v/>
      </c>
      <c r="X579">
        <f>IF($A579="","",IF(OR($T579=TRUE(),$T579="TRUE"),1,0))</f>
        <v/>
      </c>
      <c r="Y579">
        <f>IF($V579=1,IFERROR(IF(VALUE($A579)&lt;100000000,VALUE($A579),1000000000),IFERROR(IF(VALUE(MID($A579,2,20))&lt;100000000,VALUE(MID($A579,2,20)),1000000000),1000000000))+ROW()/100000,"")</f>
        <v/>
      </c>
    </row>
    <row r="580">
      <c r="F580" s="7">
        <f>IF($A580="","",E580*L580/100)</f>
        <v/>
      </c>
      <c r="J580" s="7" t="n"/>
      <c r="K580" s="7">
        <f>IF($A580="","",N580*U580/100)</f>
        <v/>
      </c>
      <c r="L580" s="7">
        <f>IF($A580="","",N580-K580)</f>
        <v/>
      </c>
      <c r="M580" s="7">
        <f>IF($A580="","",L580-F580)</f>
        <v/>
      </c>
      <c r="N580" s="7" t="n"/>
      <c r="O580" s="7" t="n"/>
      <c r="P580" s="7" t="n"/>
      <c r="R580" s="14" t="n"/>
      <c r="V580">
        <f>IF($A580="","",IF(COUNTIF($A$2:$A580,$A580)=1,1,0))</f>
        <v/>
      </c>
      <c r="W580">
        <f>IF($V580=1,SUMPRODUCT(--($Y$2:$Y$1501&lt;$Y580))+1,"")</f>
        <v/>
      </c>
      <c r="X580">
        <f>IF($A580="","",IF(OR($T580=TRUE(),$T580="TRUE"),1,0))</f>
        <v/>
      </c>
      <c r="Y580">
        <f>IF($V580=1,IFERROR(IF(VALUE($A580)&lt;100000000,VALUE($A580),1000000000),IFERROR(IF(VALUE(MID($A580,2,20))&lt;100000000,VALUE(MID($A580,2,20)),1000000000),1000000000))+ROW()/100000,"")</f>
        <v/>
      </c>
    </row>
    <row r="581">
      <c r="F581" s="7">
        <f>IF($A581="","",E581*L581/100)</f>
        <v/>
      </c>
      <c r="J581" s="7" t="n"/>
      <c r="K581" s="7">
        <f>IF($A581="","",N581*U581/100)</f>
        <v/>
      </c>
      <c r="L581" s="7">
        <f>IF($A581="","",N581-K581)</f>
        <v/>
      </c>
      <c r="M581" s="7">
        <f>IF($A581="","",L581-F581)</f>
        <v/>
      </c>
      <c r="N581" s="7" t="n"/>
      <c r="O581" s="7" t="n"/>
      <c r="P581" s="7" t="n"/>
      <c r="R581" s="14" t="n"/>
      <c r="V581">
        <f>IF($A581="","",IF(COUNTIF($A$2:$A581,$A581)=1,1,0))</f>
        <v/>
      </c>
      <c r="W581">
        <f>IF($V581=1,SUMPRODUCT(--($Y$2:$Y$1501&lt;$Y581))+1,"")</f>
        <v/>
      </c>
      <c r="X581">
        <f>IF($A581="","",IF(OR($T581=TRUE(),$T581="TRUE"),1,0))</f>
        <v/>
      </c>
      <c r="Y581">
        <f>IF($V581=1,IFERROR(IF(VALUE($A581)&lt;100000000,VALUE($A581),1000000000),IFERROR(IF(VALUE(MID($A581,2,20))&lt;100000000,VALUE(MID($A581,2,20)),1000000000),1000000000))+ROW()/100000,"")</f>
        <v/>
      </c>
    </row>
    <row r="582">
      <c r="F582" s="7">
        <f>IF($A582="","",E582*L582/100)</f>
        <v/>
      </c>
      <c r="J582" s="7" t="n"/>
      <c r="K582" s="7">
        <f>IF($A582="","",N582*U582/100)</f>
        <v/>
      </c>
      <c r="L582" s="7">
        <f>IF($A582="","",N582-K582)</f>
        <v/>
      </c>
      <c r="M582" s="7">
        <f>IF($A582="","",L582-F582)</f>
        <v/>
      </c>
      <c r="N582" s="7" t="n"/>
      <c r="O582" s="7" t="n"/>
      <c r="P582" s="7" t="n"/>
      <c r="R582" s="14" t="n"/>
      <c r="V582">
        <f>IF($A582="","",IF(COUNTIF($A$2:$A582,$A582)=1,1,0))</f>
        <v/>
      </c>
      <c r="W582">
        <f>IF($V582=1,SUMPRODUCT(--($Y$2:$Y$1501&lt;$Y582))+1,"")</f>
        <v/>
      </c>
      <c r="X582">
        <f>IF($A582="","",IF(OR($T582=TRUE(),$T582="TRUE"),1,0))</f>
        <v/>
      </c>
      <c r="Y582">
        <f>IF($V582=1,IFERROR(IF(VALUE($A582)&lt;100000000,VALUE($A582),1000000000),IFERROR(IF(VALUE(MID($A582,2,20))&lt;100000000,VALUE(MID($A582,2,20)),1000000000),1000000000))+ROW()/100000,"")</f>
        <v/>
      </c>
    </row>
    <row r="583">
      <c r="F583" s="7">
        <f>IF($A583="","",E583*L583/100)</f>
        <v/>
      </c>
      <c r="J583" s="7" t="n"/>
      <c r="K583" s="7">
        <f>IF($A583="","",N583*U583/100)</f>
        <v/>
      </c>
      <c r="L583" s="7">
        <f>IF($A583="","",N583-K583)</f>
        <v/>
      </c>
      <c r="M583" s="7">
        <f>IF($A583="","",L583-F583)</f>
        <v/>
      </c>
      <c r="N583" s="7" t="n"/>
      <c r="O583" s="7" t="n"/>
      <c r="P583" s="7" t="n"/>
      <c r="R583" s="14" t="n"/>
      <c r="V583">
        <f>IF($A583="","",IF(COUNTIF($A$2:$A583,$A583)=1,1,0))</f>
        <v/>
      </c>
      <c r="W583">
        <f>IF($V583=1,SUMPRODUCT(--($Y$2:$Y$1501&lt;$Y583))+1,"")</f>
        <v/>
      </c>
      <c r="X583">
        <f>IF($A583="","",IF(OR($T583=TRUE(),$T583="TRUE"),1,0))</f>
        <v/>
      </c>
      <c r="Y583">
        <f>IF($V583=1,IFERROR(IF(VALUE($A583)&lt;100000000,VALUE($A583),1000000000),IFERROR(IF(VALUE(MID($A583,2,20))&lt;100000000,VALUE(MID($A583,2,20)),1000000000),1000000000))+ROW()/100000,"")</f>
        <v/>
      </c>
    </row>
    <row r="584">
      <c r="F584" s="7">
        <f>IF($A584="","",E584*L584/100)</f>
        <v/>
      </c>
      <c r="J584" s="7" t="n"/>
      <c r="K584" s="7">
        <f>IF($A584="","",N584*U584/100)</f>
        <v/>
      </c>
      <c r="L584" s="7">
        <f>IF($A584="","",N584-K584)</f>
        <v/>
      </c>
      <c r="M584" s="7">
        <f>IF($A584="","",L584-F584)</f>
        <v/>
      </c>
      <c r="N584" s="7" t="n"/>
      <c r="O584" s="7" t="n"/>
      <c r="P584" s="7" t="n"/>
      <c r="R584" s="14" t="n"/>
      <c r="V584">
        <f>IF($A584="","",IF(COUNTIF($A$2:$A584,$A584)=1,1,0))</f>
        <v/>
      </c>
      <c r="W584">
        <f>IF($V584=1,SUMPRODUCT(--($Y$2:$Y$1501&lt;$Y584))+1,"")</f>
        <v/>
      </c>
      <c r="X584">
        <f>IF($A584="","",IF(OR($T584=TRUE(),$T584="TRUE"),1,0))</f>
        <v/>
      </c>
      <c r="Y584">
        <f>IF($V584=1,IFERROR(IF(VALUE($A584)&lt;100000000,VALUE($A584),1000000000),IFERROR(IF(VALUE(MID($A584,2,20))&lt;100000000,VALUE(MID($A584,2,20)),1000000000),1000000000))+ROW()/100000,"")</f>
        <v/>
      </c>
    </row>
    <row r="585">
      <c r="F585" s="7">
        <f>IF($A585="","",E585*L585/100)</f>
        <v/>
      </c>
      <c r="J585" s="7" t="n"/>
      <c r="K585" s="7">
        <f>IF($A585="","",N585*U585/100)</f>
        <v/>
      </c>
      <c r="L585" s="7">
        <f>IF($A585="","",N585-K585)</f>
        <v/>
      </c>
      <c r="M585" s="7">
        <f>IF($A585="","",L585-F585)</f>
        <v/>
      </c>
      <c r="N585" s="7" t="n"/>
      <c r="O585" s="7" t="n"/>
      <c r="P585" s="7" t="n"/>
      <c r="R585" s="14" t="n"/>
      <c r="V585">
        <f>IF($A585="","",IF(COUNTIF($A$2:$A585,$A585)=1,1,0))</f>
        <v/>
      </c>
      <c r="W585">
        <f>IF($V585=1,SUMPRODUCT(--($Y$2:$Y$1501&lt;$Y585))+1,"")</f>
        <v/>
      </c>
      <c r="X585">
        <f>IF($A585="","",IF(OR($T585=TRUE(),$T585="TRUE"),1,0))</f>
        <v/>
      </c>
      <c r="Y585">
        <f>IF($V585=1,IFERROR(IF(VALUE($A585)&lt;100000000,VALUE($A585),1000000000),IFERROR(IF(VALUE(MID($A585,2,20))&lt;100000000,VALUE(MID($A585,2,20)),1000000000),1000000000))+ROW()/100000,"")</f>
        <v/>
      </c>
    </row>
    <row r="586">
      <c r="F586" s="7">
        <f>IF($A586="","",E586*L586/100)</f>
        <v/>
      </c>
      <c r="J586" s="7" t="n"/>
      <c r="K586" s="7">
        <f>IF($A586="","",N586*U586/100)</f>
        <v/>
      </c>
      <c r="L586" s="7">
        <f>IF($A586="","",N586-K586)</f>
        <v/>
      </c>
      <c r="M586" s="7">
        <f>IF($A586="","",L586-F586)</f>
        <v/>
      </c>
      <c r="N586" s="7" t="n"/>
      <c r="O586" s="7" t="n"/>
      <c r="P586" s="7" t="n"/>
      <c r="R586" s="14" t="n"/>
      <c r="V586">
        <f>IF($A586="","",IF(COUNTIF($A$2:$A586,$A586)=1,1,0))</f>
        <v/>
      </c>
      <c r="W586">
        <f>IF($V586=1,SUMPRODUCT(--($Y$2:$Y$1501&lt;$Y586))+1,"")</f>
        <v/>
      </c>
      <c r="X586">
        <f>IF($A586="","",IF(OR($T586=TRUE(),$T586="TRUE"),1,0))</f>
        <v/>
      </c>
      <c r="Y586">
        <f>IF($V586=1,IFERROR(IF(VALUE($A586)&lt;100000000,VALUE($A586),1000000000),IFERROR(IF(VALUE(MID($A586,2,20))&lt;100000000,VALUE(MID($A586,2,20)),1000000000),1000000000))+ROW()/100000,"")</f>
        <v/>
      </c>
    </row>
    <row r="587">
      <c r="F587" s="7">
        <f>IF($A587="","",E587*L587/100)</f>
        <v/>
      </c>
      <c r="J587" s="7" t="n"/>
      <c r="K587" s="7">
        <f>IF($A587="","",N587*U587/100)</f>
        <v/>
      </c>
      <c r="L587" s="7">
        <f>IF($A587="","",N587-K587)</f>
        <v/>
      </c>
      <c r="M587" s="7">
        <f>IF($A587="","",L587-F587)</f>
        <v/>
      </c>
      <c r="N587" s="7" t="n"/>
      <c r="O587" s="7" t="n"/>
      <c r="P587" s="7" t="n"/>
      <c r="R587" s="14" t="n"/>
      <c r="V587">
        <f>IF($A587="","",IF(COUNTIF($A$2:$A587,$A587)=1,1,0))</f>
        <v/>
      </c>
      <c r="W587">
        <f>IF($V587=1,SUMPRODUCT(--($Y$2:$Y$1501&lt;$Y587))+1,"")</f>
        <v/>
      </c>
      <c r="X587">
        <f>IF($A587="","",IF(OR($T587=TRUE(),$T587="TRUE"),1,0))</f>
        <v/>
      </c>
      <c r="Y587">
        <f>IF($V587=1,IFERROR(IF(VALUE($A587)&lt;100000000,VALUE($A587),1000000000),IFERROR(IF(VALUE(MID($A587,2,20))&lt;100000000,VALUE(MID($A587,2,20)),1000000000),1000000000))+ROW()/100000,"")</f>
        <v/>
      </c>
    </row>
    <row r="588">
      <c r="F588" s="7">
        <f>IF($A588="","",E588*L588/100)</f>
        <v/>
      </c>
      <c r="J588" s="7" t="n"/>
      <c r="K588" s="7">
        <f>IF($A588="","",N588*U588/100)</f>
        <v/>
      </c>
      <c r="L588" s="7">
        <f>IF($A588="","",N588-K588)</f>
        <v/>
      </c>
      <c r="M588" s="7">
        <f>IF($A588="","",L588-F588)</f>
        <v/>
      </c>
      <c r="N588" s="7" t="n"/>
      <c r="O588" s="7" t="n"/>
      <c r="P588" s="7" t="n"/>
      <c r="R588" s="14" t="n"/>
      <c r="V588">
        <f>IF($A588="","",IF(COUNTIF($A$2:$A588,$A588)=1,1,0))</f>
        <v/>
      </c>
      <c r="W588">
        <f>IF($V588=1,SUMPRODUCT(--($Y$2:$Y$1501&lt;$Y588))+1,"")</f>
        <v/>
      </c>
      <c r="X588">
        <f>IF($A588="","",IF(OR($T588=TRUE(),$T588="TRUE"),1,0))</f>
        <v/>
      </c>
      <c r="Y588">
        <f>IF($V588=1,IFERROR(IF(VALUE($A588)&lt;100000000,VALUE($A588),1000000000),IFERROR(IF(VALUE(MID($A588,2,20))&lt;100000000,VALUE(MID($A588,2,20)),1000000000),1000000000))+ROW()/100000,"")</f>
        <v/>
      </c>
    </row>
    <row r="589">
      <c r="F589" s="7">
        <f>IF($A589="","",E589*L589/100)</f>
        <v/>
      </c>
      <c r="J589" s="7" t="n"/>
      <c r="K589" s="7">
        <f>IF($A589="","",N589*U589/100)</f>
        <v/>
      </c>
      <c r="L589" s="7">
        <f>IF($A589="","",N589-K589)</f>
        <v/>
      </c>
      <c r="M589" s="7">
        <f>IF($A589="","",L589-F589)</f>
        <v/>
      </c>
      <c r="N589" s="7" t="n"/>
      <c r="O589" s="7" t="n"/>
      <c r="P589" s="7" t="n"/>
      <c r="R589" s="14" t="n"/>
      <c r="V589">
        <f>IF($A589="","",IF(COUNTIF($A$2:$A589,$A589)=1,1,0))</f>
        <v/>
      </c>
      <c r="W589">
        <f>IF($V589=1,SUMPRODUCT(--($Y$2:$Y$1501&lt;$Y589))+1,"")</f>
        <v/>
      </c>
      <c r="X589">
        <f>IF($A589="","",IF(OR($T589=TRUE(),$T589="TRUE"),1,0))</f>
        <v/>
      </c>
      <c r="Y589">
        <f>IF($V589=1,IFERROR(IF(VALUE($A589)&lt;100000000,VALUE($A589),1000000000),IFERROR(IF(VALUE(MID($A589,2,20))&lt;100000000,VALUE(MID($A589,2,20)),1000000000),1000000000))+ROW()/100000,"")</f>
        <v/>
      </c>
    </row>
    <row r="590">
      <c r="F590" s="7">
        <f>IF($A590="","",E590*L590/100)</f>
        <v/>
      </c>
      <c r="J590" s="7" t="n"/>
      <c r="K590" s="7">
        <f>IF($A590="","",N590*U590/100)</f>
        <v/>
      </c>
      <c r="L590" s="7">
        <f>IF($A590="","",N590-K590)</f>
        <v/>
      </c>
      <c r="M590" s="7">
        <f>IF($A590="","",L590-F590)</f>
        <v/>
      </c>
      <c r="N590" s="7" t="n"/>
      <c r="O590" s="7" t="n"/>
      <c r="P590" s="7" t="n"/>
      <c r="R590" s="14" t="n"/>
      <c r="V590">
        <f>IF($A590="","",IF(COUNTIF($A$2:$A590,$A590)=1,1,0))</f>
        <v/>
      </c>
      <c r="W590">
        <f>IF($V590=1,SUMPRODUCT(--($Y$2:$Y$1501&lt;$Y590))+1,"")</f>
        <v/>
      </c>
      <c r="X590">
        <f>IF($A590="","",IF(OR($T590=TRUE(),$T590="TRUE"),1,0))</f>
        <v/>
      </c>
      <c r="Y590">
        <f>IF($V590=1,IFERROR(IF(VALUE($A590)&lt;100000000,VALUE($A590),1000000000),IFERROR(IF(VALUE(MID($A590,2,20))&lt;100000000,VALUE(MID($A590,2,20)),1000000000),1000000000))+ROW()/100000,"")</f>
        <v/>
      </c>
    </row>
    <row r="591">
      <c r="F591" s="7">
        <f>IF($A591="","",E591*L591/100)</f>
        <v/>
      </c>
      <c r="J591" s="7" t="n"/>
      <c r="K591" s="7">
        <f>IF($A591="","",N591*U591/100)</f>
        <v/>
      </c>
      <c r="L591" s="7">
        <f>IF($A591="","",N591-K591)</f>
        <v/>
      </c>
      <c r="M591" s="7">
        <f>IF($A591="","",L591-F591)</f>
        <v/>
      </c>
      <c r="N591" s="7" t="n"/>
      <c r="O591" s="7" t="n"/>
      <c r="P591" s="7" t="n"/>
      <c r="R591" s="14" t="n"/>
      <c r="V591">
        <f>IF($A591="","",IF(COUNTIF($A$2:$A591,$A591)=1,1,0))</f>
        <v/>
      </c>
      <c r="W591">
        <f>IF($V591=1,SUMPRODUCT(--($Y$2:$Y$1501&lt;$Y591))+1,"")</f>
        <v/>
      </c>
      <c r="X591">
        <f>IF($A591="","",IF(OR($T591=TRUE(),$T591="TRUE"),1,0))</f>
        <v/>
      </c>
      <c r="Y591">
        <f>IF($V591=1,IFERROR(IF(VALUE($A591)&lt;100000000,VALUE($A591),1000000000),IFERROR(IF(VALUE(MID($A591,2,20))&lt;100000000,VALUE(MID($A591,2,20)),1000000000),1000000000))+ROW()/100000,"")</f>
        <v/>
      </c>
    </row>
    <row r="592">
      <c r="F592" s="7">
        <f>IF($A592="","",E592*L592/100)</f>
        <v/>
      </c>
      <c r="J592" s="7" t="n"/>
      <c r="K592" s="7">
        <f>IF($A592="","",N592*U592/100)</f>
        <v/>
      </c>
      <c r="L592" s="7">
        <f>IF($A592="","",N592-K592)</f>
        <v/>
      </c>
      <c r="M592" s="7">
        <f>IF($A592="","",L592-F592)</f>
        <v/>
      </c>
      <c r="N592" s="7" t="n"/>
      <c r="O592" s="7" t="n"/>
      <c r="P592" s="7" t="n"/>
      <c r="R592" s="14" t="n"/>
      <c r="V592">
        <f>IF($A592="","",IF(COUNTIF($A$2:$A592,$A592)=1,1,0))</f>
        <v/>
      </c>
      <c r="W592">
        <f>IF($V592=1,SUMPRODUCT(--($Y$2:$Y$1501&lt;$Y592))+1,"")</f>
        <v/>
      </c>
      <c r="X592">
        <f>IF($A592="","",IF(OR($T592=TRUE(),$T592="TRUE"),1,0))</f>
        <v/>
      </c>
      <c r="Y592">
        <f>IF($V592=1,IFERROR(IF(VALUE($A592)&lt;100000000,VALUE($A592),1000000000),IFERROR(IF(VALUE(MID($A592,2,20))&lt;100000000,VALUE(MID($A592,2,20)),1000000000),1000000000))+ROW()/100000,"")</f>
        <v/>
      </c>
    </row>
    <row r="593">
      <c r="F593" s="7">
        <f>IF($A593="","",E593*L593/100)</f>
        <v/>
      </c>
      <c r="J593" s="7" t="n"/>
      <c r="K593" s="7">
        <f>IF($A593="","",N593*U593/100)</f>
        <v/>
      </c>
      <c r="L593" s="7">
        <f>IF($A593="","",N593-K593)</f>
        <v/>
      </c>
      <c r="M593" s="7">
        <f>IF($A593="","",L593-F593)</f>
        <v/>
      </c>
      <c r="N593" s="7" t="n"/>
      <c r="O593" s="7" t="n"/>
      <c r="P593" s="7" t="n"/>
      <c r="R593" s="14" t="n"/>
      <c r="V593">
        <f>IF($A593="","",IF(COUNTIF($A$2:$A593,$A593)=1,1,0))</f>
        <v/>
      </c>
      <c r="W593">
        <f>IF($V593=1,SUMPRODUCT(--($Y$2:$Y$1501&lt;$Y593))+1,"")</f>
        <v/>
      </c>
      <c r="X593">
        <f>IF($A593="","",IF(OR($T593=TRUE(),$T593="TRUE"),1,0))</f>
        <v/>
      </c>
      <c r="Y593">
        <f>IF($V593=1,IFERROR(IF(VALUE($A593)&lt;100000000,VALUE($A593),1000000000),IFERROR(IF(VALUE(MID($A593,2,20))&lt;100000000,VALUE(MID($A593,2,20)),1000000000),1000000000))+ROW()/100000,"")</f>
        <v/>
      </c>
    </row>
    <row r="594">
      <c r="F594" s="7">
        <f>IF($A594="","",E594*L594/100)</f>
        <v/>
      </c>
      <c r="J594" s="7" t="n"/>
      <c r="K594" s="7">
        <f>IF($A594="","",N594*U594/100)</f>
        <v/>
      </c>
      <c r="L594" s="7">
        <f>IF($A594="","",N594-K594)</f>
        <v/>
      </c>
      <c r="M594" s="7">
        <f>IF($A594="","",L594-F594)</f>
        <v/>
      </c>
      <c r="N594" s="7" t="n"/>
      <c r="O594" s="7" t="n"/>
      <c r="P594" s="7" t="n"/>
      <c r="R594" s="14" t="n"/>
      <c r="V594">
        <f>IF($A594="","",IF(COUNTIF($A$2:$A594,$A594)=1,1,0))</f>
        <v/>
      </c>
      <c r="W594">
        <f>IF($V594=1,SUMPRODUCT(--($Y$2:$Y$1501&lt;$Y594))+1,"")</f>
        <v/>
      </c>
      <c r="X594">
        <f>IF($A594="","",IF(OR($T594=TRUE(),$T594="TRUE"),1,0))</f>
        <v/>
      </c>
      <c r="Y594">
        <f>IF($V594=1,IFERROR(IF(VALUE($A594)&lt;100000000,VALUE($A594),1000000000),IFERROR(IF(VALUE(MID($A594,2,20))&lt;100000000,VALUE(MID($A594,2,20)),1000000000),1000000000))+ROW()/100000,"")</f>
        <v/>
      </c>
    </row>
    <row r="595">
      <c r="F595" s="7">
        <f>IF($A595="","",E595*L595/100)</f>
        <v/>
      </c>
      <c r="J595" s="7" t="n"/>
      <c r="K595" s="7">
        <f>IF($A595="","",N595*U595/100)</f>
        <v/>
      </c>
      <c r="L595" s="7">
        <f>IF($A595="","",N595-K595)</f>
        <v/>
      </c>
      <c r="M595" s="7">
        <f>IF($A595="","",L595-F595)</f>
        <v/>
      </c>
      <c r="N595" s="7" t="n"/>
      <c r="O595" s="7" t="n"/>
      <c r="P595" s="7" t="n"/>
      <c r="R595" s="14" t="n"/>
      <c r="V595">
        <f>IF($A595="","",IF(COUNTIF($A$2:$A595,$A595)=1,1,0))</f>
        <v/>
      </c>
      <c r="W595">
        <f>IF($V595=1,SUMPRODUCT(--($Y$2:$Y$1501&lt;$Y595))+1,"")</f>
        <v/>
      </c>
      <c r="X595">
        <f>IF($A595="","",IF(OR($T595=TRUE(),$T595="TRUE"),1,0))</f>
        <v/>
      </c>
      <c r="Y595">
        <f>IF($V595=1,IFERROR(IF(VALUE($A595)&lt;100000000,VALUE($A595),1000000000),IFERROR(IF(VALUE(MID($A595,2,20))&lt;100000000,VALUE(MID($A595,2,20)),1000000000),1000000000))+ROW()/100000,"")</f>
        <v/>
      </c>
    </row>
    <row r="596">
      <c r="F596" s="7">
        <f>IF($A596="","",E596*L596/100)</f>
        <v/>
      </c>
      <c r="J596" s="7" t="n"/>
      <c r="K596" s="7">
        <f>IF($A596="","",N596*U596/100)</f>
        <v/>
      </c>
      <c r="L596" s="7">
        <f>IF($A596="","",N596-K596)</f>
        <v/>
      </c>
      <c r="M596" s="7">
        <f>IF($A596="","",L596-F596)</f>
        <v/>
      </c>
      <c r="N596" s="7" t="n"/>
      <c r="O596" s="7" t="n"/>
      <c r="P596" s="7" t="n"/>
      <c r="R596" s="14" t="n"/>
      <c r="V596">
        <f>IF($A596="","",IF(COUNTIF($A$2:$A596,$A596)=1,1,0))</f>
        <v/>
      </c>
      <c r="W596">
        <f>IF($V596=1,SUMPRODUCT(--($Y$2:$Y$1501&lt;$Y596))+1,"")</f>
        <v/>
      </c>
      <c r="X596">
        <f>IF($A596="","",IF(OR($T596=TRUE(),$T596="TRUE"),1,0))</f>
        <v/>
      </c>
      <c r="Y596">
        <f>IF($V596=1,IFERROR(IF(VALUE($A596)&lt;100000000,VALUE($A596),1000000000),IFERROR(IF(VALUE(MID($A596,2,20))&lt;100000000,VALUE(MID($A596,2,20)),1000000000),1000000000))+ROW()/100000,"")</f>
        <v/>
      </c>
    </row>
    <row r="597">
      <c r="F597" s="7">
        <f>IF($A597="","",E597*L597/100)</f>
        <v/>
      </c>
      <c r="J597" s="7" t="n"/>
      <c r="K597" s="7">
        <f>IF($A597="","",N597*U597/100)</f>
        <v/>
      </c>
      <c r="L597" s="7">
        <f>IF($A597="","",N597-K597)</f>
        <v/>
      </c>
      <c r="M597" s="7">
        <f>IF($A597="","",L597-F597)</f>
        <v/>
      </c>
      <c r="N597" s="7" t="n"/>
      <c r="O597" s="7" t="n"/>
      <c r="P597" s="7" t="n"/>
      <c r="R597" s="14" t="n"/>
      <c r="V597">
        <f>IF($A597="","",IF(COUNTIF($A$2:$A597,$A597)=1,1,0))</f>
        <v/>
      </c>
      <c r="W597">
        <f>IF($V597=1,SUMPRODUCT(--($Y$2:$Y$1501&lt;$Y597))+1,"")</f>
        <v/>
      </c>
      <c r="X597">
        <f>IF($A597="","",IF(OR($T597=TRUE(),$T597="TRUE"),1,0))</f>
        <v/>
      </c>
      <c r="Y597">
        <f>IF($V597=1,IFERROR(IF(VALUE($A597)&lt;100000000,VALUE($A597),1000000000),IFERROR(IF(VALUE(MID($A597,2,20))&lt;100000000,VALUE(MID($A597,2,20)),1000000000),1000000000))+ROW()/100000,"")</f>
        <v/>
      </c>
    </row>
    <row r="598">
      <c r="F598" s="7">
        <f>IF($A598="","",E598*L598/100)</f>
        <v/>
      </c>
      <c r="J598" s="7" t="n"/>
      <c r="K598" s="7">
        <f>IF($A598="","",N598*U598/100)</f>
        <v/>
      </c>
      <c r="L598" s="7">
        <f>IF($A598="","",N598-K598)</f>
        <v/>
      </c>
      <c r="M598" s="7">
        <f>IF($A598="","",L598-F598)</f>
        <v/>
      </c>
      <c r="N598" s="7" t="n"/>
      <c r="O598" s="7" t="n"/>
      <c r="P598" s="7" t="n"/>
      <c r="R598" s="14" t="n"/>
      <c r="V598">
        <f>IF($A598="","",IF(COUNTIF($A$2:$A598,$A598)=1,1,0))</f>
        <v/>
      </c>
      <c r="W598">
        <f>IF($V598=1,SUMPRODUCT(--($Y$2:$Y$1501&lt;$Y598))+1,"")</f>
        <v/>
      </c>
      <c r="X598">
        <f>IF($A598="","",IF(OR($T598=TRUE(),$T598="TRUE"),1,0))</f>
        <v/>
      </c>
      <c r="Y598">
        <f>IF($V598=1,IFERROR(IF(VALUE($A598)&lt;100000000,VALUE($A598),1000000000),IFERROR(IF(VALUE(MID($A598,2,20))&lt;100000000,VALUE(MID($A598,2,20)),1000000000),1000000000))+ROW()/100000,"")</f>
        <v/>
      </c>
    </row>
    <row r="599">
      <c r="F599" s="7">
        <f>IF($A599="","",E599*L599/100)</f>
        <v/>
      </c>
      <c r="J599" s="7" t="n"/>
      <c r="K599" s="7">
        <f>IF($A599="","",N599*U599/100)</f>
        <v/>
      </c>
      <c r="L599" s="7">
        <f>IF($A599="","",N599-K599)</f>
        <v/>
      </c>
      <c r="M599" s="7">
        <f>IF($A599="","",L599-F599)</f>
        <v/>
      </c>
      <c r="N599" s="7" t="n"/>
      <c r="O599" s="7" t="n"/>
      <c r="P599" s="7" t="n"/>
      <c r="R599" s="14" t="n"/>
      <c r="V599">
        <f>IF($A599="","",IF(COUNTIF($A$2:$A599,$A599)=1,1,0))</f>
        <v/>
      </c>
      <c r="W599">
        <f>IF($V599=1,SUMPRODUCT(--($Y$2:$Y$1501&lt;$Y599))+1,"")</f>
        <v/>
      </c>
      <c r="X599">
        <f>IF($A599="","",IF(OR($T599=TRUE(),$T599="TRUE"),1,0))</f>
        <v/>
      </c>
      <c r="Y599">
        <f>IF($V599=1,IFERROR(IF(VALUE($A599)&lt;100000000,VALUE($A599),1000000000),IFERROR(IF(VALUE(MID($A599,2,20))&lt;100000000,VALUE(MID($A599,2,20)),1000000000),1000000000))+ROW()/100000,"")</f>
        <v/>
      </c>
    </row>
    <row r="600">
      <c r="F600" s="7">
        <f>IF($A600="","",E600*L600/100)</f>
        <v/>
      </c>
      <c r="J600" s="7" t="n"/>
      <c r="K600" s="7">
        <f>IF($A600="","",N600*U600/100)</f>
        <v/>
      </c>
      <c r="L600" s="7">
        <f>IF($A600="","",N600-K600)</f>
        <v/>
      </c>
      <c r="M600" s="7">
        <f>IF($A600="","",L600-F600)</f>
        <v/>
      </c>
      <c r="N600" s="7" t="n"/>
      <c r="O600" s="7" t="n"/>
      <c r="P600" s="7" t="n"/>
      <c r="R600" s="14" t="n"/>
      <c r="V600">
        <f>IF($A600="","",IF(COUNTIF($A$2:$A600,$A600)=1,1,0))</f>
        <v/>
      </c>
      <c r="W600">
        <f>IF($V600=1,SUMPRODUCT(--($Y$2:$Y$1501&lt;$Y600))+1,"")</f>
        <v/>
      </c>
      <c r="X600">
        <f>IF($A600="","",IF(OR($T600=TRUE(),$T600="TRUE"),1,0))</f>
        <v/>
      </c>
      <c r="Y600">
        <f>IF($V600=1,IFERROR(IF(VALUE($A600)&lt;100000000,VALUE($A600),1000000000),IFERROR(IF(VALUE(MID($A600,2,20))&lt;100000000,VALUE(MID($A600,2,20)),1000000000),1000000000))+ROW()/100000,"")</f>
        <v/>
      </c>
    </row>
    <row r="601">
      <c r="F601" s="7">
        <f>IF($A601="","",E601*L601/100)</f>
        <v/>
      </c>
      <c r="J601" s="7" t="n"/>
      <c r="K601" s="7">
        <f>IF($A601="","",N601*U601/100)</f>
        <v/>
      </c>
      <c r="L601" s="7">
        <f>IF($A601="","",N601-K601)</f>
        <v/>
      </c>
      <c r="M601" s="7">
        <f>IF($A601="","",L601-F601)</f>
        <v/>
      </c>
      <c r="N601" s="7" t="n"/>
      <c r="O601" s="7" t="n"/>
      <c r="P601" s="7" t="n"/>
      <c r="R601" s="14" t="n"/>
      <c r="V601">
        <f>IF($A601="","",IF(COUNTIF($A$2:$A601,$A601)=1,1,0))</f>
        <v/>
      </c>
      <c r="W601">
        <f>IF($V601=1,SUMPRODUCT(--($Y$2:$Y$1501&lt;$Y601))+1,"")</f>
        <v/>
      </c>
      <c r="X601">
        <f>IF($A601="","",IF(OR($T601=TRUE(),$T601="TRUE"),1,0))</f>
        <v/>
      </c>
      <c r="Y601">
        <f>IF($V601=1,IFERROR(IF(VALUE($A601)&lt;100000000,VALUE($A601),1000000000),IFERROR(IF(VALUE(MID($A601,2,20))&lt;100000000,VALUE(MID($A601,2,20)),1000000000),1000000000))+ROW()/100000,"")</f>
        <v/>
      </c>
    </row>
    <row r="602">
      <c r="F602" s="7">
        <f>IF($A602="","",E602*L602/100)</f>
        <v/>
      </c>
      <c r="J602" s="7" t="n"/>
      <c r="K602" s="7">
        <f>IF($A602="","",N602*U602/100)</f>
        <v/>
      </c>
      <c r="L602" s="7">
        <f>IF($A602="","",N602-K602)</f>
        <v/>
      </c>
      <c r="M602" s="7">
        <f>IF($A602="","",L602-F602)</f>
        <v/>
      </c>
      <c r="N602" s="7" t="n"/>
      <c r="O602" s="7" t="n"/>
      <c r="P602" s="7" t="n"/>
      <c r="R602" s="14" t="n"/>
      <c r="V602">
        <f>IF($A602="","",IF(COUNTIF($A$2:$A602,$A602)=1,1,0))</f>
        <v/>
      </c>
      <c r="W602">
        <f>IF($V602=1,SUMPRODUCT(--($Y$2:$Y$1501&lt;$Y602))+1,"")</f>
        <v/>
      </c>
      <c r="X602">
        <f>IF($A602="","",IF(OR($T602=TRUE(),$T602="TRUE"),1,0))</f>
        <v/>
      </c>
      <c r="Y602">
        <f>IF($V602=1,IFERROR(IF(VALUE($A602)&lt;100000000,VALUE($A602),1000000000),IFERROR(IF(VALUE(MID($A602,2,20))&lt;100000000,VALUE(MID($A602,2,20)),1000000000),1000000000))+ROW()/100000,"")</f>
        <v/>
      </c>
    </row>
    <row r="603">
      <c r="F603" s="7">
        <f>IF($A603="","",E603*L603/100)</f>
        <v/>
      </c>
      <c r="J603" s="7" t="n"/>
      <c r="K603" s="7">
        <f>IF($A603="","",N603*U603/100)</f>
        <v/>
      </c>
      <c r="L603" s="7">
        <f>IF($A603="","",N603-K603)</f>
        <v/>
      </c>
      <c r="M603" s="7">
        <f>IF($A603="","",L603-F603)</f>
        <v/>
      </c>
      <c r="N603" s="7" t="n"/>
      <c r="O603" s="7" t="n"/>
      <c r="P603" s="7" t="n"/>
      <c r="R603" s="14" t="n"/>
      <c r="V603">
        <f>IF($A603="","",IF(COUNTIF($A$2:$A603,$A603)=1,1,0))</f>
        <v/>
      </c>
      <c r="W603">
        <f>IF($V603=1,SUMPRODUCT(--($Y$2:$Y$1501&lt;$Y603))+1,"")</f>
        <v/>
      </c>
      <c r="X603">
        <f>IF($A603="","",IF(OR($T603=TRUE(),$T603="TRUE"),1,0))</f>
        <v/>
      </c>
      <c r="Y603">
        <f>IF($V603=1,IFERROR(IF(VALUE($A603)&lt;100000000,VALUE($A603),1000000000),IFERROR(IF(VALUE(MID($A603,2,20))&lt;100000000,VALUE(MID($A603,2,20)),1000000000),1000000000))+ROW()/100000,"")</f>
        <v/>
      </c>
    </row>
    <row r="604">
      <c r="F604" s="7">
        <f>IF($A604="","",E604*L604/100)</f>
        <v/>
      </c>
      <c r="J604" s="7" t="n"/>
      <c r="K604" s="7">
        <f>IF($A604="","",N604*U604/100)</f>
        <v/>
      </c>
      <c r="L604" s="7">
        <f>IF($A604="","",N604-K604)</f>
        <v/>
      </c>
      <c r="M604" s="7">
        <f>IF($A604="","",L604-F604)</f>
        <v/>
      </c>
      <c r="N604" s="7" t="n"/>
      <c r="O604" s="7" t="n"/>
      <c r="P604" s="7" t="n"/>
      <c r="R604" s="14" t="n"/>
      <c r="V604">
        <f>IF($A604="","",IF(COUNTIF($A$2:$A604,$A604)=1,1,0))</f>
        <v/>
      </c>
      <c r="W604">
        <f>IF($V604=1,SUMPRODUCT(--($Y$2:$Y$1501&lt;$Y604))+1,"")</f>
        <v/>
      </c>
      <c r="X604">
        <f>IF($A604="","",IF(OR($T604=TRUE(),$T604="TRUE"),1,0))</f>
        <v/>
      </c>
      <c r="Y604">
        <f>IF($V604=1,IFERROR(IF(VALUE($A604)&lt;100000000,VALUE($A604),1000000000),IFERROR(IF(VALUE(MID($A604,2,20))&lt;100000000,VALUE(MID($A604,2,20)),1000000000),1000000000))+ROW()/100000,"")</f>
        <v/>
      </c>
    </row>
    <row r="605">
      <c r="F605" s="7">
        <f>IF($A605="","",E605*L605/100)</f>
        <v/>
      </c>
      <c r="J605" s="7" t="n"/>
      <c r="K605" s="7">
        <f>IF($A605="","",N605*U605/100)</f>
        <v/>
      </c>
      <c r="L605" s="7">
        <f>IF($A605="","",N605-K605)</f>
        <v/>
      </c>
      <c r="M605" s="7">
        <f>IF($A605="","",L605-F605)</f>
        <v/>
      </c>
      <c r="N605" s="7" t="n"/>
      <c r="O605" s="7" t="n"/>
      <c r="P605" s="7" t="n"/>
      <c r="R605" s="14" t="n"/>
      <c r="V605">
        <f>IF($A605="","",IF(COUNTIF($A$2:$A605,$A605)=1,1,0))</f>
        <v/>
      </c>
      <c r="W605">
        <f>IF($V605=1,SUMPRODUCT(--($Y$2:$Y$1501&lt;$Y605))+1,"")</f>
        <v/>
      </c>
      <c r="X605">
        <f>IF($A605="","",IF(OR($T605=TRUE(),$T605="TRUE"),1,0))</f>
        <v/>
      </c>
      <c r="Y605">
        <f>IF($V605=1,IFERROR(IF(VALUE($A605)&lt;100000000,VALUE($A605),1000000000),IFERROR(IF(VALUE(MID($A605,2,20))&lt;100000000,VALUE(MID($A605,2,20)),1000000000),1000000000))+ROW()/100000,"")</f>
        <v/>
      </c>
    </row>
    <row r="606">
      <c r="F606" s="7">
        <f>IF($A606="","",E606*L606/100)</f>
        <v/>
      </c>
      <c r="J606" s="7" t="n"/>
      <c r="K606" s="7">
        <f>IF($A606="","",N606*U606/100)</f>
        <v/>
      </c>
      <c r="L606" s="7">
        <f>IF($A606="","",N606-K606)</f>
        <v/>
      </c>
      <c r="M606" s="7">
        <f>IF($A606="","",L606-F606)</f>
        <v/>
      </c>
      <c r="N606" s="7" t="n"/>
      <c r="O606" s="7" t="n"/>
      <c r="P606" s="7" t="n"/>
      <c r="R606" s="14" t="n"/>
      <c r="V606">
        <f>IF($A606="","",IF(COUNTIF($A$2:$A606,$A606)=1,1,0))</f>
        <v/>
      </c>
      <c r="W606">
        <f>IF($V606=1,SUMPRODUCT(--($Y$2:$Y$1501&lt;$Y606))+1,"")</f>
        <v/>
      </c>
      <c r="X606">
        <f>IF($A606="","",IF(OR($T606=TRUE(),$T606="TRUE"),1,0))</f>
        <v/>
      </c>
      <c r="Y606">
        <f>IF($V606=1,IFERROR(IF(VALUE($A606)&lt;100000000,VALUE($A606),1000000000),IFERROR(IF(VALUE(MID($A606,2,20))&lt;100000000,VALUE(MID($A606,2,20)),1000000000),1000000000))+ROW()/100000,"")</f>
        <v/>
      </c>
    </row>
    <row r="607">
      <c r="F607" s="7">
        <f>IF($A607="","",E607*L607/100)</f>
        <v/>
      </c>
      <c r="J607" s="7" t="n"/>
      <c r="K607" s="7">
        <f>IF($A607="","",N607*U607/100)</f>
        <v/>
      </c>
      <c r="L607" s="7">
        <f>IF($A607="","",N607-K607)</f>
        <v/>
      </c>
      <c r="M607" s="7">
        <f>IF($A607="","",L607-F607)</f>
        <v/>
      </c>
      <c r="N607" s="7" t="n"/>
      <c r="O607" s="7" t="n"/>
      <c r="P607" s="7" t="n"/>
      <c r="R607" s="14" t="n"/>
      <c r="V607">
        <f>IF($A607="","",IF(COUNTIF($A$2:$A607,$A607)=1,1,0))</f>
        <v/>
      </c>
      <c r="W607">
        <f>IF($V607=1,SUMPRODUCT(--($Y$2:$Y$1501&lt;$Y607))+1,"")</f>
        <v/>
      </c>
      <c r="X607">
        <f>IF($A607="","",IF(OR($T607=TRUE(),$T607="TRUE"),1,0))</f>
        <v/>
      </c>
      <c r="Y607">
        <f>IF($V607=1,IFERROR(IF(VALUE($A607)&lt;100000000,VALUE($A607),1000000000),IFERROR(IF(VALUE(MID($A607,2,20))&lt;100000000,VALUE(MID($A607,2,20)),1000000000),1000000000))+ROW()/100000,"")</f>
        <v/>
      </c>
    </row>
    <row r="608">
      <c r="F608" s="7">
        <f>IF($A608="","",E608*L608/100)</f>
        <v/>
      </c>
      <c r="J608" s="7" t="n"/>
      <c r="K608" s="7">
        <f>IF($A608="","",N608*U608/100)</f>
        <v/>
      </c>
      <c r="L608" s="7">
        <f>IF($A608="","",N608-K608)</f>
        <v/>
      </c>
      <c r="M608" s="7">
        <f>IF($A608="","",L608-F608)</f>
        <v/>
      </c>
      <c r="N608" s="7" t="n"/>
      <c r="O608" s="7" t="n"/>
      <c r="P608" s="7" t="n"/>
      <c r="R608" s="14" t="n"/>
      <c r="V608">
        <f>IF($A608="","",IF(COUNTIF($A$2:$A608,$A608)=1,1,0))</f>
        <v/>
      </c>
      <c r="W608">
        <f>IF($V608=1,SUMPRODUCT(--($Y$2:$Y$1501&lt;$Y608))+1,"")</f>
        <v/>
      </c>
      <c r="X608">
        <f>IF($A608="","",IF(OR($T608=TRUE(),$T608="TRUE"),1,0))</f>
        <v/>
      </c>
      <c r="Y608">
        <f>IF($V608=1,IFERROR(IF(VALUE($A608)&lt;100000000,VALUE($A608),1000000000),IFERROR(IF(VALUE(MID($A608,2,20))&lt;100000000,VALUE(MID($A608,2,20)),1000000000),1000000000))+ROW()/100000,"")</f>
        <v/>
      </c>
    </row>
    <row r="609">
      <c r="F609" s="7">
        <f>IF($A609="","",E609*L609/100)</f>
        <v/>
      </c>
      <c r="J609" s="7" t="n"/>
      <c r="K609" s="7">
        <f>IF($A609="","",N609*U609/100)</f>
        <v/>
      </c>
      <c r="L609" s="7">
        <f>IF($A609="","",N609-K609)</f>
        <v/>
      </c>
      <c r="M609" s="7">
        <f>IF($A609="","",L609-F609)</f>
        <v/>
      </c>
      <c r="N609" s="7" t="n"/>
      <c r="O609" s="7" t="n"/>
      <c r="P609" s="7" t="n"/>
      <c r="R609" s="14" t="n"/>
      <c r="V609">
        <f>IF($A609="","",IF(COUNTIF($A$2:$A609,$A609)=1,1,0))</f>
        <v/>
      </c>
      <c r="W609">
        <f>IF($V609=1,SUMPRODUCT(--($Y$2:$Y$1501&lt;$Y609))+1,"")</f>
        <v/>
      </c>
      <c r="X609">
        <f>IF($A609="","",IF(OR($T609=TRUE(),$T609="TRUE"),1,0))</f>
        <v/>
      </c>
      <c r="Y609">
        <f>IF($V609=1,IFERROR(IF(VALUE($A609)&lt;100000000,VALUE($A609),1000000000),IFERROR(IF(VALUE(MID($A609,2,20))&lt;100000000,VALUE(MID($A609,2,20)),1000000000),1000000000))+ROW()/100000,"")</f>
        <v/>
      </c>
    </row>
    <row r="610">
      <c r="F610" s="7">
        <f>IF($A610="","",E610*L610/100)</f>
        <v/>
      </c>
      <c r="J610" s="7" t="n"/>
      <c r="K610" s="7">
        <f>IF($A610="","",N610*U610/100)</f>
        <v/>
      </c>
      <c r="L610" s="7">
        <f>IF($A610="","",N610-K610)</f>
        <v/>
      </c>
      <c r="M610" s="7">
        <f>IF($A610="","",L610-F610)</f>
        <v/>
      </c>
      <c r="N610" s="7" t="n"/>
      <c r="O610" s="7" t="n"/>
      <c r="P610" s="7" t="n"/>
      <c r="R610" s="14" t="n"/>
      <c r="V610">
        <f>IF($A610="","",IF(COUNTIF($A$2:$A610,$A610)=1,1,0))</f>
        <v/>
      </c>
      <c r="W610">
        <f>IF($V610=1,SUMPRODUCT(--($Y$2:$Y$1501&lt;$Y610))+1,"")</f>
        <v/>
      </c>
      <c r="X610">
        <f>IF($A610="","",IF(OR($T610=TRUE(),$T610="TRUE"),1,0))</f>
        <v/>
      </c>
      <c r="Y610">
        <f>IF($V610=1,IFERROR(IF(VALUE($A610)&lt;100000000,VALUE($A610),1000000000),IFERROR(IF(VALUE(MID($A610,2,20))&lt;100000000,VALUE(MID($A610,2,20)),1000000000),1000000000))+ROW()/100000,"")</f>
        <v/>
      </c>
    </row>
    <row r="611">
      <c r="F611" s="7">
        <f>IF($A611="","",E611*L611/100)</f>
        <v/>
      </c>
      <c r="J611" s="7" t="n"/>
      <c r="K611" s="7">
        <f>IF($A611="","",N611*U611/100)</f>
        <v/>
      </c>
      <c r="L611" s="7">
        <f>IF($A611="","",N611-K611)</f>
        <v/>
      </c>
      <c r="M611" s="7">
        <f>IF($A611="","",L611-F611)</f>
        <v/>
      </c>
      <c r="N611" s="7" t="n"/>
      <c r="O611" s="7" t="n"/>
      <c r="P611" s="7" t="n"/>
      <c r="R611" s="14" t="n"/>
      <c r="V611">
        <f>IF($A611="","",IF(COUNTIF($A$2:$A611,$A611)=1,1,0))</f>
        <v/>
      </c>
      <c r="W611">
        <f>IF($V611=1,SUMPRODUCT(--($Y$2:$Y$1501&lt;$Y611))+1,"")</f>
        <v/>
      </c>
      <c r="X611">
        <f>IF($A611="","",IF(OR($T611=TRUE(),$T611="TRUE"),1,0))</f>
        <v/>
      </c>
      <c r="Y611">
        <f>IF($V611=1,IFERROR(IF(VALUE($A611)&lt;100000000,VALUE($A611),1000000000),IFERROR(IF(VALUE(MID($A611,2,20))&lt;100000000,VALUE(MID($A611,2,20)),1000000000),1000000000))+ROW()/100000,"")</f>
        <v/>
      </c>
    </row>
    <row r="612">
      <c r="F612" s="7">
        <f>IF($A612="","",E612*L612/100)</f>
        <v/>
      </c>
      <c r="J612" s="7" t="n"/>
      <c r="K612" s="7">
        <f>IF($A612="","",N612*U612/100)</f>
        <v/>
      </c>
      <c r="L612" s="7">
        <f>IF($A612="","",N612-K612)</f>
        <v/>
      </c>
      <c r="M612" s="7">
        <f>IF($A612="","",L612-F612)</f>
        <v/>
      </c>
      <c r="N612" s="7" t="n"/>
      <c r="O612" s="7" t="n"/>
      <c r="P612" s="7" t="n"/>
      <c r="R612" s="14" t="n"/>
      <c r="V612">
        <f>IF($A612="","",IF(COUNTIF($A$2:$A612,$A612)=1,1,0))</f>
        <v/>
      </c>
      <c r="W612">
        <f>IF($V612=1,SUMPRODUCT(--($Y$2:$Y$1501&lt;$Y612))+1,"")</f>
        <v/>
      </c>
      <c r="X612">
        <f>IF($A612="","",IF(OR($T612=TRUE(),$T612="TRUE"),1,0))</f>
        <v/>
      </c>
      <c r="Y612">
        <f>IF($V612=1,IFERROR(IF(VALUE($A612)&lt;100000000,VALUE($A612),1000000000),IFERROR(IF(VALUE(MID($A612,2,20))&lt;100000000,VALUE(MID($A612,2,20)),1000000000),1000000000))+ROW()/100000,"")</f>
        <v/>
      </c>
    </row>
    <row r="613">
      <c r="F613" s="7">
        <f>IF($A613="","",E613*L613/100)</f>
        <v/>
      </c>
      <c r="J613" s="7" t="n"/>
      <c r="K613" s="7">
        <f>IF($A613="","",N613*U613/100)</f>
        <v/>
      </c>
      <c r="L613" s="7">
        <f>IF($A613="","",N613-K613)</f>
        <v/>
      </c>
      <c r="M613" s="7">
        <f>IF($A613="","",L613-F613)</f>
        <v/>
      </c>
      <c r="N613" s="7" t="n"/>
      <c r="O613" s="7" t="n"/>
      <c r="P613" s="7" t="n"/>
      <c r="R613" s="14" t="n"/>
      <c r="V613">
        <f>IF($A613="","",IF(COUNTIF($A$2:$A613,$A613)=1,1,0))</f>
        <v/>
      </c>
      <c r="W613">
        <f>IF($V613=1,SUMPRODUCT(--($Y$2:$Y$1501&lt;$Y613))+1,"")</f>
        <v/>
      </c>
      <c r="X613">
        <f>IF($A613="","",IF(OR($T613=TRUE(),$T613="TRUE"),1,0))</f>
        <v/>
      </c>
      <c r="Y613">
        <f>IF($V613=1,IFERROR(IF(VALUE($A613)&lt;100000000,VALUE($A613),1000000000),IFERROR(IF(VALUE(MID($A613,2,20))&lt;100000000,VALUE(MID($A613,2,20)),1000000000),1000000000))+ROW()/100000,"")</f>
        <v/>
      </c>
    </row>
    <row r="614">
      <c r="F614" s="7">
        <f>IF($A614="","",E614*L614/100)</f>
        <v/>
      </c>
      <c r="J614" s="7" t="n"/>
      <c r="K614" s="7">
        <f>IF($A614="","",N614*U614/100)</f>
        <v/>
      </c>
      <c r="L614" s="7">
        <f>IF($A614="","",N614-K614)</f>
        <v/>
      </c>
      <c r="M614" s="7">
        <f>IF($A614="","",L614-F614)</f>
        <v/>
      </c>
      <c r="N614" s="7" t="n"/>
      <c r="O614" s="7" t="n"/>
      <c r="P614" s="7" t="n"/>
      <c r="R614" s="14" t="n"/>
      <c r="V614">
        <f>IF($A614="","",IF(COUNTIF($A$2:$A614,$A614)=1,1,0))</f>
        <v/>
      </c>
      <c r="W614">
        <f>IF($V614=1,SUMPRODUCT(--($Y$2:$Y$1501&lt;$Y614))+1,"")</f>
        <v/>
      </c>
      <c r="X614">
        <f>IF($A614="","",IF(OR($T614=TRUE(),$T614="TRUE"),1,0))</f>
        <v/>
      </c>
      <c r="Y614">
        <f>IF($V614=1,IFERROR(IF(VALUE($A614)&lt;100000000,VALUE($A614),1000000000),IFERROR(IF(VALUE(MID($A614,2,20))&lt;100000000,VALUE(MID($A614,2,20)),1000000000),1000000000))+ROW()/100000,"")</f>
        <v/>
      </c>
    </row>
    <row r="615">
      <c r="F615" s="7">
        <f>IF($A615="","",E615*L615/100)</f>
        <v/>
      </c>
      <c r="J615" s="7" t="n"/>
      <c r="K615" s="7">
        <f>IF($A615="","",N615*U615/100)</f>
        <v/>
      </c>
      <c r="L615" s="7">
        <f>IF($A615="","",N615-K615)</f>
        <v/>
      </c>
      <c r="M615" s="7">
        <f>IF($A615="","",L615-F615)</f>
        <v/>
      </c>
      <c r="N615" s="7" t="n"/>
      <c r="O615" s="7" t="n"/>
      <c r="P615" s="7" t="n"/>
      <c r="R615" s="14" t="n"/>
      <c r="V615">
        <f>IF($A615="","",IF(COUNTIF($A$2:$A615,$A615)=1,1,0))</f>
        <v/>
      </c>
      <c r="W615">
        <f>IF($V615=1,SUMPRODUCT(--($Y$2:$Y$1501&lt;$Y615))+1,"")</f>
        <v/>
      </c>
      <c r="X615">
        <f>IF($A615="","",IF(OR($T615=TRUE(),$T615="TRUE"),1,0))</f>
        <v/>
      </c>
      <c r="Y615">
        <f>IF($V615=1,IFERROR(IF(VALUE($A615)&lt;100000000,VALUE($A615),1000000000),IFERROR(IF(VALUE(MID($A615,2,20))&lt;100000000,VALUE(MID($A615,2,20)),1000000000),1000000000))+ROW()/100000,"")</f>
        <v/>
      </c>
    </row>
    <row r="616">
      <c r="F616" s="7">
        <f>IF($A616="","",E616*L616/100)</f>
        <v/>
      </c>
      <c r="J616" s="7" t="n"/>
      <c r="K616" s="7">
        <f>IF($A616="","",N616*U616/100)</f>
        <v/>
      </c>
      <c r="L616" s="7">
        <f>IF($A616="","",N616-K616)</f>
        <v/>
      </c>
      <c r="M616" s="7">
        <f>IF($A616="","",L616-F616)</f>
        <v/>
      </c>
      <c r="N616" s="7" t="n"/>
      <c r="O616" s="7" t="n"/>
      <c r="P616" s="7" t="n"/>
      <c r="R616" s="14" t="n"/>
      <c r="V616">
        <f>IF($A616="","",IF(COUNTIF($A$2:$A616,$A616)=1,1,0))</f>
        <v/>
      </c>
      <c r="W616">
        <f>IF($V616=1,SUMPRODUCT(--($Y$2:$Y$1501&lt;$Y616))+1,"")</f>
        <v/>
      </c>
      <c r="X616">
        <f>IF($A616="","",IF(OR($T616=TRUE(),$T616="TRUE"),1,0))</f>
        <v/>
      </c>
      <c r="Y616">
        <f>IF($V616=1,IFERROR(IF(VALUE($A616)&lt;100000000,VALUE($A616),1000000000),IFERROR(IF(VALUE(MID($A616,2,20))&lt;100000000,VALUE(MID($A616,2,20)),1000000000),1000000000))+ROW()/100000,"")</f>
        <v/>
      </c>
    </row>
    <row r="617">
      <c r="F617" s="7">
        <f>IF($A617="","",E617*L617/100)</f>
        <v/>
      </c>
      <c r="J617" s="7" t="n"/>
      <c r="K617" s="7">
        <f>IF($A617="","",N617*U617/100)</f>
        <v/>
      </c>
      <c r="L617" s="7">
        <f>IF($A617="","",N617-K617)</f>
        <v/>
      </c>
      <c r="M617" s="7">
        <f>IF($A617="","",L617-F617)</f>
        <v/>
      </c>
      <c r="N617" s="7" t="n"/>
      <c r="O617" s="7" t="n"/>
      <c r="P617" s="7" t="n"/>
      <c r="R617" s="14" t="n"/>
      <c r="V617">
        <f>IF($A617="","",IF(COUNTIF($A$2:$A617,$A617)=1,1,0))</f>
        <v/>
      </c>
      <c r="W617">
        <f>IF($V617=1,SUMPRODUCT(--($Y$2:$Y$1501&lt;$Y617))+1,"")</f>
        <v/>
      </c>
      <c r="X617">
        <f>IF($A617="","",IF(OR($T617=TRUE(),$T617="TRUE"),1,0))</f>
        <v/>
      </c>
      <c r="Y617">
        <f>IF($V617=1,IFERROR(IF(VALUE($A617)&lt;100000000,VALUE($A617),1000000000),IFERROR(IF(VALUE(MID($A617,2,20))&lt;100000000,VALUE(MID($A617,2,20)),1000000000),1000000000))+ROW()/100000,"")</f>
        <v/>
      </c>
    </row>
    <row r="618">
      <c r="F618" s="7">
        <f>IF($A618="","",E618*L618/100)</f>
        <v/>
      </c>
      <c r="J618" s="7" t="n"/>
      <c r="K618" s="7">
        <f>IF($A618="","",N618*U618/100)</f>
        <v/>
      </c>
      <c r="L618" s="7">
        <f>IF($A618="","",N618-K618)</f>
        <v/>
      </c>
      <c r="M618" s="7">
        <f>IF($A618="","",L618-F618)</f>
        <v/>
      </c>
      <c r="N618" s="7" t="n"/>
      <c r="O618" s="7" t="n"/>
      <c r="P618" s="7" t="n"/>
      <c r="R618" s="14" t="n"/>
      <c r="V618">
        <f>IF($A618="","",IF(COUNTIF($A$2:$A618,$A618)=1,1,0))</f>
        <v/>
      </c>
      <c r="W618">
        <f>IF($V618=1,SUMPRODUCT(--($Y$2:$Y$1501&lt;$Y618))+1,"")</f>
        <v/>
      </c>
      <c r="X618">
        <f>IF($A618="","",IF(OR($T618=TRUE(),$T618="TRUE"),1,0))</f>
        <v/>
      </c>
      <c r="Y618">
        <f>IF($V618=1,IFERROR(IF(VALUE($A618)&lt;100000000,VALUE($A618),1000000000),IFERROR(IF(VALUE(MID($A618,2,20))&lt;100000000,VALUE(MID($A618,2,20)),1000000000),1000000000))+ROW()/100000,"")</f>
        <v/>
      </c>
    </row>
    <row r="619">
      <c r="F619" s="7">
        <f>IF($A619="","",E619*L619/100)</f>
        <v/>
      </c>
      <c r="J619" s="7" t="n"/>
      <c r="K619" s="7">
        <f>IF($A619="","",N619*U619/100)</f>
        <v/>
      </c>
      <c r="L619" s="7">
        <f>IF($A619="","",N619-K619)</f>
        <v/>
      </c>
      <c r="M619" s="7">
        <f>IF($A619="","",L619-F619)</f>
        <v/>
      </c>
      <c r="N619" s="7" t="n"/>
      <c r="O619" s="7" t="n"/>
      <c r="P619" s="7" t="n"/>
      <c r="R619" s="14" t="n"/>
      <c r="V619">
        <f>IF($A619="","",IF(COUNTIF($A$2:$A619,$A619)=1,1,0))</f>
        <v/>
      </c>
      <c r="W619">
        <f>IF($V619=1,SUMPRODUCT(--($Y$2:$Y$1501&lt;$Y619))+1,"")</f>
        <v/>
      </c>
      <c r="X619">
        <f>IF($A619="","",IF(OR($T619=TRUE(),$T619="TRUE"),1,0))</f>
        <v/>
      </c>
      <c r="Y619">
        <f>IF($V619=1,IFERROR(IF(VALUE($A619)&lt;100000000,VALUE($A619),1000000000),IFERROR(IF(VALUE(MID($A619,2,20))&lt;100000000,VALUE(MID($A619,2,20)),1000000000),1000000000))+ROW()/100000,"")</f>
        <v/>
      </c>
    </row>
    <row r="620">
      <c r="F620" s="7">
        <f>IF($A620="","",E620*L620/100)</f>
        <v/>
      </c>
      <c r="J620" s="7" t="n"/>
      <c r="K620" s="7">
        <f>IF($A620="","",N620*U620/100)</f>
        <v/>
      </c>
      <c r="L620" s="7">
        <f>IF($A620="","",N620-K620)</f>
        <v/>
      </c>
      <c r="M620" s="7">
        <f>IF($A620="","",L620-F620)</f>
        <v/>
      </c>
      <c r="N620" s="7" t="n"/>
      <c r="O620" s="7" t="n"/>
      <c r="P620" s="7" t="n"/>
      <c r="R620" s="14" t="n"/>
      <c r="V620">
        <f>IF($A620="","",IF(COUNTIF($A$2:$A620,$A620)=1,1,0))</f>
        <v/>
      </c>
      <c r="W620">
        <f>IF($V620=1,SUMPRODUCT(--($Y$2:$Y$1501&lt;$Y620))+1,"")</f>
        <v/>
      </c>
      <c r="X620">
        <f>IF($A620="","",IF(OR($T620=TRUE(),$T620="TRUE"),1,0))</f>
        <v/>
      </c>
      <c r="Y620">
        <f>IF($V620=1,IFERROR(IF(VALUE($A620)&lt;100000000,VALUE($A620),1000000000),IFERROR(IF(VALUE(MID($A620,2,20))&lt;100000000,VALUE(MID($A620,2,20)),1000000000),1000000000))+ROW()/100000,"")</f>
        <v/>
      </c>
    </row>
    <row r="621">
      <c r="F621" s="7">
        <f>IF($A621="","",E621*L621/100)</f>
        <v/>
      </c>
      <c r="J621" s="7" t="n"/>
      <c r="K621" s="7">
        <f>IF($A621="","",N621*U621/100)</f>
        <v/>
      </c>
      <c r="L621" s="7">
        <f>IF($A621="","",N621-K621)</f>
        <v/>
      </c>
      <c r="M621" s="7">
        <f>IF($A621="","",L621-F621)</f>
        <v/>
      </c>
      <c r="N621" s="7" t="n"/>
      <c r="O621" s="7" t="n"/>
      <c r="P621" s="7" t="n"/>
      <c r="R621" s="14" t="n"/>
      <c r="V621">
        <f>IF($A621="","",IF(COUNTIF($A$2:$A621,$A621)=1,1,0))</f>
        <v/>
      </c>
      <c r="W621">
        <f>IF($V621=1,SUMPRODUCT(--($Y$2:$Y$1501&lt;$Y621))+1,"")</f>
        <v/>
      </c>
      <c r="X621">
        <f>IF($A621="","",IF(OR($T621=TRUE(),$T621="TRUE"),1,0))</f>
        <v/>
      </c>
      <c r="Y621">
        <f>IF($V621=1,IFERROR(IF(VALUE($A621)&lt;100000000,VALUE($A621),1000000000),IFERROR(IF(VALUE(MID($A621,2,20))&lt;100000000,VALUE(MID($A621,2,20)),1000000000),1000000000))+ROW()/100000,"")</f>
        <v/>
      </c>
    </row>
    <row r="622">
      <c r="F622" s="7">
        <f>IF($A622="","",E622*L622/100)</f>
        <v/>
      </c>
      <c r="J622" s="7" t="n"/>
      <c r="K622" s="7">
        <f>IF($A622="","",N622*U622/100)</f>
        <v/>
      </c>
      <c r="L622" s="7">
        <f>IF($A622="","",N622-K622)</f>
        <v/>
      </c>
      <c r="M622" s="7">
        <f>IF($A622="","",L622-F622)</f>
        <v/>
      </c>
      <c r="N622" s="7" t="n"/>
      <c r="O622" s="7" t="n"/>
      <c r="P622" s="7" t="n"/>
      <c r="R622" s="14" t="n"/>
      <c r="V622">
        <f>IF($A622="","",IF(COUNTIF($A$2:$A622,$A622)=1,1,0))</f>
        <v/>
      </c>
      <c r="W622">
        <f>IF($V622=1,SUMPRODUCT(--($Y$2:$Y$1501&lt;$Y622))+1,"")</f>
        <v/>
      </c>
      <c r="X622">
        <f>IF($A622="","",IF(OR($T622=TRUE(),$T622="TRUE"),1,0))</f>
        <v/>
      </c>
      <c r="Y622">
        <f>IF($V622=1,IFERROR(IF(VALUE($A622)&lt;100000000,VALUE($A622),1000000000),IFERROR(IF(VALUE(MID($A622,2,20))&lt;100000000,VALUE(MID($A622,2,20)),1000000000),1000000000))+ROW()/100000,"")</f>
        <v/>
      </c>
    </row>
    <row r="623">
      <c r="F623" s="7">
        <f>IF($A623="","",E623*L623/100)</f>
        <v/>
      </c>
      <c r="J623" s="7" t="n"/>
      <c r="K623" s="7">
        <f>IF($A623="","",N623*U623/100)</f>
        <v/>
      </c>
      <c r="L623" s="7">
        <f>IF($A623="","",N623-K623)</f>
        <v/>
      </c>
      <c r="M623" s="7">
        <f>IF($A623="","",L623-F623)</f>
        <v/>
      </c>
      <c r="N623" s="7" t="n"/>
      <c r="O623" s="7" t="n"/>
      <c r="P623" s="7" t="n"/>
      <c r="R623" s="14" t="n"/>
      <c r="V623">
        <f>IF($A623="","",IF(COUNTIF($A$2:$A623,$A623)=1,1,0))</f>
        <v/>
      </c>
      <c r="W623">
        <f>IF($V623=1,SUMPRODUCT(--($Y$2:$Y$1501&lt;$Y623))+1,"")</f>
        <v/>
      </c>
      <c r="X623">
        <f>IF($A623="","",IF(OR($T623=TRUE(),$T623="TRUE"),1,0))</f>
        <v/>
      </c>
      <c r="Y623">
        <f>IF($V623=1,IFERROR(IF(VALUE($A623)&lt;100000000,VALUE($A623),1000000000),IFERROR(IF(VALUE(MID($A623,2,20))&lt;100000000,VALUE(MID($A623,2,20)),1000000000),1000000000))+ROW()/100000,"")</f>
        <v/>
      </c>
    </row>
    <row r="624">
      <c r="F624" s="7">
        <f>IF($A624="","",E624*L624/100)</f>
        <v/>
      </c>
      <c r="J624" s="7" t="n"/>
      <c r="K624" s="7">
        <f>IF($A624="","",N624*U624/100)</f>
        <v/>
      </c>
      <c r="L624" s="7">
        <f>IF($A624="","",N624-K624)</f>
        <v/>
      </c>
      <c r="M624" s="7">
        <f>IF($A624="","",L624-F624)</f>
        <v/>
      </c>
      <c r="N624" s="7" t="n"/>
      <c r="O624" s="7" t="n"/>
      <c r="P624" s="7" t="n"/>
      <c r="R624" s="14" t="n"/>
      <c r="V624">
        <f>IF($A624="","",IF(COUNTIF($A$2:$A624,$A624)=1,1,0))</f>
        <v/>
      </c>
      <c r="W624">
        <f>IF($V624=1,SUMPRODUCT(--($Y$2:$Y$1501&lt;$Y624))+1,"")</f>
        <v/>
      </c>
      <c r="X624">
        <f>IF($A624="","",IF(OR($T624=TRUE(),$T624="TRUE"),1,0))</f>
        <v/>
      </c>
      <c r="Y624">
        <f>IF($V624=1,IFERROR(IF(VALUE($A624)&lt;100000000,VALUE($A624),1000000000),IFERROR(IF(VALUE(MID($A624,2,20))&lt;100000000,VALUE(MID($A624,2,20)),1000000000),1000000000))+ROW()/100000,"")</f>
        <v/>
      </c>
    </row>
    <row r="625">
      <c r="F625" s="7">
        <f>IF($A625="","",E625*L625/100)</f>
        <v/>
      </c>
      <c r="J625" s="7" t="n"/>
      <c r="K625" s="7">
        <f>IF($A625="","",N625*U625/100)</f>
        <v/>
      </c>
      <c r="L625" s="7">
        <f>IF($A625="","",N625-K625)</f>
        <v/>
      </c>
      <c r="M625" s="7">
        <f>IF($A625="","",L625-F625)</f>
        <v/>
      </c>
      <c r="N625" s="7" t="n"/>
      <c r="O625" s="7" t="n"/>
      <c r="P625" s="7" t="n"/>
      <c r="R625" s="14" t="n"/>
      <c r="V625">
        <f>IF($A625="","",IF(COUNTIF($A$2:$A625,$A625)=1,1,0))</f>
        <v/>
      </c>
      <c r="W625">
        <f>IF($V625=1,SUMPRODUCT(--($Y$2:$Y$1501&lt;$Y625))+1,"")</f>
        <v/>
      </c>
      <c r="X625">
        <f>IF($A625="","",IF(OR($T625=TRUE(),$T625="TRUE"),1,0))</f>
        <v/>
      </c>
      <c r="Y625">
        <f>IF($V625=1,IFERROR(IF(VALUE($A625)&lt;100000000,VALUE($A625),1000000000),IFERROR(IF(VALUE(MID($A625,2,20))&lt;100000000,VALUE(MID($A625,2,20)),1000000000),1000000000))+ROW()/100000,"")</f>
        <v/>
      </c>
    </row>
    <row r="626">
      <c r="F626" s="7">
        <f>IF($A626="","",E626*L626/100)</f>
        <v/>
      </c>
      <c r="J626" s="7" t="n"/>
      <c r="K626" s="7">
        <f>IF($A626="","",N626*U626/100)</f>
        <v/>
      </c>
      <c r="L626" s="7">
        <f>IF($A626="","",N626-K626)</f>
        <v/>
      </c>
      <c r="M626" s="7">
        <f>IF($A626="","",L626-F626)</f>
        <v/>
      </c>
      <c r="N626" s="7" t="n"/>
      <c r="O626" s="7" t="n"/>
      <c r="P626" s="7" t="n"/>
      <c r="R626" s="14" t="n"/>
      <c r="V626">
        <f>IF($A626="","",IF(COUNTIF($A$2:$A626,$A626)=1,1,0))</f>
        <v/>
      </c>
      <c r="W626">
        <f>IF($V626=1,SUMPRODUCT(--($Y$2:$Y$1501&lt;$Y626))+1,"")</f>
        <v/>
      </c>
      <c r="X626">
        <f>IF($A626="","",IF(OR($T626=TRUE(),$T626="TRUE"),1,0))</f>
        <v/>
      </c>
      <c r="Y626">
        <f>IF($V626=1,IFERROR(IF(VALUE($A626)&lt;100000000,VALUE($A626),1000000000),IFERROR(IF(VALUE(MID($A626,2,20))&lt;100000000,VALUE(MID($A626,2,20)),1000000000),1000000000))+ROW()/100000,"")</f>
        <v/>
      </c>
    </row>
    <row r="627">
      <c r="F627" s="7">
        <f>IF($A627="","",E627*L627/100)</f>
        <v/>
      </c>
      <c r="J627" s="7" t="n"/>
      <c r="K627" s="7">
        <f>IF($A627="","",N627*U627/100)</f>
        <v/>
      </c>
      <c r="L627" s="7">
        <f>IF($A627="","",N627-K627)</f>
        <v/>
      </c>
      <c r="M627" s="7">
        <f>IF($A627="","",L627-F627)</f>
        <v/>
      </c>
      <c r="N627" s="7" t="n"/>
      <c r="O627" s="7" t="n"/>
      <c r="P627" s="7" t="n"/>
      <c r="R627" s="14" t="n"/>
      <c r="V627">
        <f>IF($A627="","",IF(COUNTIF($A$2:$A627,$A627)=1,1,0))</f>
        <v/>
      </c>
      <c r="W627">
        <f>IF($V627=1,SUMPRODUCT(--($Y$2:$Y$1501&lt;$Y627))+1,"")</f>
        <v/>
      </c>
      <c r="X627">
        <f>IF($A627="","",IF(OR($T627=TRUE(),$T627="TRUE"),1,0))</f>
        <v/>
      </c>
      <c r="Y627">
        <f>IF($V627=1,IFERROR(IF(VALUE($A627)&lt;100000000,VALUE($A627),1000000000),IFERROR(IF(VALUE(MID($A627,2,20))&lt;100000000,VALUE(MID($A627,2,20)),1000000000),1000000000))+ROW()/100000,"")</f>
        <v/>
      </c>
    </row>
    <row r="628">
      <c r="F628" s="7">
        <f>IF($A628="","",E628*L628/100)</f>
        <v/>
      </c>
      <c r="J628" s="7" t="n"/>
      <c r="K628" s="7">
        <f>IF($A628="","",N628*U628/100)</f>
        <v/>
      </c>
      <c r="L628" s="7">
        <f>IF($A628="","",N628-K628)</f>
        <v/>
      </c>
      <c r="M628" s="7">
        <f>IF($A628="","",L628-F628)</f>
        <v/>
      </c>
      <c r="N628" s="7" t="n"/>
      <c r="O628" s="7" t="n"/>
      <c r="P628" s="7" t="n"/>
      <c r="R628" s="14" t="n"/>
      <c r="V628">
        <f>IF($A628="","",IF(COUNTIF($A$2:$A628,$A628)=1,1,0))</f>
        <v/>
      </c>
      <c r="W628">
        <f>IF($V628=1,SUMPRODUCT(--($Y$2:$Y$1501&lt;$Y628))+1,"")</f>
        <v/>
      </c>
      <c r="X628">
        <f>IF($A628="","",IF(OR($T628=TRUE(),$T628="TRUE"),1,0))</f>
        <v/>
      </c>
      <c r="Y628">
        <f>IF($V628=1,IFERROR(IF(VALUE($A628)&lt;100000000,VALUE($A628),1000000000),IFERROR(IF(VALUE(MID($A628,2,20))&lt;100000000,VALUE(MID($A628,2,20)),1000000000),1000000000))+ROW()/100000,"")</f>
        <v/>
      </c>
    </row>
    <row r="629">
      <c r="F629" s="7">
        <f>IF($A629="","",E629*L629/100)</f>
        <v/>
      </c>
      <c r="J629" s="7" t="n"/>
      <c r="K629" s="7">
        <f>IF($A629="","",N629*U629/100)</f>
        <v/>
      </c>
      <c r="L629" s="7">
        <f>IF($A629="","",N629-K629)</f>
        <v/>
      </c>
      <c r="M629" s="7">
        <f>IF($A629="","",L629-F629)</f>
        <v/>
      </c>
      <c r="N629" s="7" t="n"/>
      <c r="O629" s="7" t="n"/>
      <c r="P629" s="7" t="n"/>
      <c r="R629" s="14" t="n"/>
      <c r="V629">
        <f>IF($A629="","",IF(COUNTIF($A$2:$A629,$A629)=1,1,0))</f>
        <v/>
      </c>
      <c r="W629">
        <f>IF($V629=1,SUMPRODUCT(--($Y$2:$Y$1501&lt;$Y629))+1,"")</f>
        <v/>
      </c>
      <c r="X629">
        <f>IF($A629="","",IF(OR($T629=TRUE(),$T629="TRUE"),1,0))</f>
        <v/>
      </c>
      <c r="Y629">
        <f>IF($V629=1,IFERROR(IF(VALUE($A629)&lt;100000000,VALUE($A629),1000000000),IFERROR(IF(VALUE(MID($A629,2,20))&lt;100000000,VALUE(MID($A629,2,20)),1000000000),1000000000))+ROW()/100000,"")</f>
        <v/>
      </c>
    </row>
    <row r="630">
      <c r="F630" s="7">
        <f>IF($A630="","",E630*L630/100)</f>
        <v/>
      </c>
      <c r="J630" s="7" t="n"/>
      <c r="K630" s="7">
        <f>IF($A630="","",N630*U630/100)</f>
        <v/>
      </c>
      <c r="L630" s="7">
        <f>IF($A630="","",N630-K630)</f>
        <v/>
      </c>
      <c r="M630" s="7">
        <f>IF($A630="","",L630-F630)</f>
        <v/>
      </c>
      <c r="N630" s="7" t="n"/>
      <c r="O630" s="7" t="n"/>
      <c r="P630" s="7" t="n"/>
      <c r="R630" s="14" t="n"/>
      <c r="V630">
        <f>IF($A630="","",IF(COUNTIF($A$2:$A630,$A630)=1,1,0))</f>
        <v/>
      </c>
      <c r="W630">
        <f>IF($V630=1,SUMPRODUCT(--($Y$2:$Y$1501&lt;$Y630))+1,"")</f>
        <v/>
      </c>
      <c r="X630">
        <f>IF($A630="","",IF(OR($T630=TRUE(),$T630="TRUE"),1,0))</f>
        <v/>
      </c>
      <c r="Y630">
        <f>IF($V630=1,IFERROR(IF(VALUE($A630)&lt;100000000,VALUE($A630),1000000000),IFERROR(IF(VALUE(MID($A630,2,20))&lt;100000000,VALUE(MID($A630,2,20)),1000000000),1000000000))+ROW()/100000,"")</f>
        <v/>
      </c>
    </row>
    <row r="631">
      <c r="F631" s="7">
        <f>IF($A631="","",E631*L631/100)</f>
        <v/>
      </c>
      <c r="J631" s="7" t="n"/>
      <c r="K631" s="7">
        <f>IF($A631="","",N631*U631/100)</f>
        <v/>
      </c>
      <c r="L631" s="7">
        <f>IF($A631="","",N631-K631)</f>
        <v/>
      </c>
      <c r="M631" s="7">
        <f>IF($A631="","",L631-F631)</f>
        <v/>
      </c>
      <c r="N631" s="7" t="n"/>
      <c r="O631" s="7" t="n"/>
      <c r="P631" s="7" t="n"/>
      <c r="R631" s="14" t="n"/>
      <c r="V631">
        <f>IF($A631="","",IF(COUNTIF($A$2:$A631,$A631)=1,1,0))</f>
        <v/>
      </c>
      <c r="W631">
        <f>IF($V631=1,SUMPRODUCT(--($Y$2:$Y$1501&lt;$Y631))+1,"")</f>
        <v/>
      </c>
      <c r="X631">
        <f>IF($A631="","",IF(OR($T631=TRUE(),$T631="TRUE"),1,0))</f>
        <v/>
      </c>
      <c r="Y631">
        <f>IF($V631=1,IFERROR(IF(VALUE($A631)&lt;100000000,VALUE($A631),1000000000),IFERROR(IF(VALUE(MID($A631,2,20))&lt;100000000,VALUE(MID($A631,2,20)),1000000000),1000000000))+ROW()/100000,"")</f>
        <v/>
      </c>
    </row>
    <row r="632">
      <c r="F632" s="7">
        <f>IF($A632="","",E632*L632/100)</f>
        <v/>
      </c>
      <c r="J632" s="7" t="n"/>
      <c r="K632" s="7">
        <f>IF($A632="","",N632*U632/100)</f>
        <v/>
      </c>
      <c r="L632" s="7">
        <f>IF($A632="","",N632-K632)</f>
        <v/>
      </c>
      <c r="M632" s="7">
        <f>IF($A632="","",L632-F632)</f>
        <v/>
      </c>
      <c r="N632" s="7" t="n"/>
      <c r="O632" s="7" t="n"/>
      <c r="P632" s="7" t="n"/>
      <c r="R632" s="14" t="n"/>
      <c r="V632">
        <f>IF($A632="","",IF(COUNTIF($A$2:$A632,$A632)=1,1,0))</f>
        <v/>
      </c>
      <c r="W632">
        <f>IF($V632=1,SUMPRODUCT(--($Y$2:$Y$1501&lt;$Y632))+1,"")</f>
        <v/>
      </c>
      <c r="X632">
        <f>IF($A632="","",IF(OR($T632=TRUE(),$T632="TRUE"),1,0))</f>
        <v/>
      </c>
      <c r="Y632">
        <f>IF($V632=1,IFERROR(IF(VALUE($A632)&lt;100000000,VALUE($A632),1000000000),IFERROR(IF(VALUE(MID($A632,2,20))&lt;100000000,VALUE(MID($A632,2,20)),1000000000),1000000000))+ROW()/100000,"")</f>
        <v/>
      </c>
    </row>
    <row r="633">
      <c r="F633" s="7">
        <f>IF($A633="","",E633*L633/100)</f>
        <v/>
      </c>
      <c r="J633" s="7" t="n"/>
      <c r="K633" s="7">
        <f>IF($A633="","",N633*U633/100)</f>
        <v/>
      </c>
      <c r="L633" s="7">
        <f>IF($A633="","",N633-K633)</f>
        <v/>
      </c>
      <c r="M633" s="7">
        <f>IF($A633="","",L633-F633)</f>
        <v/>
      </c>
      <c r="N633" s="7" t="n"/>
      <c r="O633" s="7" t="n"/>
      <c r="P633" s="7" t="n"/>
      <c r="R633" s="14" t="n"/>
      <c r="V633">
        <f>IF($A633="","",IF(COUNTIF($A$2:$A633,$A633)=1,1,0))</f>
        <v/>
      </c>
      <c r="W633">
        <f>IF($V633=1,SUMPRODUCT(--($Y$2:$Y$1501&lt;$Y633))+1,"")</f>
        <v/>
      </c>
      <c r="X633">
        <f>IF($A633="","",IF(OR($T633=TRUE(),$T633="TRUE"),1,0))</f>
        <v/>
      </c>
      <c r="Y633">
        <f>IF($V633=1,IFERROR(IF(VALUE($A633)&lt;100000000,VALUE($A633),1000000000),IFERROR(IF(VALUE(MID($A633,2,20))&lt;100000000,VALUE(MID($A633,2,20)),1000000000),1000000000))+ROW()/100000,"")</f>
        <v/>
      </c>
    </row>
    <row r="634">
      <c r="F634" s="7">
        <f>IF($A634="","",E634*L634/100)</f>
        <v/>
      </c>
      <c r="J634" s="7" t="n"/>
      <c r="K634" s="7">
        <f>IF($A634="","",N634*U634/100)</f>
        <v/>
      </c>
      <c r="L634" s="7">
        <f>IF($A634="","",N634-K634)</f>
        <v/>
      </c>
      <c r="M634" s="7">
        <f>IF($A634="","",L634-F634)</f>
        <v/>
      </c>
      <c r="N634" s="7" t="n"/>
      <c r="O634" s="7" t="n"/>
      <c r="P634" s="7" t="n"/>
      <c r="R634" s="14" t="n"/>
      <c r="V634">
        <f>IF($A634="","",IF(COUNTIF($A$2:$A634,$A634)=1,1,0))</f>
        <v/>
      </c>
      <c r="W634">
        <f>IF($V634=1,SUMPRODUCT(--($Y$2:$Y$1501&lt;$Y634))+1,"")</f>
        <v/>
      </c>
      <c r="X634">
        <f>IF($A634="","",IF(OR($T634=TRUE(),$T634="TRUE"),1,0))</f>
        <v/>
      </c>
      <c r="Y634">
        <f>IF($V634=1,IFERROR(IF(VALUE($A634)&lt;100000000,VALUE($A634),1000000000),IFERROR(IF(VALUE(MID($A634,2,20))&lt;100000000,VALUE(MID($A634,2,20)),1000000000),1000000000))+ROW()/100000,"")</f>
        <v/>
      </c>
    </row>
    <row r="635">
      <c r="F635" s="7">
        <f>IF($A635="","",E635*L635/100)</f>
        <v/>
      </c>
      <c r="J635" s="7" t="n"/>
      <c r="K635" s="7">
        <f>IF($A635="","",N635*U635/100)</f>
        <v/>
      </c>
      <c r="L635" s="7">
        <f>IF($A635="","",N635-K635)</f>
        <v/>
      </c>
      <c r="M635" s="7">
        <f>IF($A635="","",L635-F635)</f>
        <v/>
      </c>
      <c r="N635" s="7" t="n"/>
      <c r="O635" s="7" t="n"/>
      <c r="P635" s="7" t="n"/>
      <c r="R635" s="14" t="n"/>
      <c r="V635">
        <f>IF($A635="","",IF(COUNTIF($A$2:$A635,$A635)=1,1,0))</f>
        <v/>
      </c>
      <c r="W635">
        <f>IF($V635=1,SUMPRODUCT(--($Y$2:$Y$1501&lt;$Y635))+1,"")</f>
        <v/>
      </c>
      <c r="X635">
        <f>IF($A635="","",IF(OR($T635=TRUE(),$T635="TRUE"),1,0))</f>
        <v/>
      </c>
      <c r="Y635">
        <f>IF($V635=1,IFERROR(IF(VALUE($A635)&lt;100000000,VALUE($A635),1000000000),IFERROR(IF(VALUE(MID($A635,2,20))&lt;100000000,VALUE(MID($A635,2,20)),1000000000),1000000000))+ROW()/100000,"")</f>
        <v/>
      </c>
    </row>
    <row r="636">
      <c r="F636" s="7">
        <f>IF($A636="","",E636*L636/100)</f>
        <v/>
      </c>
      <c r="J636" s="7" t="n"/>
      <c r="K636" s="7">
        <f>IF($A636="","",N636*U636/100)</f>
        <v/>
      </c>
      <c r="L636" s="7">
        <f>IF($A636="","",N636-K636)</f>
        <v/>
      </c>
      <c r="M636" s="7">
        <f>IF($A636="","",L636-F636)</f>
        <v/>
      </c>
      <c r="N636" s="7" t="n"/>
      <c r="O636" s="7" t="n"/>
      <c r="P636" s="7" t="n"/>
      <c r="R636" s="14" t="n"/>
      <c r="V636">
        <f>IF($A636="","",IF(COUNTIF($A$2:$A636,$A636)=1,1,0))</f>
        <v/>
      </c>
      <c r="W636">
        <f>IF($V636=1,SUMPRODUCT(--($Y$2:$Y$1501&lt;$Y636))+1,"")</f>
        <v/>
      </c>
      <c r="X636">
        <f>IF($A636="","",IF(OR($T636=TRUE(),$T636="TRUE"),1,0))</f>
        <v/>
      </c>
      <c r="Y636">
        <f>IF($V636=1,IFERROR(IF(VALUE($A636)&lt;100000000,VALUE($A636),1000000000),IFERROR(IF(VALUE(MID($A636,2,20))&lt;100000000,VALUE(MID($A636,2,20)),1000000000),1000000000))+ROW()/100000,"")</f>
        <v/>
      </c>
    </row>
    <row r="637">
      <c r="F637" s="7">
        <f>IF($A637="","",E637*L637/100)</f>
        <v/>
      </c>
      <c r="J637" s="7" t="n"/>
      <c r="K637" s="7">
        <f>IF($A637="","",N637*U637/100)</f>
        <v/>
      </c>
      <c r="L637" s="7">
        <f>IF($A637="","",N637-K637)</f>
        <v/>
      </c>
      <c r="M637" s="7">
        <f>IF($A637="","",L637-F637)</f>
        <v/>
      </c>
      <c r="N637" s="7" t="n"/>
      <c r="O637" s="7" t="n"/>
      <c r="P637" s="7" t="n"/>
      <c r="R637" s="14" t="n"/>
      <c r="V637">
        <f>IF($A637="","",IF(COUNTIF($A$2:$A637,$A637)=1,1,0))</f>
        <v/>
      </c>
      <c r="W637">
        <f>IF($V637=1,SUMPRODUCT(--($Y$2:$Y$1501&lt;$Y637))+1,"")</f>
        <v/>
      </c>
      <c r="X637">
        <f>IF($A637="","",IF(OR($T637=TRUE(),$T637="TRUE"),1,0))</f>
        <v/>
      </c>
      <c r="Y637">
        <f>IF($V637=1,IFERROR(IF(VALUE($A637)&lt;100000000,VALUE($A637),1000000000),IFERROR(IF(VALUE(MID($A637,2,20))&lt;100000000,VALUE(MID($A637,2,20)),1000000000),1000000000))+ROW()/100000,"")</f>
        <v/>
      </c>
    </row>
    <row r="638">
      <c r="F638" s="7">
        <f>IF($A638="","",E638*L638/100)</f>
        <v/>
      </c>
      <c r="J638" s="7" t="n"/>
      <c r="K638" s="7">
        <f>IF($A638="","",N638*U638/100)</f>
        <v/>
      </c>
      <c r="L638" s="7">
        <f>IF($A638="","",N638-K638)</f>
        <v/>
      </c>
      <c r="M638" s="7">
        <f>IF($A638="","",L638-F638)</f>
        <v/>
      </c>
      <c r="N638" s="7" t="n"/>
      <c r="O638" s="7" t="n"/>
      <c r="P638" s="7" t="n"/>
      <c r="R638" s="14" t="n"/>
      <c r="V638">
        <f>IF($A638="","",IF(COUNTIF($A$2:$A638,$A638)=1,1,0))</f>
        <v/>
      </c>
      <c r="W638">
        <f>IF($V638=1,SUMPRODUCT(--($Y$2:$Y$1501&lt;$Y638))+1,"")</f>
        <v/>
      </c>
      <c r="X638">
        <f>IF($A638="","",IF(OR($T638=TRUE(),$T638="TRUE"),1,0))</f>
        <v/>
      </c>
      <c r="Y638">
        <f>IF($V638=1,IFERROR(IF(VALUE($A638)&lt;100000000,VALUE($A638),1000000000),IFERROR(IF(VALUE(MID($A638,2,20))&lt;100000000,VALUE(MID($A638,2,20)),1000000000),1000000000))+ROW()/100000,"")</f>
        <v/>
      </c>
    </row>
    <row r="639">
      <c r="F639" s="7">
        <f>IF($A639="","",E639*L639/100)</f>
        <v/>
      </c>
      <c r="J639" s="7" t="n"/>
      <c r="K639" s="7">
        <f>IF($A639="","",N639*U639/100)</f>
        <v/>
      </c>
      <c r="L639" s="7">
        <f>IF($A639="","",N639-K639)</f>
        <v/>
      </c>
      <c r="M639" s="7">
        <f>IF($A639="","",L639-F639)</f>
        <v/>
      </c>
      <c r="N639" s="7" t="n"/>
      <c r="O639" s="7" t="n"/>
      <c r="P639" s="7" t="n"/>
      <c r="R639" s="14" t="n"/>
      <c r="V639">
        <f>IF($A639="","",IF(COUNTIF($A$2:$A639,$A639)=1,1,0))</f>
        <v/>
      </c>
      <c r="W639">
        <f>IF($V639=1,SUMPRODUCT(--($Y$2:$Y$1501&lt;$Y639))+1,"")</f>
        <v/>
      </c>
      <c r="X639">
        <f>IF($A639="","",IF(OR($T639=TRUE(),$T639="TRUE"),1,0))</f>
        <v/>
      </c>
      <c r="Y639">
        <f>IF($V639=1,IFERROR(IF(VALUE($A639)&lt;100000000,VALUE($A639),1000000000),IFERROR(IF(VALUE(MID($A639,2,20))&lt;100000000,VALUE(MID($A639,2,20)),1000000000),1000000000))+ROW()/100000,"")</f>
        <v/>
      </c>
    </row>
    <row r="640">
      <c r="F640" s="7">
        <f>IF($A640="","",E640*L640/100)</f>
        <v/>
      </c>
      <c r="J640" s="7" t="n"/>
      <c r="K640" s="7">
        <f>IF($A640="","",N640*U640/100)</f>
        <v/>
      </c>
      <c r="L640" s="7">
        <f>IF($A640="","",N640-K640)</f>
        <v/>
      </c>
      <c r="M640" s="7">
        <f>IF($A640="","",L640-F640)</f>
        <v/>
      </c>
      <c r="N640" s="7" t="n"/>
      <c r="O640" s="7" t="n"/>
      <c r="P640" s="7" t="n"/>
      <c r="R640" s="14" t="n"/>
      <c r="V640">
        <f>IF($A640="","",IF(COUNTIF($A$2:$A640,$A640)=1,1,0))</f>
        <v/>
      </c>
      <c r="W640">
        <f>IF($V640=1,SUMPRODUCT(--($Y$2:$Y$1501&lt;$Y640))+1,"")</f>
        <v/>
      </c>
      <c r="X640">
        <f>IF($A640="","",IF(OR($T640=TRUE(),$T640="TRUE"),1,0))</f>
        <v/>
      </c>
      <c r="Y640">
        <f>IF($V640=1,IFERROR(IF(VALUE($A640)&lt;100000000,VALUE($A640),1000000000),IFERROR(IF(VALUE(MID($A640,2,20))&lt;100000000,VALUE(MID($A640,2,20)),1000000000),1000000000))+ROW()/100000,"")</f>
        <v/>
      </c>
    </row>
    <row r="641">
      <c r="F641" s="7">
        <f>IF($A641="","",E641*L641/100)</f>
        <v/>
      </c>
      <c r="J641" s="7" t="n"/>
      <c r="K641" s="7">
        <f>IF($A641="","",N641*U641/100)</f>
        <v/>
      </c>
      <c r="L641" s="7">
        <f>IF($A641="","",N641-K641)</f>
        <v/>
      </c>
      <c r="M641" s="7">
        <f>IF($A641="","",L641-F641)</f>
        <v/>
      </c>
      <c r="N641" s="7" t="n"/>
      <c r="O641" s="7" t="n"/>
      <c r="P641" s="7" t="n"/>
      <c r="R641" s="14" t="n"/>
      <c r="V641">
        <f>IF($A641="","",IF(COUNTIF($A$2:$A641,$A641)=1,1,0))</f>
        <v/>
      </c>
      <c r="W641">
        <f>IF($V641=1,SUMPRODUCT(--($Y$2:$Y$1501&lt;$Y641))+1,"")</f>
        <v/>
      </c>
      <c r="X641">
        <f>IF($A641="","",IF(OR($T641=TRUE(),$T641="TRUE"),1,0))</f>
        <v/>
      </c>
      <c r="Y641">
        <f>IF($V641=1,IFERROR(IF(VALUE($A641)&lt;100000000,VALUE($A641),1000000000),IFERROR(IF(VALUE(MID($A641,2,20))&lt;100000000,VALUE(MID($A641,2,20)),1000000000),1000000000))+ROW()/100000,"")</f>
        <v/>
      </c>
    </row>
    <row r="642">
      <c r="F642" s="7">
        <f>IF($A642="","",E642*L642/100)</f>
        <v/>
      </c>
      <c r="J642" s="7" t="n"/>
      <c r="K642" s="7">
        <f>IF($A642="","",N642*U642/100)</f>
        <v/>
      </c>
      <c r="L642" s="7">
        <f>IF($A642="","",N642-K642)</f>
        <v/>
      </c>
      <c r="M642" s="7">
        <f>IF($A642="","",L642-F642)</f>
        <v/>
      </c>
      <c r="N642" s="7" t="n"/>
      <c r="O642" s="7" t="n"/>
      <c r="P642" s="7" t="n"/>
      <c r="R642" s="14" t="n"/>
      <c r="V642">
        <f>IF($A642="","",IF(COUNTIF($A$2:$A642,$A642)=1,1,0))</f>
        <v/>
      </c>
      <c r="W642">
        <f>IF($V642=1,SUMPRODUCT(--($Y$2:$Y$1501&lt;$Y642))+1,"")</f>
        <v/>
      </c>
      <c r="X642">
        <f>IF($A642="","",IF(OR($T642=TRUE(),$T642="TRUE"),1,0))</f>
        <v/>
      </c>
      <c r="Y642">
        <f>IF($V642=1,IFERROR(IF(VALUE($A642)&lt;100000000,VALUE($A642),1000000000),IFERROR(IF(VALUE(MID($A642,2,20))&lt;100000000,VALUE(MID($A642,2,20)),1000000000),1000000000))+ROW()/100000,"")</f>
        <v/>
      </c>
    </row>
    <row r="643">
      <c r="F643" s="7">
        <f>IF($A643="","",E643*L643/100)</f>
        <v/>
      </c>
      <c r="J643" s="7" t="n"/>
      <c r="K643" s="7">
        <f>IF($A643="","",N643*U643/100)</f>
        <v/>
      </c>
      <c r="L643" s="7">
        <f>IF($A643="","",N643-K643)</f>
        <v/>
      </c>
      <c r="M643" s="7">
        <f>IF($A643="","",L643-F643)</f>
        <v/>
      </c>
      <c r="N643" s="7" t="n"/>
      <c r="O643" s="7" t="n"/>
      <c r="P643" s="7" t="n"/>
      <c r="R643" s="14" t="n"/>
      <c r="V643">
        <f>IF($A643="","",IF(COUNTIF($A$2:$A643,$A643)=1,1,0))</f>
        <v/>
      </c>
      <c r="W643">
        <f>IF($V643=1,SUMPRODUCT(--($Y$2:$Y$1501&lt;$Y643))+1,"")</f>
        <v/>
      </c>
      <c r="X643">
        <f>IF($A643="","",IF(OR($T643=TRUE(),$T643="TRUE"),1,0))</f>
        <v/>
      </c>
      <c r="Y643">
        <f>IF($V643=1,IFERROR(IF(VALUE($A643)&lt;100000000,VALUE($A643),1000000000),IFERROR(IF(VALUE(MID($A643,2,20))&lt;100000000,VALUE(MID($A643,2,20)),1000000000),1000000000))+ROW()/100000,"")</f>
        <v/>
      </c>
    </row>
    <row r="644">
      <c r="F644" s="7">
        <f>IF($A644="","",E644*L644/100)</f>
        <v/>
      </c>
      <c r="J644" s="7" t="n"/>
      <c r="K644" s="7">
        <f>IF($A644="","",N644*U644/100)</f>
        <v/>
      </c>
      <c r="L644" s="7">
        <f>IF($A644="","",N644-K644)</f>
        <v/>
      </c>
      <c r="M644" s="7">
        <f>IF($A644="","",L644-F644)</f>
        <v/>
      </c>
      <c r="N644" s="7" t="n"/>
      <c r="O644" s="7" t="n"/>
      <c r="P644" s="7" t="n"/>
      <c r="R644" s="14" t="n"/>
      <c r="V644">
        <f>IF($A644="","",IF(COUNTIF($A$2:$A644,$A644)=1,1,0))</f>
        <v/>
      </c>
      <c r="W644">
        <f>IF($V644=1,SUMPRODUCT(--($Y$2:$Y$1501&lt;$Y644))+1,"")</f>
        <v/>
      </c>
      <c r="X644">
        <f>IF($A644="","",IF(OR($T644=TRUE(),$T644="TRUE"),1,0))</f>
        <v/>
      </c>
      <c r="Y644">
        <f>IF($V644=1,IFERROR(IF(VALUE($A644)&lt;100000000,VALUE($A644),1000000000),IFERROR(IF(VALUE(MID($A644,2,20))&lt;100000000,VALUE(MID($A644,2,20)),1000000000),1000000000))+ROW()/100000,"")</f>
        <v/>
      </c>
    </row>
    <row r="645">
      <c r="F645" s="7">
        <f>IF($A645="","",E645*L645/100)</f>
        <v/>
      </c>
      <c r="J645" s="7" t="n"/>
      <c r="K645" s="7">
        <f>IF($A645="","",N645*U645/100)</f>
        <v/>
      </c>
      <c r="L645" s="7">
        <f>IF($A645="","",N645-K645)</f>
        <v/>
      </c>
      <c r="M645" s="7">
        <f>IF($A645="","",L645-F645)</f>
        <v/>
      </c>
      <c r="N645" s="7" t="n"/>
      <c r="O645" s="7" t="n"/>
      <c r="P645" s="7" t="n"/>
      <c r="R645" s="14" t="n"/>
      <c r="V645">
        <f>IF($A645="","",IF(COUNTIF($A$2:$A645,$A645)=1,1,0))</f>
        <v/>
      </c>
      <c r="W645">
        <f>IF($V645=1,SUMPRODUCT(--($Y$2:$Y$1501&lt;$Y645))+1,"")</f>
        <v/>
      </c>
      <c r="X645">
        <f>IF($A645="","",IF(OR($T645=TRUE(),$T645="TRUE"),1,0))</f>
        <v/>
      </c>
      <c r="Y645">
        <f>IF($V645=1,IFERROR(IF(VALUE($A645)&lt;100000000,VALUE($A645),1000000000),IFERROR(IF(VALUE(MID($A645,2,20))&lt;100000000,VALUE(MID($A645,2,20)),1000000000),1000000000))+ROW()/100000,"")</f>
        <v/>
      </c>
    </row>
    <row r="646">
      <c r="F646" s="7">
        <f>IF($A646="","",E646*L646/100)</f>
        <v/>
      </c>
      <c r="J646" s="7" t="n"/>
      <c r="K646" s="7">
        <f>IF($A646="","",N646*U646/100)</f>
        <v/>
      </c>
      <c r="L646" s="7">
        <f>IF($A646="","",N646-K646)</f>
        <v/>
      </c>
      <c r="M646" s="7">
        <f>IF($A646="","",L646-F646)</f>
        <v/>
      </c>
      <c r="N646" s="7" t="n"/>
      <c r="O646" s="7" t="n"/>
      <c r="P646" s="7" t="n"/>
      <c r="R646" s="14" t="n"/>
      <c r="V646">
        <f>IF($A646="","",IF(COUNTIF($A$2:$A646,$A646)=1,1,0))</f>
        <v/>
      </c>
      <c r="W646">
        <f>IF($V646=1,SUMPRODUCT(--($Y$2:$Y$1501&lt;$Y646))+1,"")</f>
        <v/>
      </c>
      <c r="X646">
        <f>IF($A646="","",IF(OR($T646=TRUE(),$T646="TRUE"),1,0))</f>
        <v/>
      </c>
      <c r="Y646">
        <f>IF($V646=1,IFERROR(IF(VALUE($A646)&lt;100000000,VALUE($A646),1000000000),IFERROR(IF(VALUE(MID($A646,2,20))&lt;100000000,VALUE(MID($A646,2,20)),1000000000),1000000000))+ROW()/100000,"")</f>
        <v/>
      </c>
    </row>
    <row r="647">
      <c r="F647" s="7">
        <f>IF($A647="","",E647*L647/100)</f>
        <v/>
      </c>
      <c r="J647" s="7" t="n"/>
      <c r="K647" s="7">
        <f>IF($A647="","",N647*U647/100)</f>
        <v/>
      </c>
      <c r="L647" s="7">
        <f>IF($A647="","",N647-K647)</f>
        <v/>
      </c>
      <c r="M647" s="7">
        <f>IF($A647="","",L647-F647)</f>
        <v/>
      </c>
      <c r="N647" s="7" t="n"/>
      <c r="O647" s="7" t="n"/>
      <c r="P647" s="7" t="n"/>
      <c r="R647" s="14" t="n"/>
      <c r="V647">
        <f>IF($A647="","",IF(COUNTIF($A$2:$A647,$A647)=1,1,0))</f>
        <v/>
      </c>
      <c r="W647">
        <f>IF($V647=1,SUMPRODUCT(--($Y$2:$Y$1501&lt;$Y647))+1,"")</f>
        <v/>
      </c>
      <c r="X647">
        <f>IF($A647="","",IF(OR($T647=TRUE(),$T647="TRUE"),1,0))</f>
        <v/>
      </c>
      <c r="Y647">
        <f>IF($V647=1,IFERROR(IF(VALUE($A647)&lt;100000000,VALUE($A647),1000000000),IFERROR(IF(VALUE(MID($A647,2,20))&lt;100000000,VALUE(MID($A647,2,20)),1000000000),1000000000))+ROW()/100000,"")</f>
        <v/>
      </c>
    </row>
    <row r="648">
      <c r="F648" s="7">
        <f>IF($A648="","",E648*L648/100)</f>
        <v/>
      </c>
      <c r="J648" s="7" t="n"/>
      <c r="K648" s="7">
        <f>IF($A648="","",N648*U648/100)</f>
        <v/>
      </c>
      <c r="L648" s="7">
        <f>IF($A648="","",N648-K648)</f>
        <v/>
      </c>
      <c r="M648" s="7">
        <f>IF($A648="","",L648-F648)</f>
        <v/>
      </c>
      <c r="N648" s="7" t="n"/>
      <c r="O648" s="7" t="n"/>
      <c r="P648" s="7" t="n"/>
      <c r="R648" s="14" t="n"/>
      <c r="V648">
        <f>IF($A648="","",IF(COUNTIF($A$2:$A648,$A648)=1,1,0))</f>
        <v/>
      </c>
      <c r="W648">
        <f>IF($V648=1,SUMPRODUCT(--($Y$2:$Y$1501&lt;$Y648))+1,"")</f>
        <v/>
      </c>
      <c r="X648">
        <f>IF($A648="","",IF(OR($T648=TRUE(),$T648="TRUE"),1,0))</f>
        <v/>
      </c>
      <c r="Y648">
        <f>IF($V648=1,IFERROR(IF(VALUE($A648)&lt;100000000,VALUE($A648),1000000000),IFERROR(IF(VALUE(MID($A648,2,20))&lt;100000000,VALUE(MID($A648,2,20)),1000000000),1000000000))+ROW()/100000,"")</f>
        <v/>
      </c>
    </row>
    <row r="649">
      <c r="F649" s="7">
        <f>IF($A649="","",E649*L649/100)</f>
        <v/>
      </c>
      <c r="J649" s="7" t="n"/>
      <c r="K649" s="7">
        <f>IF($A649="","",N649*U649/100)</f>
        <v/>
      </c>
      <c r="L649" s="7">
        <f>IF($A649="","",N649-K649)</f>
        <v/>
      </c>
      <c r="M649" s="7">
        <f>IF($A649="","",L649-F649)</f>
        <v/>
      </c>
      <c r="N649" s="7" t="n"/>
      <c r="O649" s="7" t="n"/>
      <c r="P649" s="7" t="n"/>
      <c r="R649" s="14" t="n"/>
      <c r="V649">
        <f>IF($A649="","",IF(COUNTIF($A$2:$A649,$A649)=1,1,0))</f>
        <v/>
      </c>
      <c r="W649">
        <f>IF($V649=1,SUMPRODUCT(--($Y$2:$Y$1501&lt;$Y649))+1,"")</f>
        <v/>
      </c>
      <c r="X649">
        <f>IF($A649="","",IF(OR($T649=TRUE(),$T649="TRUE"),1,0))</f>
        <v/>
      </c>
      <c r="Y649">
        <f>IF($V649=1,IFERROR(IF(VALUE($A649)&lt;100000000,VALUE($A649),1000000000),IFERROR(IF(VALUE(MID($A649,2,20))&lt;100000000,VALUE(MID($A649,2,20)),1000000000),1000000000))+ROW()/100000,"")</f>
        <v/>
      </c>
    </row>
    <row r="650">
      <c r="F650" s="7">
        <f>IF($A650="","",E650*L650/100)</f>
        <v/>
      </c>
      <c r="J650" s="7" t="n"/>
      <c r="K650" s="7">
        <f>IF($A650="","",N650*U650/100)</f>
        <v/>
      </c>
      <c r="L650" s="7">
        <f>IF($A650="","",N650-K650)</f>
        <v/>
      </c>
      <c r="M650" s="7">
        <f>IF($A650="","",L650-F650)</f>
        <v/>
      </c>
      <c r="N650" s="7" t="n"/>
      <c r="O650" s="7" t="n"/>
      <c r="P650" s="7" t="n"/>
      <c r="R650" s="14" t="n"/>
      <c r="V650">
        <f>IF($A650="","",IF(COUNTIF($A$2:$A650,$A650)=1,1,0))</f>
        <v/>
      </c>
      <c r="W650">
        <f>IF($V650=1,SUMPRODUCT(--($Y$2:$Y$1501&lt;$Y650))+1,"")</f>
        <v/>
      </c>
      <c r="X650">
        <f>IF($A650="","",IF(OR($T650=TRUE(),$T650="TRUE"),1,0))</f>
        <v/>
      </c>
      <c r="Y650">
        <f>IF($V650=1,IFERROR(IF(VALUE($A650)&lt;100000000,VALUE($A650),1000000000),IFERROR(IF(VALUE(MID($A650,2,20))&lt;100000000,VALUE(MID($A650,2,20)),1000000000),1000000000))+ROW()/100000,"")</f>
        <v/>
      </c>
    </row>
    <row r="651">
      <c r="F651" s="7">
        <f>IF($A651="","",E651*L651/100)</f>
        <v/>
      </c>
      <c r="J651" s="7" t="n"/>
      <c r="K651" s="7">
        <f>IF($A651="","",N651*U651/100)</f>
        <v/>
      </c>
      <c r="L651" s="7">
        <f>IF($A651="","",N651-K651)</f>
        <v/>
      </c>
      <c r="M651" s="7">
        <f>IF($A651="","",L651-F651)</f>
        <v/>
      </c>
      <c r="N651" s="7" t="n"/>
      <c r="O651" s="7" t="n"/>
      <c r="P651" s="7" t="n"/>
      <c r="R651" s="14" t="n"/>
      <c r="V651">
        <f>IF($A651="","",IF(COUNTIF($A$2:$A651,$A651)=1,1,0))</f>
        <v/>
      </c>
      <c r="W651">
        <f>IF($V651=1,SUMPRODUCT(--($Y$2:$Y$1501&lt;$Y651))+1,"")</f>
        <v/>
      </c>
      <c r="X651">
        <f>IF($A651="","",IF(OR($T651=TRUE(),$T651="TRUE"),1,0))</f>
        <v/>
      </c>
      <c r="Y651">
        <f>IF($V651=1,IFERROR(IF(VALUE($A651)&lt;100000000,VALUE($A651),1000000000),IFERROR(IF(VALUE(MID($A651,2,20))&lt;100000000,VALUE(MID($A651,2,20)),1000000000),1000000000))+ROW()/100000,"")</f>
        <v/>
      </c>
    </row>
    <row r="652">
      <c r="F652" s="7">
        <f>IF($A652="","",E652*L652/100)</f>
        <v/>
      </c>
      <c r="J652" s="7" t="n"/>
      <c r="K652" s="7">
        <f>IF($A652="","",N652*U652/100)</f>
        <v/>
      </c>
      <c r="L652" s="7">
        <f>IF($A652="","",N652-K652)</f>
        <v/>
      </c>
      <c r="M652" s="7">
        <f>IF($A652="","",L652-F652)</f>
        <v/>
      </c>
      <c r="N652" s="7" t="n"/>
      <c r="O652" s="7" t="n"/>
      <c r="P652" s="7" t="n"/>
      <c r="R652" s="14" t="n"/>
      <c r="V652">
        <f>IF($A652="","",IF(COUNTIF($A$2:$A652,$A652)=1,1,0))</f>
        <v/>
      </c>
      <c r="W652">
        <f>IF($V652=1,SUMPRODUCT(--($Y$2:$Y$1501&lt;$Y652))+1,"")</f>
        <v/>
      </c>
      <c r="X652">
        <f>IF($A652="","",IF(OR($T652=TRUE(),$T652="TRUE"),1,0))</f>
        <v/>
      </c>
      <c r="Y652">
        <f>IF($V652=1,IFERROR(IF(VALUE($A652)&lt;100000000,VALUE($A652),1000000000),IFERROR(IF(VALUE(MID($A652,2,20))&lt;100000000,VALUE(MID($A652,2,20)),1000000000),1000000000))+ROW()/100000,"")</f>
        <v/>
      </c>
    </row>
    <row r="653">
      <c r="F653" s="7">
        <f>IF($A653="","",E653*L653/100)</f>
        <v/>
      </c>
      <c r="J653" s="7" t="n"/>
      <c r="K653" s="7">
        <f>IF($A653="","",N653*U653/100)</f>
        <v/>
      </c>
      <c r="L653" s="7">
        <f>IF($A653="","",N653-K653)</f>
        <v/>
      </c>
      <c r="M653" s="7">
        <f>IF($A653="","",L653-F653)</f>
        <v/>
      </c>
      <c r="N653" s="7" t="n"/>
      <c r="O653" s="7" t="n"/>
      <c r="P653" s="7" t="n"/>
      <c r="R653" s="14" t="n"/>
      <c r="V653">
        <f>IF($A653="","",IF(COUNTIF($A$2:$A653,$A653)=1,1,0))</f>
        <v/>
      </c>
      <c r="W653">
        <f>IF($V653=1,SUMPRODUCT(--($Y$2:$Y$1501&lt;$Y653))+1,"")</f>
        <v/>
      </c>
      <c r="X653">
        <f>IF($A653="","",IF(OR($T653=TRUE(),$T653="TRUE"),1,0))</f>
        <v/>
      </c>
      <c r="Y653">
        <f>IF($V653=1,IFERROR(IF(VALUE($A653)&lt;100000000,VALUE($A653),1000000000),IFERROR(IF(VALUE(MID($A653,2,20))&lt;100000000,VALUE(MID($A653,2,20)),1000000000),1000000000))+ROW()/100000,"")</f>
        <v/>
      </c>
    </row>
    <row r="654">
      <c r="F654" s="7">
        <f>IF($A654="","",E654*L654/100)</f>
        <v/>
      </c>
      <c r="J654" s="7" t="n"/>
      <c r="K654" s="7">
        <f>IF($A654="","",N654*U654/100)</f>
        <v/>
      </c>
      <c r="L654" s="7">
        <f>IF($A654="","",N654-K654)</f>
        <v/>
      </c>
      <c r="M654" s="7">
        <f>IF($A654="","",L654-F654)</f>
        <v/>
      </c>
      <c r="N654" s="7" t="n"/>
      <c r="O654" s="7" t="n"/>
      <c r="P654" s="7" t="n"/>
      <c r="R654" s="14" t="n"/>
      <c r="V654">
        <f>IF($A654="","",IF(COUNTIF($A$2:$A654,$A654)=1,1,0))</f>
        <v/>
      </c>
      <c r="W654">
        <f>IF($V654=1,SUMPRODUCT(--($Y$2:$Y$1501&lt;$Y654))+1,"")</f>
        <v/>
      </c>
      <c r="X654">
        <f>IF($A654="","",IF(OR($T654=TRUE(),$T654="TRUE"),1,0))</f>
        <v/>
      </c>
      <c r="Y654">
        <f>IF($V654=1,IFERROR(IF(VALUE($A654)&lt;100000000,VALUE($A654),1000000000),IFERROR(IF(VALUE(MID($A654,2,20))&lt;100000000,VALUE(MID($A654,2,20)),1000000000),1000000000))+ROW()/100000,"")</f>
        <v/>
      </c>
    </row>
    <row r="655">
      <c r="F655" s="7">
        <f>IF($A655="","",E655*L655/100)</f>
        <v/>
      </c>
      <c r="J655" s="7" t="n"/>
      <c r="K655" s="7">
        <f>IF($A655="","",N655*U655/100)</f>
        <v/>
      </c>
      <c r="L655" s="7">
        <f>IF($A655="","",N655-K655)</f>
        <v/>
      </c>
      <c r="M655" s="7">
        <f>IF($A655="","",L655-F655)</f>
        <v/>
      </c>
      <c r="N655" s="7" t="n"/>
      <c r="O655" s="7" t="n"/>
      <c r="P655" s="7" t="n"/>
      <c r="R655" s="14" t="n"/>
      <c r="V655">
        <f>IF($A655="","",IF(COUNTIF($A$2:$A655,$A655)=1,1,0))</f>
        <v/>
      </c>
      <c r="W655">
        <f>IF($V655=1,SUMPRODUCT(--($Y$2:$Y$1501&lt;$Y655))+1,"")</f>
        <v/>
      </c>
      <c r="X655">
        <f>IF($A655="","",IF(OR($T655=TRUE(),$T655="TRUE"),1,0))</f>
        <v/>
      </c>
      <c r="Y655">
        <f>IF($V655=1,IFERROR(IF(VALUE($A655)&lt;100000000,VALUE($A655),1000000000),IFERROR(IF(VALUE(MID($A655,2,20))&lt;100000000,VALUE(MID($A655,2,20)),1000000000),1000000000))+ROW()/100000,"")</f>
        <v/>
      </c>
    </row>
    <row r="656">
      <c r="F656" s="7">
        <f>IF($A656="","",E656*L656/100)</f>
        <v/>
      </c>
      <c r="J656" s="7" t="n"/>
      <c r="K656" s="7">
        <f>IF($A656="","",N656*U656/100)</f>
        <v/>
      </c>
      <c r="L656" s="7">
        <f>IF($A656="","",N656-K656)</f>
        <v/>
      </c>
      <c r="M656" s="7">
        <f>IF($A656="","",L656-F656)</f>
        <v/>
      </c>
      <c r="N656" s="7" t="n"/>
      <c r="O656" s="7" t="n"/>
      <c r="P656" s="7" t="n"/>
      <c r="R656" s="14" t="n"/>
      <c r="V656">
        <f>IF($A656="","",IF(COUNTIF($A$2:$A656,$A656)=1,1,0))</f>
        <v/>
      </c>
      <c r="W656">
        <f>IF($V656=1,SUMPRODUCT(--($Y$2:$Y$1501&lt;$Y656))+1,"")</f>
        <v/>
      </c>
      <c r="X656">
        <f>IF($A656="","",IF(OR($T656=TRUE(),$T656="TRUE"),1,0))</f>
        <v/>
      </c>
      <c r="Y656">
        <f>IF($V656=1,IFERROR(IF(VALUE($A656)&lt;100000000,VALUE($A656),1000000000),IFERROR(IF(VALUE(MID($A656,2,20))&lt;100000000,VALUE(MID($A656,2,20)),1000000000),1000000000))+ROW()/100000,"")</f>
        <v/>
      </c>
    </row>
    <row r="657">
      <c r="F657" s="7">
        <f>IF($A657="","",E657*L657/100)</f>
        <v/>
      </c>
      <c r="J657" s="7" t="n"/>
      <c r="K657" s="7">
        <f>IF($A657="","",N657*U657/100)</f>
        <v/>
      </c>
      <c r="L657" s="7">
        <f>IF($A657="","",N657-K657)</f>
        <v/>
      </c>
      <c r="M657" s="7">
        <f>IF($A657="","",L657-F657)</f>
        <v/>
      </c>
      <c r="N657" s="7" t="n"/>
      <c r="O657" s="7" t="n"/>
      <c r="P657" s="7" t="n"/>
      <c r="R657" s="14" t="n"/>
      <c r="V657">
        <f>IF($A657="","",IF(COUNTIF($A$2:$A657,$A657)=1,1,0))</f>
        <v/>
      </c>
      <c r="W657">
        <f>IF($V657=1,SUMPRODUCT(--($Y$2:$Y$1501&lt;$Y657))+1,"")</f>
        <v/>
      </c>
      <c r="X657">
        <f>IF($A657="","",IF(OR($T657=TRUE(),$T657="TRUE"),1,0))</f>
        <v/>
      </c>
      <c r="Y657">
        <f>IF($V657=1,IFERROR(IF(VALUE($A657)&lt;100000000,VALUE($A657),1000000000),IFERROR(IF(VALUE(MID($A657,2,20))&lt;100000000,VALUE(MID($A657,2,20)),1000000000),1000000000))+ROW()/100000,"")</f>
        <v/>
      </c>
    </row>
    <row r="658">
      <c r="F658" s="7">
        <f>IF($A658="","",E658*L658/100)</f>
        <v/>
      </c>
      <c r="J658" s="7" t="n"/>
      <c r="K658" s="7">
        <f>IF($A658="","",N658*U658/100)</f>
        <v/>
      </c>
      <c r="L658" s="7">
        <f>IF($A658="","",N658-K658)</f>
        <v/>
      </c>
      <c r="M658" s="7">
        <f>IF($A658="","",L658-F658)</f>
        <v/>
      </c>
      <c r="N658" s="7" t="n"/>
      <c r="O658" s="7" t="n"/>
      <c r="P658" s="7" t="n"/>
      <c r="R658" s="14" t="n"/>
      <c r="V658">
        <f>IF($A658="","",IF(COUNTIF($A$2:$A658,$A658)=1,1,0))</f>
        <v/>
      </c>
      <c r="W658">
        <f>IF($V658=1,SUMPRODUCT(--($Y$2:$Y$1501&lt;$Y658))+1,"")</f>
        <v/>
      </c>
      <c r="X658">
        <f>IF($A658="","",IF(OR($T658=TRUE(),$T658="TRUE"),1,0))</f>
        <v/>
      </c>
      <c r="Y658">
        <f>IF($V658=1,IFERROR(IF(VALUE($A658)&lt;100000000,VALUE($A658),1000000000),IFERROR(IF(VALUE(MID($A658,2,20))&lt;100000000,VALUE(MID($A658,2,20)),1000000000),1000000000))+ROW()/100000,"")</f>
        <v/>
      </c>
    </row>
    <row r="659">
      <c r="F659" s="7">
        <f>IF($A659="","",E659*L659/100)</f>
        <v/>
      </c>
      <c r="J659" s="7" t="n"/>
      <c r="K659" s="7">
        <f>IF($A659="","",N659*U659/100)</f>
        <v/>
      </c>
      <c r="L659" s="7">
        <f>IF($A659="","",N659-K659)</f>
        <v/>
      </c>
      <c r="M659" s="7">
        <f>IF($A659="","",L659-F659)</f>
        <v/>
      </c>
      <c r="N659" s="7" t="n"/>
      <c r="O659" s="7" t="n"/>
      <c r="P659" s="7" t="n"/>
      <c r="R659" s="14" t="n"/>
      <c r="V659">
        <f>IF($A659="","",IF(COUNTIF($A$2:$A659,$A659)=1,1,0))</f>
        <v/>
      </c>
      <c r="W659">
        <f>IF($V659=1,SUMPRODUCT(--($Y$2:$Y$1501&lt;$Y659))+1,"")</f>
        <v/>
      </c>
      <c r="X659">
        <f>IF($A659="","",IF(OR($T659=TRUE(),$T659="TRUE"),1,0))</f>
        <v/>
      </c>
      <c r="Y659">
        <f>IF($V659=1,IFERROR(IF(VALUE($A659)&lt;100000000,VALUE($A659),1000000000),IFERROR(IF(VALUE(MID($A659,2,20))&lt;100000000,VALUE(MID($A659,2,20)),1000000000),1000000000))+ROW()/100000,"")</f>
        <v/>
      </c>
    </row>
    <row r="660">
      <c r="F660" s="7">
        <f>IF($A660="","",E660*L660/100)</f>
        <v/>
      </c>
      <c r="J660" s="7" t="n"/>
      <c r="K660" s="7">
        <f>IF($A660="","",N660*U660/100)</f>
        <v/>
      </c>
      <c r="L660" s="7">
        <f>IF($A660="","",N660-K660)</f>
        <v/>
      </c>
      <c r="M660" s="7">
        <f>IF($A660="","",L660-F660)</f>
        <v/>
      </c>
      <c r="N660" s="7" t="n"/>
      <c r="O660" s="7" t="n"/>
      <c r="P660" s="7" t="n"/>
      <c r="R660" s="14" t="n"/>
      <c r="V660">
        <f>IF($A660="","",IF(COUNTIF($A$2:$A660,$A660)=1,1,0))</f>
        <v/>
      </c>
      <c r="W660">
        <f>IF($V660=1,SUMPRODUCT(--($Y$2:$Y$1501&lt;$Y660))+1,"")</f>
        <v/>
      </c>
      <c r="X660">
        <f>IF($A660="","",IF(OR($T660=TRUE(),$T660="TRUE"),1,0))</f>
        <v/>
      </c>
      <c r="Y660">
        <f>IF($V660=1,IFERROR(IF(VALUE($A660)&lt;100000000,VALUE($A660),1000000000),IFERROR(IF(VALUE(MID($A660,2,20))&lt;100000000,VALUE(MID($A660,2,20)),1000000000),1000000000))+ROW()/100000,"")</f>
        <v/>
      </c>
    </row>
    <row r="661">
      <c r="F661" s="7">
        <f>IF($A661="","",E661*L661/100)</f>
        <v/>
      </c>
      <c r="J661" s="7" t="n"/>
      <c r="K661" s="7">
        <f>IF($A661="","",N661*U661/100)</f>
        <v/>
      </c>
      <c r="L661" s="7">
        <f>IF($A661="","",N661-K661)</f>
        <v/>
      </c>
      <c r="M661" s="7">
        <f>IF($A661="","",L661-F661)</f>
        <v/>
      </c>
      <c r="N661" s="7" t="n"/>
      <c r="O661" s="7" t="n"/>
      <c r="P661" s="7" t="n"/>
      <c r="R661" s="14" t="n"/>
      <c r="V661">
        <f>IF($A661="","",IF(COUNTIF($A$2:$A661,$A661)=1,1,0))</f>
        <v/>
      </c>
      <c r="W661">
        <f>IF($V661=1,SUMPRODUCT(--($Y$2:$Y$1501&lt;$Y661))+1,"")</f>
        <v/>
      </c>
      <c r="X661">
        <f>IF($A661="","",IF(OR($T661=TRUE(),$T661="TRUE"),1,0))</f>
        <v/>
      </c>
      <c r="Y661">
        <f>IF($V661=1,IFERROR(IF(VALUE($A661)&lt;100000000,VALUE($A661),1000000000),IFERROR(IF(VALUE(MID($A661,2,20))&lt;100000000,VALUE(MID($A661,2,20)),1000000000),1000000000))+ROW()/100000,"")</f>
        <v/>
      </c>
    </row>
    <row r="662">
      <c r="F662" s="7">
        <f>IF($A662="","",E662*L662/100)</f>
        <v/>
      </c>
      <c r="J662" s="7" t="n"/>
      <c r="K662" s="7">
        <f>IF($A662="","",N662*U662/100)</f>
        <v/>
      </c>
      <c r="L662" s="7">
        <f>IF($A662="","",N662-K662)</f>
        <v/>
      </c>
      <c r="M662" s="7">
        <f>IF($A662="","",L662-F662)</f>
        <v/>
      </c>
      <c r="N662" s="7" t="n"/>
      <c r="O662" s="7" t="n"/>
      <c r="P662" s="7" t="n"/>
      <c r="R662" s="14" t="n"/>
      <c r="V662">
        <f>IF($A662="","",IF(COUNTIF($A$2:$A662,$A662)=1,1,0))</f>
        <v/>
      </c>
      <c r="W662">
        <f>IF($V662=1,SUMPRODUCT(--($Y$2:$Y$1501&lt;$Y662))+1,"")</f>
        <v/>
      </c>
      <c r="X662">
        <f>IF($A662="","",IF(OR($T662=TRUE(),$T662="TRUE"),1,0))</f>
        <v/>
      </c>
      <c r="Y662">
        <f>IF($V662=1,IFERROR(IF(VALUE($A662)&lt;100000000,VALUE($A662),1000000000),IFERROR(IF(VALUE(MID($A662,2,20))&lt;100000000,VALUE(MID($A662,2,20)),1000000000),1000000000))+ROW()/100000,"")</f>
        <v/>
      </c>
    </row>
    <row r="663">
      <c r="F663" s="7">
        <f>IF($A663="","",E663*L663/100)</f>
        <v/>
      </c>
      <c r="J663" s="7" t="n"/>
      <c r="K663" s="7">
        <f>IF($A663="","",N663*U663/100)</f>
        <v/>
      </c>
      <c r="L663" s="7">
        <f>IF($A663="","",N663-K663)</f>
        <v/>
      </c>
      <c r="M663" s="7">
        <f>IF($A663="","",L663-F663)</f>
        <v/>
      </c>
      <c r="N663" s="7" t="n"/>
      <c r="O663" s="7" t="n"/>
      <c r="P663" s="7" t="n"/>
      <c r="R663" s="14" t="n"/>
      <c r="V663">
        <f>IF($A663="","",IF(COUNTIF($A$2:$A663,$A663)=1,1,0))</f>
        <v/>
      </c>
      <c r="W663">
        <f>IF($V663=1,SUMPRODUCT(--($Y$2:$Y$1501&lt;$Y663))+1,"")</f>
        <v/>
      </c>
      <c r="X663">
        <f>IF($A663="","",IF(OR($T663=TRUE(),$T663="TRUE"),1,0))</f>
        <v/>
      </c>
      <c r="Y663">
        <f>IF($V663=1,IFERROR(IF(VALUE($A663)&lt;100000000,VALUE($A663),1000000000),IFERROR(IF(VALUE(MID($A663,2,20))&lt;100000000,VALUE(MID($A663,2,20)),1000000000),1000000000))+ROW()/100000,"")</f>
        <v/>
      </c>
    </row>
    <row r="664">
      <c r="F664" s="7">
        <f>IF($A664="","",E664*L664/100)</f>
        <v/>
      </c>
      <c r="J664" s="7" t="n"/>
      <c r="K664" s="7">
        <f>IF($A664="","",N664*U664/100)</f>
        <v/>
      </c>
      <c r="L664" s="7">
        <f>IF($A664="","",N664-K664)</f>
        <v/>
      </c>
      <c r="M664" s="7">
        <f>IF($A664="","",L664-F664)</f>
        <v/>
      </c>
      <c r="N664" s="7" t="n"/>
      <c r="O664" s="7" t="n"/>
      <c r="P664" s="7" t="n"/>
      <c r="R664" s="14" t="n"/>
      <c r="V664">
        <f>IF($A664="","",IF(COUNTIF($A$2:$A664,$A664)=1,1,0))</f>
        <v/>
      </c>
      <c r="W664">
        <f>IF($V664=1,SUMPRODUCT(--($Y$2:$Y$1501&lt;$Y664))+1,"")</f>
        <v/>
      </c>
      <c r="X664">
        <f>IF($A664="","",IF(OR($T664=TRUE(),$T664="TRUE"),1,0))</f>
        <v/>
      </c>
      <c r="Y664">
        <f>IF($V664=1,IFERROR(IF(VALUE($A664)&lt;100000000,VALUE($A664),1000000000),IFERROR(IF(VALUE(MID($A664,2,20))&lt;100000000,VALUE(MID($A664,2,20)),1000000000),1000000000))+ROW()/100000,"")</f>
        <v/>
      </c>
    </row>
    <row r="665">
      <c r="F665" s="7">
        <f>IF($A665="","",E665*L665/100)</f>
        <v/>
      </c>
      <c r="J665" s="7" t="n"/>
      <c r="K665" s="7">
        <f>IF($A665="","",N665*U665/100)</f>
        <v/>
      </c>
      <c r="L665" s="7">
        <f>IF($A665="","",N665-K665)</f>
        <v/>
      </c>
      <c r="M665" s="7">
        <f>IF($A665="","",L665-F665)</f>
        <v/>
      </c>
      <c r="N665" s="7" t="n"/>
      <c r="O665" s="7" t="n"/>
      <c r="P665" s="7" t="n"/>
      <c r="R665" s="14" t="n"/>
      <c r="V665">
        <f>IF($A665="","",IF(COUNTIF($A$2:$A665,$A665)=1,1,0))</f>
        <v/>
      </c>
      <c r="W665">
        <f>IF($V665=1,SUMPRODUCT(--($Y$2:$Y$1501&lt;$Y665))+1,"")</f>
        <v/>
      </c>
      <c r="X665">
        <f>IF($A665="","",IF(OR($T665=TRUE(),$T665="TRUE"),1,0))</f>
        <v/>
      </c>
      <c r="Y665">
        <f>IF($V665=1,IFERROR(IF(VALUE($A665)&lt;100000000,VALUE($A665),1000000000),IFERROR(IF(VALUE(MID($A665,2,20))&lt;100000000,VALUE(MID($A665,2,20)),1000000000),1000000000))+ROW()/100000,"")</f>
        <v/>
      </c>
    </row>
    <row r="666">
      <c r="F666" s="7">
        <f>IF($A666="","",E666*L666/100)</f>
        <v/>
      </c>
      <c r="J666" s="7" t="n"/>
      <c r="K666" s="7">
        <f>IF($A666="","",N666*U666/100)</f>
        <v/>
      </c>
      <c r="L666" s="7">
        <f>IF($A666="","",N666-K666)</f>
        <v/>
      </c>
      <c r="M666" s="7">
        <f>IF($A666="","",L666-F666)</f>
        <v/>
      </c>
      <c r="N666" s="7" t="n"/>
      <c r="O666" s="7" t="n"/>
      <c r="P666" s="7" t="n"/>
      <c r="R666" s="14" t="n"/>
      <c r="V666">
        <f>IF($A666="","",IF(COUNTIF($A$2:$A666,$A666)=1,1,0))</f>
        <v/>
      </c>
      <c r="W666">
        <f>IF($V666=1,SUMPRODUCT(--($Y$2:$Y$1501&lt;$Y666))+1,"")</f>
        <v/>
      </c>
      <c r="X666">
        <f>IF($A666="","",IF(OR($T666=TRUE(),$T666="TRUE"),1,0))</f>
        <v/>
      </c>
      <c r="Y666">
        <f>IF($V666=1,IFERROR(IF(VALUE($A666)&lt;100000000,VALUE($A666),1000000000),IFERROR(IF(VALUE(MID($A666,2,20))&lt;100000000,VALUE(MID($A666,2,20)),1000000000),1000000000))+ROW()/100000,"")</f>
        <v/>
      </c>
    </row>
    <row r="667">
      <c r="F667" s="7">
        <f>IF($A667="","",E667*L667/100)</f>
        <v/>
      </c>
      <c r="J667" s="7" t="n"/>
      <c r="K667" s="7">
        <f>IF($A667="","",N667*U667/100)</f>
        <v/>
      </c>
      <c r="L667" s="7">
        <f>IF($A667="","",N667-K667)</f>
        <v/>
      </c>
      <c r="M667" s="7">
        <f>IF($A667="","",L667-F667)</f>
        <v/>
      </c>
      <c r="N667" s="7" t="n"/>
      <c r="O667" s="7" t="n"/>
      <c r="P667" s="7" t="n"/>
      <c r="R667" s="14" t="n"/>
      <c r="V667">
        <f>IF($A667="","",IF(COUNTIF($A$2:$A667,$A667)=1,1,0))</f>
        <v/>
      </c>
      <c r="W667">
        <f>IF($V667=1,SUMPRODUCT(--($Y$2:$Y$1501&lt;$Y667))+1,"")</f>
        <v/>
      </c>
      <c r="X667">
        <f>IF($A667="","",IF(OR($T667=TRUE(),$T667="TRUE"),1,0))</f>
        <v/>
      </c>
      <c r="Y667">
        <f>IF($V667=1,IFERROR(IF(VALUE($A667)&lt;100000000,VALUE($A667),1000000000),IFERROR(IF(VALUE(MID($A667,2,20))&lt;100000000,VALUE(MID($A667,2,20)),1000000000),1000000000))+ROW()/100000,"")</f>
        <v/>
      </c>
    </row>
    <row r="668">
      <c r="F668" s="7">
        <f>IF($A668="","",E668*L668/100)</f>
        <v/>
      </c>
      <c r="J668" s="7" t="n"/>
      <c r="K668" s="7">
        <f>IF($A668="","",N668*U668/100)</f>
        <v/>
      </c>
      <c r="L668" s="7">
        <f>IF($A668="","",N668-K668)</f>
        <v/>
      </c>
      <c r="M668" s="7">
        <f>IF($A668="","",L668-F668)</f>
        <v/>
      </c>
      <c r="N668" s="7" t="n"/>
      <c r="O668" s="7" t="n"/>
      <c r="P668" s="7" t="n"/>
      <c r="R668" s="14" t="n"/>
      <c r="V668">
        <f>IF($A668="","",IF(COUNTIF($A$2:$A668,$A668)=1,1,0))</f>
        <v/>
      </c>
      <c r="W668">
        <f>IF($V668=1,SUMPRODUCT(--($Y$2:$Y$1501&lt;$Y668))+1,"")</f>
        <v/>
      </c>
      <c r="X668">
        <f>IF($A668="","",IF(OR($T668=TRUE(),$T668="TRUE"),1,0))</f>
        <v/>
      </c>
      <c r="Y668">
        <f>IF($V668=1,IFERROR(IF(VALUE($A668)&lt;100000000,VALUE($A668),1000000000),IFERROR(IF(VALUE(MID($A668,2,20))&lt;100000000,VALUE(MID($A668,2,20)),1000000000),1000000000))+ROW()/100000,"")</f>
        <v/>
      </c>
    </row>
    <row r="669">
      <c r="F669" s="7">
        <f>IF($A669="","",E669*L669/100)</f>
        <v/>
      </c>
      <c r="J669" s="7" t="n"/>
      <c r="K669" s="7">
        <f>IF($A669="","",N669*U669/100)</f>
        <v/>
      </c>
      <c r="L669" s="7">
        <f>IF($A669="","",N669-K669)</f>
        <v/>
      </c>
      <c r="M669" s="7">
        <f>IF($A669="","",L669-F669)</f>
        <v/>
      </c>
      <c r="N669" s="7" t="n"/>
      <c r="O669" s="7" t="n"/>
      <c r="P669" s="7" t="n"/>
      <c r="R669" s="14" t="n"/>
      <c r="V669">
        <f>IF($A669="","",IF(COUNTIF($A$2:$A669,$A669)=1,1,0))</f>
        <v/>
      </c>
      <c r="W669">
        <f>IF($V669=1,SUMPRODUCT(--($Y$2:$Y$1501&lt;$Y669))+1,"")</f>
        <v/>
      </c>
      <c r="X669">
        <f>IF($A669="","",IF(OR($T669=TRUE(),$T669="TRUE"),1,0))</f>
        <v/>
      </c>
      <c r="Y669">
        <f>IF($V669=1,IFERROR(IF(VALUE($A669)&lt;100000000,VALUE($A669),1000000000),IFERROR(IF(VALUE(MID($A669,2,20))&lt;100000000,VALUE(MID($A669,2,20)),1000000000),1000000000))+ROW()/100000,"")</f>
        <v/>
      </c>
    </row>
    <row r="670">
      <c r="F670" s="7">
        <f>IF($A670="","",E670*L670/100)</f>
        <v/>
      </c>
      <c r="J670" s="7" t="n"/>
      <c r="K670" s="7">
        <f>IF($A670="","",N670*U670/100)</f>
        <v/>
      </c>
      <c r="L670" s="7">
        <f>IF($A670="","",N670-K670)</f>
        <v/>
      </c>
      <c r="M670" s="7">
        <f>IF($A670="","",L670-F670)</f>
        <v/>
      </c>
      <c r="N670" s="7" t="n"/>
      <c r="O670" s="7" t="n"/>
      <c r="P670" s="7" t="n"/>
      <c r="R670" s="14" t="n"/>
      <c r="V670">
        <f>IF($A670="","",IF(COUNTIF($A$2:$A670,$A670)=1,1,0))</f>
        <v/>
      </c>
      <c r="W670">
        <f>IF($V670=1,SUMPRODUCT(--($Y$2:$Y$1501&lt;$Y670))+1,"")</f>
        <v/>
      </c>
      <c r="X670">
        <f>IF($A670="","",IF(OR($T670=TRUE(),$T670="TRUE"),1,0))</f>
        <v/>
      </c>
      <c r="Y670">
        <f>IF($V670=1,IFERROR(IF(VALUE($A670)&lt;100000000,VALUE($A670),1000000000),IFERROR(IF(VALUE(MID($A670,2,20))&lt;100000000,VALUE(MID($A670,2,20)),1000000000),1000000000))+ROW()/100000,"")</f>
        <v/>
      </c>
    </row>
    <row r="671">
      <c r="F671" s="7">
        <f>IF($A671="","",E671*L671/100)</f>
        <v/>
      </c>
      <c r="J671" s="7" t="n"/>
      <c r="K671" s="7">
        <f>IF($A671="","",N671*U671/100)</f>
        <v/>
      </c>
      <c r="L671" s="7">
        <f>IF($A671="","",N671-K671)</f>
        <v/>
      </c>
      <c r="M671" s="7">
        <f>IF($A671="","",L671-F671)</f>
        <v/>
      </c>
      <c r="N671" s="7" t="n"/>
      <c r="O671" s="7" t="n"/>
      <c r="P671" s="7" t="n"/>
      <c r="R671" s="14" t="n"/>
      <c r="V671">
        <f>IF($A671="","",IF(COUNTIF($A$2:$A671,$A671)=1,1,0))</f>
        <v/>
      </c>
      <c r="W671">
        <f>IF($V671=1,SUMPRODUCT(--($Y$2:$Y$1501&lt;$Y671))+1,"")</f>
        <v/>
      </c>
      <c r="X671">
        <f>IF($A671="","",IF(OR($T671=TRUE(),$T671="TRUE"),1,0))</f>
        <v/>
      </c>
      <c r="Y671">
        <f>IF($V671=1,IFERROR(IF(VALUE($A671)&lt;100000000,VALUE($A671),1000000000),IFERROR(IF(VALUE(MID($A671,2,20))&lt;100000000,VALUE(MID($A671,2,20)),1000000000),1000000000))+ROW()/100000,"")</f>
        <v/>
      </c>
    </row>
    <row r="672">
      <c r="F672" s="7">
        <f>IF($A672="","",E672*L672/100)</f>
        <v/>
      </c>
      <c r="J672" s="7" t="n"/>
      <c r="K672" s="7">
        <f>IF($A672="","",N672*U672/100)</f>
        <v/>
      </c>
      <c r="L672" s="7">
        <f>IF($A672="","",N672-K672)</f>
        <v/>
      </c>
      <c r="M672" s="7">
        <f>IF($A672="","",L672-F672)</f>
        <v/>
      </c>
      <c r="N672" s="7" t="n"/>
      <c r="O672" s="7" t="n"/>
      <c r="P672" s="7" t="n"/>
      <c r="R672" s="14" t="n"/>
      <c r="V672">
        <f>IF($A672="","",IF(COUNTIF($A$2:$A672,$A672)=1,1,0))</f>
        <v/>
      </c>
      <c r="W672">
        <f>IF($V672=1,SUMPRODUCT(--($Y$2:$Y$1501&lt;$Y672))+1,"")</f>
        <v/>
      </c>
      <c r="X672">
        <f>IF($A672="","",IF(OR($T672=TRUE(),$T672="TRUE"),1,0))</f>
        <v/>
      </c>
      <c r="Y672">
        <f>IF($V672=1,IFERROR(IF(VALUE($A672)&lt;100000000,VALUE($A672),1000000000),IFERROR(IF(VALUE(MID($A672,2,20))&lt;100000000,VALUE(MID($A672,2,20)),1000000000),1000000000))+ROW()/100000,"")</f>
        <v/>
      </c>
    </row>
    <row r="673">
      <c r="F673" s="7">
        <f>IF($A673="","",E673*L673/100)</f>
        <v/>
      </c>
      <c r="J673" s="7" t="n"/>
      <c r="K673" s="7">
        <f>IF($A673="","",N673*U673/100)</f>
        <v/>
      </c>
      <c r="L673" s="7">
        <f>IF($A673="","",N673-K673)</f>
        <v/>
      </c>
      <c r="M673" s="7">
        <f>IF($A673="","",L673-F673)</f>
        <v/>
      </c>
      <c r="N673" s="7" t="n"/>
      <c r="O673" s="7" t="n"/>
      <c r="P673" s="7" t="n"/>
      <c r="R673" s="14" t="n"/>
      <c r="V673">
        <f>IF($A673="","",IF(COUNTIF($A$2:$A673,$A673)=1,1,0))</f>
        <v/>
      </c>
      <c r="W673">
        <f>IF($V673=1,SUMPRODUCT(--($Y$2:$Y$1501&lt;$Y673))+1,"")</f>
        <v/>
      </c>
      <c r="X673">
        <f>IF($A673="","",IF(OR($T673=TRUE(),$T673="TRUE"),1,0))</f>
        <v/>
      </c>
      <c r="Y673">
        <f>IF($V673=1,IFERROR(IF(VALUE($A673)&lt;100000000,VALUE($A673),1000000000),IFERROR(IF(VALUE(MID($A673,2,20))&lt;100000000,VALUE(MID($A673,2,20)),1000000000),1000000000))+ROW()/100000,"")</f>
        <v/>
      </c>
    </row>
    <row r="674">
      <c r="F674" s="7">
        <f>IF($A674="","",E674*L674/100)</f>
        <v/>
      </c>
      <c r="J674" s="7" t="n"/>
      <c r="K674" s="7">
        <f>IF($A674="","",N674*U674/100)</f>
        <v/>
      </c>
      <c r="L674" s="7">
        <f>IF($A674="","",N674-K674)</f>
        <v/>
      </c>
      <c r="M674" s="7">
        <f>IF($A674="","",L674-F674)</f>
        <v/>
      </c>
      <c r="N674" s="7" t="n"/>
      <c r="O674" s="7" t="n"/>
      <c r="P674" s="7" t="n"/>
      <c r="R674" s="14" t="n"/>
      <c r="V674">
        <f>IF($A674="","",IF(COUNTIF($A$2:$A674,$A674)=1,1,0))</f>
        <v/>
      </c>
      <c r="W674">
        <f>IF($V674=1,SUMPRODUCT(--($Y$2:$Y$1501&lt;$Y674))+1,"")</f>
        <v/>
      </c>
      <c r="X674">
        <f>IF($A674="","",IF(OR($T674=TRUE(),$T674="TRUE"),1,0))</f>
        <v/>
      </c>
      <c r="Y674">
        <f>IF($V674=1,IFERROR(IF(VALUE($A674)&lt;100000000,VALUE($A674),1000000000),IFERROR(IF(VALUE(MID($A674,2,20))&lt;100000000,VALUE(MID($A674,2,20)),1000000000),1000000000))+ROW()/100000,"")</f>
        <v/>
      </c>
    </row>
    <row r="675">
      <c r="F675" s="7">
        <f>IF($A675="","",E675*L675/100)</f>
        <v/>
      </c>
      <c r="J675" s="7" t="n"/>
      <c r="K675" s="7">
        <f>IF($A675="","",N675*U675/100)</f>
        <v/>
      </c>
      <c r="L675" s="7">
        <f>IF($A675="","",N675-K675)</f>
        <v/>
      </c>
      <c r="M675" s="7">
        <f>IF($A675="","",L675-F675)</f>
        <v/>
      </c>
      <c r="N675" s="7" t="n"/>
      <c r="O675" s="7" t="n"/>
      <c r="P675" s="7" t="n"/>
      <c r="R675" s="14" t="n"/>
      <c r="V675">
        <f>IF($A675="","",IF(COUNTIF($A$2:$A675,$A675)=1,1,0))</f>
        <v/>
      </c>
      <c r="W675">
        <f>IF($V675=1,SUMPRODUCT(--($Y$2:$Y$1501&lt;$Y675))+1,"")</f>
        <v/>
      </c>
      <c r="X675">
        <f>IF($A675="","",IF(OR($T675=TRUE(),$T675="TRUE"),1,0))</f>
        <v/>
      </c>
      <c r="Y675">
        <f>IF($V675=1,IFERROR(IF(VALUE($A675)&lt;100000000,VALUE($A675),1000000000),IFERROR(IF(VALUE(MID($A675,2,20))&lt;100000000,VALUE(MID($A675,2,20)),1000000000),1000000000))+ROW()/100000,"")</f>
        <v/>
      </c>
    </row>
    <row r="676">
      <c r="F676" s="7">
        <f>IF($A676="","",E676*L676/100)</f>
        <v/>
      </c>
      <c r="J676" s="7" t="n"/>
      <c r="K676" s="7">
        <f>IF($A676="","",N676*U676/100)</f>
        <v/>
      </c>
      <c r="L676" s="7">
        <f>IF($A676="","",N676-K676)</f>
        <v/>
      </c>
      <c r="M676" s="7">
        <f>IF($A676="","",L676-F676)</f>
        <v/>
      </c>
      <c r="N676" s="7" t="n"/>
      <c r="O676" s="7" t="n"/>
      <c r="P676" s="7" t="n"/>
      <c r="R676" s="14" t="n"/>
      <c r="V676">
        <f>IF($A676="","",IF(COUNTIF($A$2:$A676,$A676)=1,1,0))</f>
        <v/>
      </c>
      <c r="W676">
        <f>IF($V676=1,SUMPRODUCT(--($Y$2:$Y$1501&lt;$Y676))+1,"")</f>
        <v/>
      </c>
      <c r="X676">
        <f>IF($A676="","",IF(OR($T676=TRUE(),$T676="TRUE"),1,0))</f>
        <v/>
      </c>
      <c r="Y676">
        <f>IF($V676=1,IFERROR(IF(VALUE($A676)&lt;100000000,VALUE($A676),1000000000),IFERROR(IF(VALUE(MID($A676,2,20))&lt;100000000,VALUE(MID($A676,2,20)),1000000000),1000000000))+ROW()/100000,"")</f>
        <v/>
      </c>
    </row>
    <row r="677">
      <c r="F677" s="7">
        <f>IF($A677="","",E677*L677/100)</f>
        <v/>
      </c>
      <c r="J677" s="7" t="n"/>
      <c r="K677" s="7">
        <f>IF($A677="","",N677*U677/100)</f>
        <v/>
      </c>
      <c r="L677" s="7">
        <f>IF($A677="","",N677-K677)</f>
        <v/>
      </c>
      <c r="M677" s="7">
        <f>IF($A677="","",L677-F677)</f>
        <v/>
      </c>
      <c r="N677" s="7" t="n"/>
      <c r="O677" s="7" t="n"/>
      <c r="P677" s="7" t="n"/>
      <c r="R677" s="14" t="n"/>
      <c r="V677">
        <f>IF($A677="","",IF(COUNTIF($A$2:$A677,$A677)=1,1,0))</f>
        <v/>
      </c>
      <c r="W677">
        <f>IF($V677=1,SUMPRODUCT(--($Y$2:$Y$1501&lt;$Y677))+1,"")</f>
        <v/>
      </c>
      <c r="X677">
        <f>IF($A677="","",IF(OR($T677=TRUE(),$T677="TRUE"),1,0))</f>
        <v/>
      </c>
      <c r="Y677">
        <f>IF($V677=1,IFERROR(IF(VALUE($A677)&lt;100000000,VALUE($A677),1000000000),IFERROR(IF(VALUE(MID($A677,2,20))&lt;100000000,VALUE(MID($A677,2,20)),1000000000),1000000000))+ROW()/100000,"")</f>
        <v/>
      </c>
    </row>
    <row r="678">
      <c r="F678" s="7">
        <f>IF($A678="","",E678*L678/100)</f>
        <v/>
      </c>
      <c r="J678" s="7" t="n"/>
      <c r="K678" s="7">
        <f>IF($A678="","",N678*U678/100)</f>
        <v/>
      </c>
      <c r="L678" s="7">
        <f>IF($A678="","",N678-K678)</f>
        <v/>
      </c>
      <c r="M678" s="7">
        <f>IF($A678="","",L678-F678)</f>
        <v/>
      </c>
      <c r="N678" s="7" t="n"/>
      <c r="O678" s="7" t="n"/>
      <c r="P678" s="7" t="n"/>
      <c r="R678" s="14" t="n"/>
      <c r="V678">
        <f>IF($A678="","",IF(COUNTIF($A$2:$A678,$A678)=1,1,0))</f>
        <v/>
      </c>
      <c r="W678">
        <f>IF($V678=1,SUMPRODUCT(--($Y$2:$Y$1501&lt;$Y678))+1,"")</f>
        <v/>
      </c>
      <c r="X678">
        <f>IF($A678="","",IF(OR($T678=TRUE(),$T678="TRUE"),1,0))</f>
        <v/>
      </c>
      <c r="Y678">
        <f>IF($V678=1,IFERROR(IF(VALUE($A678)&lt;100000000,VALUE($A678),1000000000),IFERROR(IF(VALUE(MID($A678,2,20))&lt;100000000,VALUE(MID($A678,2,20)),1000000000),1000000000))+ROW()/100000,"")</f>
        <v/>
      </c>
    </row>
    <row r="679">
      <c r="F679" s="7">
        <f>IF($A679="","",E679*L679/100)</f>
        <v/>
      </c>
      <c r="J679" s="7" t="n"/>
      <c r="K679" s="7">
        <f>IF($A679="","",N679*U679/100)</f>
        <v/>
      </c>
      <c r="L679" s="7">
        <f>IF($A679="","",N679-K679)</f>
        <v/>
      </c>
      <c r="M679" s="7">
        <f>IF($A679="","",L679-F679)</f>
        <v/>
      </c>
      <c r="N679" s="7" t="n"/>
      <c r="O679" s="7" t="n"/>
      <c r="P679" s="7" t="n"/>
      <c r="R679" s="14" t="n"/>
      <c r="V679">
        <f>IF($A679="","",IF(COUNTIF($A$2:$A679,$A679)=1,1,0))</f>
        <v/>
      </c>
      <c r="W679">
        <f>IF($V679=1,SUMPRODUCT(--($Y$2:$Y$1501&lt;$Y679))+1,"")</f>
        <v/>
      </c>
      <c r="X679">
        <f>IF($A679="","",IF(OR($T679=TRUE(),$T679="TRUE"),1,0))</f>
        <v/>
      </c>
      <c r="Y679">
        <f>IF($V679=1,IFERROR(IF(VALUE($A679)&lt;100000000,VALUE($A679),1000000000),IFERROR(IF(VALUE(MID($A679,2,20))&lt;100000000,VALUE(MID($A679,2,20)),1000000000),1000000000))+ROW()/100000,"")</f>
        <v/>
      </c>
    </row>
    <row r="680">
      <c r="F680" s="7">
        <f>IF($A680="","",E680*L680/100)</f>
        <v/>
      </c>
      <c r="J680" s="7" t="n"/>
      <c r="K680" s="7">
        <f>IF($A680="","",N680*U680/100)</f>
        <v/>
      </c>
      <c r="L680" s="7">
        <f>IF($A680="","",N680-K680)</f>
        <v/>
      </c>
      <c r="M680" s="7">
        <f>IF($A680="","",L680-F680)</f>
        <v/>
      </c>
      <c r="N680" s="7" t="n"/>
      <c r="O680" s="7" t="n"/>
      <c r="P680" s="7" t="n"/>
      <c r="R680" s="14" t="n"/>
      <c r="V680">
        <f>IF($A680="","",IF(COUNTIF($A$2:$A680,$A680)=1,1,0))</f>
        <v/>
      </c>
      <c r="W680">
        <f>IF($V680=1,SUMPRODUCT(--($Y$2:$Y$1501&lt;$Y680))+1,"")</f>
        <v/>
      </c>
      <c r="X680">
        <f>IF($A680="","",IF(OR($T680=TRUE(),$T680="TRUE"),1,0))</f>
        <v/>
      </c>
      <c r="Y680">
        <f>IF($V680=1,IFERROR(IF(VALUE($A680)&lt;100000000,VALUE($A680),1000000000),IFERROR(IF(VALUE(MID($A680,2,20))&lt;100000000,VALUE(MID($A680,2,20)),1000000000),1000000000))+ROW()/100000,"")</f>
        <v/>
      </c>
    </row>
    <row r="681">
      <c r="F681" s="7">
        <f>IF($A681="","",E681*L681/100)</f>
        <v/>
      </c>
      <c r="J681" s="7" t="n"/>
      <c r="K681" s="7">
        <f>IF($A681="","",N681*U681/100)</f>
        <v/>
      </c>
      <c r="L681" s="7">
        <f>IF($A681="","",N681-K681)</f>
        <v/>
      </c>
      <c r="M681" s="7">
        <f>IF($A681="","",L681-F681)</f>
        <v/>
      </c>
      <c r="N681" s="7" t="n"/>
      <c r="O681" s="7" t="n"/>
      <c r="P681" s="7" t="n"/>
      <c r="R681" s="14" t="n"/>
      <c r="V681">
        <f>IF($A681="","",IF(COUNTIF($A$2:$A681,$A681)=1,1,0))</f>
        <v/>
      </c>
      <c r="W681">
        <f>IF($V681=1,SUMPRODUCT(--($Y$2:$Y$1501&lt;$Y681))+1,"")</f>
        <v/>
      </c>
      <c r="X681">
        <f>IF($A681="","",IF(OR($T681=TRUE(),$T681="TRUE"),1,0))</f>
        <v/>
      </c>
      <c r="Y681">
        <f>IF($V681=1,IFERROR(IF(VALUE($A681)&lt;100000000,VALUE($A681),1000000000),IFERROR(IF(VALUE(MID($A681,2,20))&lt;100000000,VALUE(MID($A681,2,20)),1000000000),1000000000))+ROW()/100000,"")</f>
        <v/>
      </c>
    </row>
    <row r="682">
      <c r="F682" s="7">
        <f>IF($A682="","",E682*L682/100)</f>
        <v/>
      </c>
      <c r="J682" s="7" t="n"/>
      <c r="K682" s="7">
        <f>IF($A682="","",N682*U682/100)</f>
        <v/>
      </c>
      <c r="L682" s="7">
        <f>IF($A682="","",N682-K682)</f>
        <v/>
      </c>
      <c r="M682" s="7">
        <f>IF($A682="","",L682-F682)</f>
        <v/>
      </c>
      <c r="N682" s="7" t="n"/>
      <c r="O682" s="7" t="n"/>
      <c r="P682" s="7" t="n"/>
      <c r="R682" s="14" t="n"/>
      <c r="V682">
        <f>IF($A682="","",IF(COUNTIF($A$2:$A682,$A682)=1,1,0))</f>
        <v/>
      </c>
      <c r="W682">
        <f>IF($V682=1,SUMPRODUCT(--($Y$2:$Y$1501&lt;$Y682))+1,"")</f>
        <v/>
      </c>
      <c r="X682">
        <f>IF($A682="","",IF(OR($T682=TRUE(),$T682="TRUE"),1,0))</f>
        <v/>
      </c>
      <c r="Y682">
        <f>IF($V682=1,IFERROR(IF(VALUE($A682)&lt;100000000,VALUE($A682),1000000000),IFERROR(IF(VALUE(MID($A682,2,20))&lt;100000000,VALUE(MID($A682,2,20)),1000000000),1000000000))+ROW()/100000,"")</f>
        <v/>
      </c>
    </row>
    <row r="683">
      <c r="F683" s="7">
        <f>IF($A683="","",E683*L683/100)</f>
        <v/>
      </c>
      <c r="J683" s="7" t="n"/>
      <c r="K683" s="7">
        <f>IF($A683="","",N683*U683/100)</f>
        <v/>
      </c>
      <c r="L683" s="7">
        <f>IF($A683="","",N683-K683)</f>
        <v/>
      </c>
      <c r="M683" s="7">
        <f>IF($A683="","",L683-F683)</f>
        <v/>
      </c>
      <c r="N683" s="7" t="n"/>
      <c r="O683" s="7" t="n"/>
      <c r="P683" s="7" t="n"/>
      <c r="R683" s="14" t="n"/>
      <c r="V683">
        <f>IF($A683="","",IF(COUNTIF($A$2:$A683,$A683)=1,1,0))</f>
        <v/>
      </c>
      <c r="W683">
        <f>IF($V683=1,SUMPRODUCT(--($Y$2:$Y$1501&lt;$Y683))+1,"")</f>
        <v/>
      </c>
      <c r="X683">
        <f>IF($A683="","",IF(OR($T683=TRUE(),$T683="TRUE"),1,0))</f>
        <v/>
      </c>
      <c r="Y683">
        <f>IF($V683=1,IFERROR(IF(VALUE($A683)&lt;100000000,VALUE($A683),1000000000),IFERROR(IF(VALUE(MID($A683,2,20))&lt;100000000,VALUE(MID($A683,2,20)),1000000000),1000000000))+ROW()/100000,"")</f>
        <v/>
      </c>
    </row>
    <row r="684">
      <c r="F684" s="7">
        <f>IF($A684="","",E684*L684/100)</f>
        <v/>
      </c>
      <c r="J684" s="7" t="n"/>
      <c r="K684" s="7">
        <f>IF($A684="","",N684*U684/100)</f>
        <v/>
      </c>
      <c r="L684" s="7">
        <f>IF($A684="","",N684-K684)</f>
        <v/>
      </c>
      <c r="M684" s="7">
        <f>IF($A684="","",L684-F684)</f>
        <v/>
      </c>
      <c r="N684" s="7" t="n"/>
      <c r="O684" s="7" t="n"/>
      <c r="P684" s="7" t="n"/>
      <c r="R684" s="14" t="n"/>
      <c r="V684">
        <f>IF($A684="","",IF(COUNTIF($A$2:$A684,$A684)=1,1,0))</f>
        <v/>
      </c>
      <c r="W684">
        <f>IF($V684=1,SUMPRODUCT(--($Y$2:$Y$1501&lt;$Y684))+1,"")</f>
        <v/>
      </c>
      <c r="X684">
        <f>IF($A684="","",IF(OR($T684=TRUE(),$T684="TRUE"),1,0))</f>
        <v/>
      </c>
      <c r="Y684">
        <f>IF($V684=1,IFERROR(IF(VALUE($A684)&lt;100000000,VALUE($A684),1000000000),IFERROR(IF(VALUE(MID($A684,2,20))&lt;100000000,VALUE(MID($A684,2,20)),1000000000),1000000000))+ROW()/100000,"")</f>
        <v/>
      </c>
    </row>
    <row r="685">
      <c r="F685" s="7">
        <f>IF($A685="","",E685*L685/100)</f>
        <v/>
      </c>
      <c r="J685" s="7" t="n"/>
      <c r="K685" s="7">
        <f>IF($A685="","",N685*U685/100)</f>
        <v/>
      </c>
      <c r="L685" s="7">
        <f>IF($A685="","",N685-K685)</f>
        <v/>
      </c>
      <c r="M685" s="7">
        <f>IF($A685="","",L685-F685)</f>
        <v/>
      </c>
      <c r="N685" s="7" t="n"/>
      <c r="O685" s="7" t="n"/>
      <c r="P685" s="7" t="n"/>
      <c r="R685" s="14" t="n"/>
      <c r="V685">
        <f>IF($A685="","",IF(COUNTIF($A$2:$A685,$A685)=1,1,0))</f>
        <v/>
      </c>
      <c r="W685">
        <f>IF($V685=1,SUMPRODUCT(--($Y$2:$Y$1501&lt;$Y685))+1,"")</f>
        <v/>
      </c>
      <c r="X685">
        <f>IF($A685="","",IF(OR($T685=TRUE(),$T685="TRUE"),1,0))</f>
        <v/>
      </c>
      <c r="Y685">
        <f>IF($V685=1,IFERROR(IF(VALUE($A685)&lt;100000000,VALUE($A685),1000000000),IFERROR(IF(VALUE(MID($A685,2,20))&lt;100000000,VALUE(MID($A685,2,20)),1000000000),1000000000))+ROW()/100000,"")</f>
        <v/>
      </c>
    </row>
    <row r="686">
      <c r="F686" s="7">
        <f>IF($A686="","",E686*L686/100)</f>
        <v/>
      </c>
      <c r="J686" s="7" t="n"/>
      <c r="K686" s="7">
        <f>IF($A686="","",N686*U686/100)</f>
        <v/>
      </c>
      <c r="L686" s="7">
        <f>IF($A686="","",N686-K686)</f>
        <v/>
      </c>
      <c r="M686" s="7">
        <f>IF($A686="","",L686-F686)</f>
        <v/>
      </c>
      <c r="N686" s="7" t="n"/>
      <c r="O686" s="7" t="n"/>
      <c r="P686" s="7" t="n"/>
      <c r="R686" s="14" t="n"/>
      <c r="V686">
        <f>IF($A686="","",IF(COUNTIF($A$2:$A686,$A686)=1,1,0))</f>
        <v/>
      </c>
      <c r="W686">
        <f>IF($V686=1,SUMPRODUCT(--($Y$2:$Y$1501&lt;$Y686))+1,"")</f>
        <v/>
      </c>
      <c r="X686">
        <f>IF($A686="","",IF(OR($T686=TRUE(),$T686="TRUE"),1,0))</f>
        <v/>
      </c>
      <c r="Y686">
        <f>IF($V686=1,IFERROR(IF(VALUE($A686)&lt;100000000,VALUE($A686),1000000000),IFERROR(IF(VALUE(MID($A686,2,20))&lt;100000000,VALUE(MID($A686,2,20)),1000000000),1000000000))+ROW()/100000,"")</f>
        <v/>
      </c>
    </row>
    <row r="687">
      <c r="F687" s="7">
        <f>IF($A687="","",E687*L687/100)</f>
        <v/>
      </c>
      <c r="J687" s="7" t="n"/>
      <c r="K687" s="7">
        <f>IF($A687="","",N687*U687/100)</f>
        <v/>
      </c>
      <c r="L687" s="7">
        <f>IF($A687="","",N687-K687)</f>
        <v/>
      </c>
      <c r="M687" s="7">
        <f>IF($A687="","",L687-F687)</f>
        <v/>
      </c>
      <c r="N687" s="7" t="n"/>
      <c r="O687" s="7" t="n"/>
      <c r="P687" s="7" t="n"/>
      <c r="R687" s="14" t="n"/>
      <c r="V687">
        <f>IF($A687="","",IF(COUNTIF($A$2:$A687,$A687)=1,1,0))</f>
        <v/>
      </c>
      <c r="W687">
        <f>IF($V687=1,SUMPRODUCT(--($Y$2:$Y$1501&lt;$Y687))+1,"")</f>
        <v/>
      </c>
      <c r="X687">
        <f>IF($A687="","",IF(OR($T687=TRUE(),$T687="TRUE"),1,0))</f>
        <v/>
      </c>
      <c r="Y687">
        <f>IF($V687=1,IFERROR(IF(VALUE($A687)&lt;100000000,VALUE($A687),1000000000),IFERROR(IF(VALUE(MID($A687,2,20))&lt;100000000,VALUE(MID($A687,2,20)),1000000000),1000000000))+ROW()/100000,"")</f>
        <v/>
      </c>
    </row>
    <row r="688">
      <c r="F688" s="7">
        <f>IF($A688="","",E688*L688/100)</f>
        <v/>
      </c>
      <c r="J688" s="7" t="n"/>
      <c r="K688" s="7">
        <f>IF($A688="","",N688*U688/100)</f>
        <v/>
      </c>
      <c r="L688" s="7">
        <f>IF($A688="","",N688-K688)</f>
        <v/>
      </c>
      <c r="M688" s="7">
        <f>IF($A688="","",L688-F688)</f>
        <v/>
      </c>
      <c r="N688" s="7" t="n"/>
      <c r="O688" s="7" t="n"/>
      <c r="P688" s="7" t="n"/>
      <c r="R688" s="14" t="n"/>
      <c r="V688">
        <f>IF($A688="","",IF(COUNTIF($A$2:$A688,$A688)=1,1,0))</f>
        <v/>
      </c>
      <c r="W688">
        <f>IF($V688=1,SUMPRODUCT(--($Y$2:$Y$1501&lt;$Y688))+1,"")</f>
        <v/>
      </c>
      <c r="X688">
        <f>IF($A688="","",IF(OR($T688=TRUE(),$T688="TRUE"),1,0))</f>
        <v/>
      </c>
      <c r="Y688">
        <f>IF($V688=1,IFERROR(IF(VALUE($A688)&lt;100000000,VALUE($A688),1000000000),IFERROR(IF(VALUE(MID($A688,2,20))&lt;100000000,VALUE(MID($A688,2,20)),1000000000),1000000000))+ROW()/100000,"")</f>
        <v/>
      </c>
    </row>
    <row r="689">
      <c r="F689" s="7">
        <f>IF($A689="","",E689*L689/100)</f>
        <v/>
      </c>
      <c r="J689" s="7" t="n"/>
      <c r="K689" s="7">
        <f>IF($A689="","",N689*U689/100)</f>
        <v/>
      </c>
      <c r="L689" s="7">
        <f>IF($A689="","",N689-K689)</f>
        <v/>
      </c>
      <c r="M689" s="7">
        <f>IF($A689="","",L689-F689)</f>
        <v/>
      </c>
      <c r="N689" s="7" t="n"/>
      <c r="O689" s="7" t="n"/>
      <c r="P689" s="7" t="n"/>
      <c r="R689" s="14" t="n"/>
      <c r="V689">
        <f>IF($A689="","",IF(COUNTIF($A$2:$A689,$A689)=1,1,0))</f>
        <v/>
      </c>
      <c r="W689">
        <f>IF($V689=1,SUMPRODUCT(--($Y$2:$Y$1501&lt;$Y689))+1,"")</f>
        <v/>
      </c>
      <c r="X689">
        <f>IF($A689="","",IF(OR($T689=TRUE(),$T689="TRUE"),1,0))</f>
        <v/>
      </c>
      <c r="Y689">
        <f>IF($V689=1,IFERROR(IF(VALUE($A689)&lt;100000000,VALUE($A689),1000000000),IFERROR(IF(VALUE(MID($A689,2,20))&lt;100000000,VALUE(MID($A689,2,20)),1000000000),1000000000))+ROW()/100000,"")</f>
        <v/>
      </c>
    </row>
    <row r="690">
      <c r="F690" s="7">
        <f>IF($A690="","",E690*L690/100)</f>
        <v/>
      </c>
      <c r="J690" s="7" t="n"/>
      <c r="K690" s="7">
        <f>IF($A690="","",N690*U690/100)</f>
        <v/>
      </c>
      <c r="L690" s="7">
        <f>IF($A690="","",N690-K690)</f>
        <v/>
      </c>
      <c r="M690" s="7">
        <f>IF($A690="","",L690-F690)</f>
        <v/>
      </c>
      <c r="N690" s="7" t="n"/>
      <c r="O690" s="7" t="n"/>
      <c r="P690" s="7" t="n"/>
      <c r="R690" s="14" t="n"/>
      <c r="V690">
        <f>IF($A690="","",IF(COUNTIF($A$2:$A690,$A690)=1,1,0))</f>
        <v/>
      </c>
      <c r="W690">
        <f>IF($V690=1,SUMPRODUCT(--($Y$2:$Y$1501&lt;$Y690))+1,"")</f>
        <v/>
      </c>
      <c r="X690">
        <f>IF($A690="","",IF(OR($T690=TRUE(),$T690="TRUE"),1,0))</f>
        <v/>
      </c>
      <c r="Y690">
        <f>IF($V690=1,IFERROR(IF(VALUE($A690)&lt;100000000,VALUE($A690),1000000000),IFERROR(IF(VALUE(MID($A690,2,20))&lt;100000000,VALUE(MID($A690,2,20)),1000000000),1000000000))+ROW()/100000,"")</f>
        <v/>
      </c>
    </row>
    <row r="691">
      <c r="F691" s="7">
        <f>IF($A691="","",E691*L691/100)</f>
        <v/>
      </c>
      <c r="J691" s="7" t="n"/>
      <c r="K691" s="7">
        <f>IF($A691="","",N691*U691/100)</f>
        <v/>
      </c>
      <c r="L691" s="7">
        <f>IF($A691="","",N691-K691)</f>
        <v/>
      </c>
      <c r="M691" s="7">
        <f>IF($A691="","",L691-F691)</f>
        <v/>
      </c>
      <c r="N691" s="7" t="n"/>
      <c r="O691" s="7" t="n"/>
      <c r="P691" s="7" t="n"/>
      <c r="R691" s="14" t="n"/>
      <c r="V691">
        <f>IF($A691="","",IF(COUNTIF($A$2:$A691,$A691)=1,1,0))</f>
        <v/>
      </c>
      <c r="W691">
        <f>IF($V691=1,SUMPRODUCT(--($Y$2:$Y$1501&lt;$Y691))+1,"")</f>
        <v/>
      </c>
      <c r="X691">
        <f>IF($A691="","",IF(OR($T691=TRUE(),$T691="TRUE"),1,0))</f>
        <v/>
      </c>
      <c r="Y691">
        <f>IF($V691=1,IFERROR(IF(VALUE($A691)&lt;100000000,VALUE($A691),1000000000),IFERROR(IF(VALUE(MID($A691,2,20))&lt;100000000,VALUE(MID($A691,2,20)),1000000000),1000000000))+ROW()/100000,"")</f>
        <v/>
      </c>
    </row>
    <row r="692">
      <c r="F692" s="7">
        <f>IF($A692="","",E692*L692/100)</f>
        <v/>
      </c>
      <c r="J692" s="7" t="n"/>
      <c r="K692" s="7">
        <f>IF($A692="","",N692*U692/100)</f>
        <v/>
      </c>
      <c r="L692" s="7">
        <f>IF($A692="","",N692-K692)</f>
        <v/>
      </c>
      <c r="M692" s="7">
        <f>IF($A692="","",L692-F692)</f>
        <v/>
      </c>
      <c r="N692" s="7" t="n"/>
      <c r="O692" s="7" t="n"/>
      <c r="P692" s="7" t="n"/>
      <c r="R692" s="14" t="n"/>
      <c r="V692">
        <f>IF($A692="","",IF(COUNTIF($A$2:$A692,$A692)=1,1,0))</f>
        <v/>
      </c>
      <c r="W692">
        <f>IF($V692=1,SUMPRODUCT(--($Y$2:$Y$1501&lt;$Y692))+1,"")</f>
        <v/>
      </c>
      <c r="X692">
        <f>IF($A692="","",IF(OR($T692=TRUE(),$T692="TRUE"),1,0))</f>
        <v/>
      </c>
      <c r="Y692">
        <f>IF($V692=1,IFERROR(IF(VALUE($A692)&lt;100000000,VALUE($A692),1000000000),IFERROR(IF(VALUE(MID($A692,2,20))&lt;100000000,VALUE(MID($A692,2,20)),1000000000),1000000000))+ROW()/100000,"")</f>
        <v/>
      </c>
    </row>
    <row r="693">
      <c r="F693" s="7">
        <f>IF($A693="","",E693*L693/100)</f>
        <v/>
      </c>
      <c r="J693" s="7" t="n"/>
      <c r="K693" s="7">
        <f>IF($A693="","",N693*U693/100)</f>
        <v/>
      </c>
      <c r="L693" s="7">
        <f>IF($A693="","",N693-K693)</f>
        <v/>
      </c>
      <c r="M693" s="7">
        <f>IF($A693="","",L693-F693)</f>
        <v/>
      </c>
      <c r="N693" s="7" t="n"/>
      <c r="O693" s="7" t="n"/>
      <c r="P693" s="7" t="n"/>
      <c r="R693" s="14" t="n"/>
      <c r="V693">
        <f>IF($A693="","",IF(COUNTIF($A$2:$A693,$A693)=1,1,0))</f>
        <v/>
      </c>
      <c r="W693">
        <f>IF($V693=1,SUMPRODUCT(--($Y$2:$Y$1501&lt;$Y693))+1,"")</f>
        <v/>
      </c>
      <c r="X693">
        <f>IF($A693="","",IF(OR($T693=TRUE(),$T693="TRUE"),1,0))</f>
        <v/>
      </c>
      <c r="Y693">
        <f>IF($V693=1,IFERROR(IF(VALUE($A693)&lt;100000000,VALUE($A693),1000000000),IFERROR(IF(VALUE(MID($A693,2,20))&lt;100000000,VALUE(MID($A693,2,20)),1000000000),1000000000))+ROW()/100000,"")</f>
        <v/>
      </c>
    </row>
    <row r="694">
      <c r="F694" s="7">
        <f>IF($A694="","",E694*L694/100)</f>
        <v/>
      </c>
      <c r="J694" s="7" t="n"/>
      <c r="K694" s="7">
        <f>IF($A694="","",N694*U694/100)</f>
        <v/>
      </c>
      <c r="L694" s="7">
        <f>IF($A694="","",N694-K694)</f>
        <v/>
      </c>
      <c r="M694" s="7">
        <f>IF($A694="","",L694-F694)</f>
        <v/>
      </c>
      <c r="N694" s="7" t="n"/>
      <c r="O694" s="7" t="n"/>
      <c r="P694" s="7" t="n"/>
      <c r="R694" s="14" t="n"/>
      <c r="V694">
        <f>IF($A694="","",IF(COUNTIF($A$2:$A694,$A694)=1,1,0))</f>
        <v/>
      </c>
      <c r="W694">
        <f>IF($V694=1,SUMPRODUCT(--($Y$2:$Y$1501&lt;$Y694))+1,"")</f>
        <v/>
      </c>
      <c r="X694">
        <f>IF($A694="","",IF(OR($T694=TRUE(),$T694="TRUE"),1,0))</f>
        <v/>
      </c>
      <c r="Y694">
        <f>IF($V694=1,IFERROR(IF(VALUE($A694)&lt;100000000,VALUE($A694),1000000000),IFERROR(IF(VALUE(MID($A694,2,20))&lt;100000000,VALUE(MID($A694,2,20)),1000000000),1000000000))+ROW()/100000,"")</f>
        <v/>
      </c>
    </row>
    <row r="695">
      <c r="F695" s="7">
        <f>IF($A695="","",E695*L695/100)</f>
        <v/>
      </c>
      <c r="J695" s="7" t="n"/>
      <c r="K695" s="7">
        <f>IF($A695="","",N695*U695/100)</f>
        <v/>
      </c>
      <c r="L695" s="7">
        <f>IF($A695="","",N695-K695)</f>
        <v/>
      </c>
      <c r="M695" s="7">
        <f>IF($A695="","",L695-F695)</f>
        <v/>
      </c>
      <c r="N695" s="7" t="n"/>
      <c r="O695" s="7" t="n"/>
      <c r="P695" s="7" t="n"/>
      <c r="R695" s="14" t="n"/>
      <c r="V695">
        <f>IF($A695="","",IF(COUNTIF($A$2:$A695,$A695)=1,1,0))</f>
        <v/>
      </c>
      <c r="W695">
        <f>IF($V695=1,SUMPRODUCT(--($Y$2:$Y$1501&lt;$Y695))+1,"")</f>
        <v/>
      </c>
      <c r="X695">
        <f>IF($A695="","",IF(OR($T695=TRUE(),$T695="TRUE"),1,0))</f>
        <v/>
      </c>
      <c r="Y695">
        <f>IF($V695=1,IFERROR(IF(VALUE($A695)&lt;100000000,VALUE($A695),1000000000),IFERROR(IF(VALUE(MID($A695,2,20))&lt;100000000,VALUE(MID($A695,2,20)),1000000000),1000000000))+ROW()/100000,"")</f>
        <v/>
      </c>
    </row>
    <row r="696">
      <c r="F696" s="7">
        <f>IF($A696="","",E696*L696/100)</f>
        <v/>
      </c>
      <c r="J696" s="7" t="n"/>
      <c r="K696" s="7">
        <f>IF($A696="","",N696*U696/100)</f>
        <v/>
      </c>
      <c r="L696" s="7">
        <f>IF($A696="","",N696-K696)</f>
        <v/>
      </c>
      <c r="M696" s="7">
        <f>IF($A696="","",L696-F696)</f>
        <v/>
      </c>
      <c r="N696" s="7" t="n"/>
      <c r="O696" s="7" t="n"/>
      <c r="P696" s="7" t="n"/>
      <c r="R696" s="14" t="n"/>
      <c r="V696">
        <f>IF($A696="","",IF(COUNTIF($A$2:$A696,$A696)=1,1,0))</f>
        <v/>
      </c>
      <c r="W696">
        <f>IF($V696=1,SUMPRODUCT(--($Y$2:$Y$1501&lt;$Y696))+1,"")</f>
        <v/>
      </c>
      <c r="X696">
        <f>IF($A696="","",IF(OR($T696=TRUE(),$T696="TRUE"),1,0))</f>
        <v/>
      </c>
      <c r="Y696">
        <f>IF($V696=1,IFERROR(IF(VALUE($A696)&lt;100000000,VALUE($A696),1000000000),IFERROR(IF(VALUE(MID($A696,2,20))&lt;100000000,VALUE(MID($A696,2,20)),1000000000),1000000000))+ROW()/100000,"")</f>
        <v/>
      </c>
    </row>
    <row r="697">
      <c r="F697" s="7">
        <f>IF($A697="","",E697*L697/100)</f>
        <v/>
      </c>
      <c r="J697" s="7" t="n"/>
      <c r="K697" s="7">
        <f>IF($A697="","",N697*U697/100)</f>
        <v/>
      </c>
      <c r="L697" s="7">
        <f>IF($A697="","",N697-K697)</f>
        <v/>
      </c>
      <c r="M697" s="7">
        <f>IF($A697="","",L697-F697)</f>
        <v/>
      </c>
      <c r="N697" s="7" t="n"/>
      <c r="O697" s="7" t="n"/>
      <c r="P697" s="7" t="n"/>
      <c r="R697" s="14" t="n"/>
      <c r="V697">
        <f>IF($A697="","",IF(COUNTIF($A$2:$A697,$A697)=1,1,0))</f>
        <v/>
      </c>
      <c r="W697">
        <f>IF($V697=1,SUMPRODUCT(--($Y$2:$Y$1501&lt;$Y697))+1,"")</f>
        <v/>
      </c>
      <c r="X697">
        <f>IF($A697="","",IF(OR($T697=TRUE(),$T697="TRUE"),1,0))</f>
        <v/>
      </c>
      <c r="Y697">
        <f>IF($V697=1,IFERROR(IF(VALUE($A697)&lt;100000000,VALUE($A697),1000000000),IFERROR(IF(VALUE(MID($A697,2,20))&lt;100000000,VALUE(MID($A697,2,20)),1000000000),1000000000))+ROW()/100000,"")</f>
        <v/>
      </c>
    </row>
    <row r="698">
      <c r="F698" s="7">
        <f>IF($A698="","",E698*L698/100)</f>
        <v/>
      </c>
      <c r="J698" s="7" t="n"/>
      <c r="K698" s="7">
        <f>IF($A698="","",N698*U698/100)</f>
        <v/>
      </c>
      <c r="L698" s="7">
        <f>IF($A698="","",N698-K698)</f>
        <v/>
      </c>
      <c r="M698" s="7">
        <f>IF($A698="","",L698-F698)</f>
        <v/>
      </c>
      <c r="N698" s="7" t="n"/>
      <c r="O698" s="7" t="n"/>
      <c r="P698" s="7" t="n"/>
      <c r="R698" s="14" t="n"/>
      <c r="V698">
        <f>IF($A698="","",IF(COUNTIF($A$2:$A698,$A698)=1,1,0))</f>
        <v/>
      </c>
      <c r="W698">
        <f>IF($V698=1,SUMPRODUCT(--($Y$2:$Y$1501&lt;$Y698))+1,"")</f>
        <v/>
      </c>
      <c r="X698">
        <f>IF($A698="","",IF(OR($T698=TRUE(),$T698="TRUE"),1,0))</f>
        <v/>
      </c>
      <c r="Y698">
        <f>IF($V698=1,IFERROR(IF(VALUE($A698)&lt;100000000,VALUE($A698),1000000000),IFERROR(IF(VALUE(MID($A698,2,20))&lt;100000000,VALUE(MID($A698,2,20)),1000000000),1000000000))+ROW()/100000,"")</f>
        <v/>
      </c>
    </row>
    <row r="699">
      <c r="F699" s="7">
        <f>IF($A699="","",E699*L699/100)</f>
        <v/>
      </c>
      <c r="J699" s="7" t="n"/>
      <c r="K699" s="7">
        <f>IF($A699="","",N699*U699/100)</f>
        <v/>
      </c>
      <c r="L699" s="7">
        <f>IF($A699="","",N699-K699)</f>
        <v/>
      </c>
      <c r="M699" s="7">
        <f>IF($A699="","",L699-F699)</f>
        <v/>
      </c>
      <c r="N699" s="7" t="n"/>
      <c r="O699" s="7" t="n"/>
      <c r="P699" s="7" t="n"/>
      <c r="R699" s="14" t="n"/>
      <c r="V699">
        <f>IF($A699="","",IF(COUNTIF($A$2:$A699,$A699)=1,1,0))</f>
        <v/>
      </c>
      <c r="W699">
        <f>IF($V699=1,SUMPRODUCT(--($Y$2:$Y$1501&lt;$Y699))+1,"")</f>
        <v/>
      </c>
      <c r="X699">
        <f>IF($A699="","",IF(OR($T699=TRUE(),$T699="TRUE"),1,0))</f>
        <v/>
      </c>
      <c r="Y699">
        <f>IF($V699=1,IFERROR(IF(VALUE($A699)&lt;100000000,VALUE($A699),1000000000),IFERROR(IF(VALUE(MID($A699,2,20))&lt;100000000,VALUE(MID($A699,2,20)),1000000000),1000000000))+ROW()/100000,"")</f>
        <v/>
      </c>
    </row>
    <row r="700">
      <c r="F700" s="7">
        <f>IF($A700="","",E700*L700/100)</f>
        <v/>
      </c>
      <c r="J700" s="7" t="n"/>
      <c r="K700" s="7">
        <f>IF($A700="","",N700*U700/100)</f>
        <v/>
      </c>
      <c r="L700" s="7">
        <f>IF($A700="","",N700-K700)</f>
        <v/>
      </c>
      <c r="M700" s="7">
        <f>IF($A700="","",L700-F700)</f>
        <v/>
      </c>
      <c r="N700" s="7" t="n"/>
      <c r="O700" s="7" t="n"/>
      <c r="P700" s="7" t="n"/>
      <c r="R700" s="14" t="n"/>
      <c r="V700">
        <f>IF($A700="","",IF(COUNTIF($A$2:$A700,$A700)=1,1,0))</f>
        <v/>
      </c>
      <c r="W700">
        <f>IF($V700=1,SUMPRODUCT(--($Y$2:$Y$1501&lt;$Y700))+1,"")</f>
        <v/>
      </c>
      <c r="X700">
        <f>IF($A700="","",IF(OR($T700=TRUE(),$T700="TRUE"),1,0))</f>
        <v/>
      </c>
      <c r="Y700">
        <f>IF($V700=1,IFERROR(IF(VALUE($A700)&lt;100000000,VALUE($A700),1000000000),IFERROR(IF(VALUE(MID($A700,2,20))&lt;100000000,VALUE(MID($A700,2,20)),1000000000),1000000000))+ROW()/100000,"")</f>
        <v/>
      </c>
    </row>
    <row r="701">
      <c r="F701" s="7">
        <f>IF($A701="","",E701*L701/100)</f>
        <v/>
      </c>
      <c r="J701" s="7" t="n"/>
      <c r="K701" s="7">
        <f>IF($A701="","",N701*U701/100)</f>
        <v/>
      </c>
      <c r="L701" s="7">
        <f>IF($A701="","",N701-K701)</f>
        <v/>
      </c>
      <c r="M701" s="7">
        <f>IF($A701="","",L701-F701)</f>
        <v/>
      </c>
      <c r="N701" s="7" t="n"/>
      <c r="O701" s="7" t="n"/>
      <c r="P701" s="7" t="n"/>
      <c r="R701" s="14" t="n"/>
      <c r="V701">
        <f>IF($A701="","",IF(COUNTIF($A$2:$A701,$A701)=1,1,0))</f>
        <v/>
      </c>
      <c r="W701">
        <f>IF($V701=1,SUMPRODUCT(--($Y$2:$Y$1501&lt;$Y701))+1,"")</f>
        <v/>
      </c>
      <c r="X701">
        <f>IF($A701="","",IF(OR($T701=TRUE(),$T701="TRUE"),1,0))</f>
        <v/>
      </c>
      <c r="Y701">
        <f>IF($V701=1,IFERROR(IF(VALUE($A701)&lt;100000000,VALUE($A701),1000000000),IFERROR(IF(VALUE(MID($A701,2,20))&lt;100000000,VALUE(MID($A701,2,20)),1000000000),1000000000))+ROW()/100000,"")</f>
        <v/>
      </c>
    </row>
    <row r="702">
      <c r="F702" s="7">
        <f>IF($A702="","",E702*L702/100)</f>
        <v/>
      </c>
      <c r="J702" s="7" t="n"/>
      <c r="K702" s="7">
        <f>IF($A702="","",N702*U702/100)</f>
        <v/>
      </c>
      <c r="L702" s="7">
        <f>IF($A702="","",N702-K702)</f>
        <v/>
      </c>
      <c r="M702" s="7">
        <f>IF($A702="","",L702-F702)</f>
        <v/>
      </c>
      <c r="N702" s="7" t="n"/>
      <c r="O702" s="7" t="n"/>
      <c r="P702" s="7" t="n"/>
      <c r="R702" s="14" t="n"/>
      <c r="V702">
        <f>IF($A702="","",IF(COUNTIF($A$2:$A702,$A702)=1,1,0))</f>
        <v/>
      </c>
      <c r="W702">
        <f>IF($V702=1,SUMPRODUCT(--($Y$2:$Y$1501&lt;$Y702))+1,"")</f>
        <v/>
      </c>
      <c r="X702">
        <f>IF($A702="","",IF(OR($T702=TRUE(),$T702="TRUE"),1,0))</f>
        <v/>
      </c>
      <c r="Y702">
        <f>IF($V702=1,IFERROR(IF(VALUE($A702)&lt;100000000,VALUE($A702),1000000000),IFERROR(IF(VALUE(MID($A702,2,20))&lt;100000000,VALUE(MID($A702,2,20)),1000000000),1000000000))+ROW()/100000,"")</f>
        <v/>
      </c>
    </row>
    <row r="703">
      <c r="F703" s="7">
        <f>IF($A703="","",E703*L703/100)</f>
        <v/>
      </c>
      <c r="J703" s="7" t="n"/>
      <c r="K703" s="7">
        <f>IF($A703="","",N703*U703/100)</f>
        <v/>
      </c>
      <c r="L703" s="7">
        <f>IF($A703="","",N703-K703)</f>
        <v/>
      </c>
      <c r="M703" s="7">
        <f>IF($A703="","",L703-F703)</f>
        <v/>
      </c>
      <c r="N703" s="7" t="n"/>
      <c r="O703" s="7" t="n"/>
      <c r="P703" s="7" t="n"/>
      <c r="R703" s="14" t="n"/>
      <c r="V703">
        <f>IF($A703="","",IF(COUNTIF($A$2:$A703,$A703)=1,1,0))</f>
        <v/>
      </c>
      <c r="W703">
        <f>IF($V703=1,SUMPRODUCT(--($Y$2:$Y$1501&lt;$Y703))+1,"")</f>
        <v/>
      </c>
      <c r="X703">
        <f>IF($A703="","",IF(OR($T703=TRUE(),$T703="TRUE"),1,0))</f>
        <v/>
      </c>
      <c r="Y703">
        <f>IF($V703=1,IFERROR(IF(VALUE($A703)&lt;100000000,VALUE($A703),1000000000),IFERROR(IF(VALUE(MID($A703,2,20))&lt;100000000,VALUE(MID($A703,2,20)),1000000000),1000000000))+ROW()/100000,"")</f>
        <v/>
      </c>
    </row>
    <row r="704">
      <c r="F704" s="7">
        <f>IF($A704="","",E704*L704/100)</f>
        <v/>
      </c>
      <c r="J704" s="7" t="n"/>
      <c r="K704" s="7">
        <f>IF($A704="","",N704*U704/100)</f>
        <v/>
      </c>
      <c r="L704" s="7">
        <f>IF($A704="","",N704-K704)</f>
        <v/>
      </c>
      <c r="M704" s="7">
        <f>IF($A704="","",L704-F704)</f>
        <v/>
      </c>
      <c r="N704" s="7" t="n"/>
      <c r="O704" s="7" t="n"/>
      <c r="P704" s="7" t="n"/>
      <c r="R704" s="14" t="n"/>
      <c r="V704">
        <f>IF($A704="","",IF(COUNTIF($A$2:$A704,$A704)=1,1,0))</f>
        <v/>
      </c>
      <c r="W704">
        <f>IF($V704=1,SUMPRODUCT(--($Y$2:$Y$1501&lt;$Y704))+1,"")</f>
        <v/>
      </c>
      <c r="X704">
        <f>IF($A704="","",IF(OR($T704=TRUE(),$T704="TRUE"),1,0))</f>
        <v/>
      </c>
      <c r="Y704">
        <f>IF($V704=1,IFERROR(IF(VALUE($A704)&lt;100000000,VALUE($A704),1000000000),IFERROR(IF(VALUE(MID($A704,2,20))&lt;100000000,VALUE(MID($A704,2,20)),1000000000),1000000000))+ROW()/100000,"")</f>
        <v/>
      </c>
    </row>
    <row r="705">
      <c r="F705" s="7">
        <f>IF($A705="","",E705*L705/100)</f>
        <v/>
      </c>
      <c r="J705" s="7" t="n"/>
      <c r="K705" s="7">
        <f>IF($A705="","",N705*U705/100)</f>
        <v/>
      </c>
      <c r="L705" s="7">
        <f>IF($A705="","",N705-K705)</f>
        <v/>
      </c>
      <c r="M705" s="7">
        <f>IF($A705="","",L705-F705)</f>
        <v/>
      </c>
      <c r="N705" s="7" t="n"/>
      <c r="O705" s="7" t="n"/>
      <c r="P705" s="7" t="n"/>
      <c r="R705" s="14" t="n"/>
      <c r="V705">
        <f>IF($A705="","",IF(COUNTIF($A$2:$A705,$A705)=1,1,0))</f>
        <v/>
      </c>
      <c r="W705">
        <f>IF($V705=1,SUMPRODUCT(--($Y$2:$Y$1501&lt;$Y705))+1,"")</f>
        <v/>
      </c>
      <c r="X705">
        <f>IF($A705="","",IF(OR($T705=TRUE(),$T705="TRUE"),1,0))</f>
        <v/>
      </c>
      <c r="Y705">
        <f>IF($V705=1,IFERROR(IF(VALUE($A705)&lt;100000000,VALUE($A705),1000000000),IFERROR(IF(VALUE(MID($A705,2,20))&lt;100000000,VALUE(MID($A705,2,20)),1000000000),1000000000))+ROW()/100000,"")</f>
        <v/>
      </c>
    </row>
    <row r="706">
      <c r="F706" s="7">
        <f>IF($A706="","",E706*L706/100)</f>
        <v/>
      </c>
      <c r="J706" s="7" t="n"/>
      <c r="K706" s="7">
        <f>IF($A706="","",N706*U706/100)</f>
        <v/>
      </c>
      <c r="L706" s="7">
        <f>IF($A706="","",N706-K706)</f>
        <v/>
      </c>
      <c r="M706" s="7">
        <f>IF($A706="","",L706-F706)</f>
        <v/>
      </c>
      <c r="N706" s="7" t="n"/>
      <c r="O706" s="7" t="n"/>
      <c r="P706" s="7" t="n"/>
      <c r="R706" s="14" t="n"/>
      <c r="V706">
        <f>IF($A706="","",IF(COUNTIF($A$2:$A706,$A706)=1,1,0))</f>
        <v/>
      </c>
      <c r="W706">
        <f>IF($V706=1,SUMPRODUCT(--($Y$2:$Y$1501&lt;$Y706))+1,"")</f>
        <v/>
      </c>
      <c r="X706">
        <f>IF($A706="","",IF(OR($T706=TRUE(),$T706="TRUE"),1,0))</f>
        <v/>
      </c>
      <c r="Y706">
        <f>IF($V706=1,IFERROR(IF(VALUE($A706)&lt;100000000,VALUE($A706),1000000000),IFERROR(IF(VALUE(MID($A706,2,20))&lt;100000000,VALUE(MID($A706,2,20)),1000000000),1000000000))+ROW()/100000,"")</f>
        <v/>
      </c>
    </row>
    <row r="707">
      <c r="F707" s="7">
        <f>IF($A707="","",E707*L707/100)</f>
        <v/>
      </c>
      <c r="J707" s="7" t="n"/>
      <c r="K707" s="7">
        <f>IF($A707="","",N707*U707/100)</f>
        <v/>
      </c>
      <c r="L707" s="7">
        <f>IF($A707="","",N707-K707)</f>
        <v/>
      </c>
      <c r="M707" s="7">
        <f>IF($A707="","",L707-F707)</f>
        <v/>
      </c>
      <c r="N707" s="7" t="n"/>
      <c r="O707" s="7" t="n"/>
      <c r="P707" s="7" t="n"/>
      <c r="R707" s="14" t="n"/>
      <c r="V707">
        <f>IF($A707="","",IF(COUNTIF($A$2:$A707,$A707)=1,1,0))</f>
        <v/>
      </c>
      <c r="W707">
        <f>IF($V707=1,SUMPRODUCT(--($Y$2:$Y$1501&lt;$Y707))+1,"")</f>
        <v/>
      </c>
      <c r="X707">
        <f>IF($A707="","",IF(OR($T707=TRUE(),$T707="TRUE"),1,0))</f>
        <v/>
      </c>
      <c r="Y707">
        <f>IF($V707=1,IFERROR(IF(VALUE($A707)&lt;100000000,VALUE($A707),1000000000),IFERROR(IF(VALUE(MID($A707,2,20))&lt;100000000,VALUE(MID($A707,2,20)),1000000000),1000000000))+ROW()/100000,"")</f>
        <v/>
      </c>
    </row>
    <row r="708">
      <c r="F708" s="7">
        <f>IF($A708="","",E708*L708/100)</f>
        <v/>
      </c>
      <c r="J708" s="7" t="n"/>
      <c r="K708" s="7">
        <f>IF($A708="","",N708*U708/100)</f>
        <v/>
      </c>
      <c r="L708" s="7">
        <f>IF($A708="","",N708-K708)</f>
        <v/>
      </c>
      <c r="M708" s="7">
        <f>IF($A708="","",L708-F708)</f>
        <v/>
      </c>
      <c r="N708" s="7" t="n"/>
      <c r="O708" s="7" t="n"/>
      <c r="P708" s="7" t="n"/>
      <c r="R708" s="14" t="n"/>
      <c r="V708">
        <f>IF($A708="","",IF(COUNTIF($A$2:$A708,$A708)=1,1,0))</f>
        <v/>
      </c>
      <c r="W708">
        <f>IF($V708=1,SUMPRODUCT(--($Y$2:$Y$1501&lt;$Y708))+1,"")</f>
        <v/>
      </c>
      <c r="X708">
        <f>IF($A708="","",IF(OR($T708=TRUE(),$T708="TRUE"),1,0))</f>
        <v/>
      </c>
      <c r="Y708">
        <f>IF($V708=1,IFERROR(IF(VALUE($A708)&lt;100000000,VALUE($A708),1000000000),IFERROR(IF(VALUE(MID($A708,2,20))&lt;100000000,VALUE(MID($A708,2,20)),1000000000),1000000000))+ROW()/100000,"")</f>
        <v/>
      </c>
    </row>
    <row r="709">
      <c r="F709" s="7">
        <f>IF($A709="","",E709*L709/100)</f>
        <v/>
      </c>
      <c r="J709" s="7" t="n"/>
      <c r="K709" s="7">
        <f>IF($A709="","",N709*U709/100)</f>
        <v/>
      </c>
      <c r="L709" s="7">
        <f>IF($A709="","",N709-K709)</f>
        <v/>
      </c>
      <c r="M709" s="7">
        <f>IF($A709="","",L709-F709)</f>
        <v/>
      </c>
      <c r="N709" s="7" t="n"/>
      <c r="O709" s="7" t="n"/>
      <c r="P709" s="7" t="n"/>
      <c r="R709" s="14" t="n"/>
      <c r="V709">
        <f>IF($A709="","",IF(COUNTIF($A$2:$A709,$A709)=1,1,0))</f>
        <v/>
      </c>
      <c r="W709">
        <f>IF($V709=1,SUMPRODUCT(--($Y$2:$Y$1501&lt;$Y709))+1,"")</f>
        <v/>
      </c>
      <c r="X709">
        <f>IF($A709="","",IF(OR($T709=TRUE(),$T709="TRUE"),1,0))</f>
        <v/>
      </c>
      <c r="Y709">
        <f>IF($V709=1,IFERROR(IF(VALUE($A709)&lt;100000000,VALUE($A709),1000000000),IFERROR(IF(VALUE(MID($A709,2,20))&lt;100000000,VALUE(MID($A709,2,20)),1000000000),1000000000))+ROW()/100000,"")</f>
        <v/>
      </c>
    </row>
    <row r="710">
      <c r="F710" s="7">
        <f>IF($A710="","",E710*L710/100)</f>
        <v/>
      </c>
      <c r="J710" s="7" t="n"/>
      <c r="K710" s="7">
        <f>IF($A710="","",N710*U710/100)</f>
        <v/>
      </c>
      <c r="L710" s="7">
        <f>IF($A710="","",N710-K710)</f>
        <v/>
      </c>
      <c r="M710" s="7">
        <f>IF($A710="","",L710-F710)</f>
        <v/>
      </c>
      <c r="N710" s="7" t="n"/>
      <c r="O710" s="7" t="n"/>
      <c r="P710" s="7" t="n"/>
      <c r="R710" s="14" t="n"/>
      <c r="V710">
        <f>IF($A710="","",IF(COUNTIF($A$2:$A710,$A710)=1,1,0))</f>
        <v/>
      </c>
      <c r="W710">
        <f>IF($V710=1,SUMPRODUCT(--($Y$2:$Y$1501&lt;$Y710))+1,"")</f>
        <v/>
      </c>
      <c r="X710">
        <f>IF($A710="","",IF(OR($T710=TRUE(),$T710="TRUE"),1,0))</f>
        <v/>
      </c>
      <c r="Y710">
        <f>IF($V710=1,IFERROR(IF(VALUE($A710)&lt;100000000,VALUE($A710),1000000000),IFERROR(IF(VALUE(MID($A710,2,20))&lt;100000000,VALUE(MID($A710,2,20)),1000000000),1000000000))+ROW()/100000,"")</f>
        <v/>
      </c>
    </row>
    <row r="711">
      <c r="F711" s="7">
        <f>IF($A711="","",E711*L711/100)</f>
        <v/>
      </c>
      <c r="J711" s="7" t="n"/>
      <c r="K711" s="7">
        <f>IF($A711="","",N711*U711/100)</f>
        <v/>
      </c>
      <c r="L711" s="7">
        <f>IF($A711="","",N711-K711)</f>
        <v/>
      </c>
      <c r="M711" s="7">
        <f>IF($A711="","",L711-F711)</f>
        <v/>
      </c>
      <c r="N711" s="7" t="n"/>
      <c r="O711" s="7" t="n"/>
      <c r="P711" s="7" t="n"/>
      <c r="R711" s="14" t="n"/>
      <c r="V711">
        <f>IF($A711="","",IF(COUNTIF($A$2:$A711,$A711)=1,1,0))</f>
        <v/>
      </c>
      <c r="W711">
        <f>IF($V711=1,SUMPRODUCT(--($Y$2:$Y$1501&lt;$Y711))+1,"")</f>
        <v/>
      </c>
      <c r="X711">
        <f>IF($A711="","",IF(OR($T711=TRUE(),$T711="TRUE"),1,0))</f>
        <v/>
      </c>
      <c r="Y711">
        <f>IF($V711=1,IFERROR(IF(VALUE($A711)&lt;100000000,VALUE($A711),1000000000),IFERROR(IF(VALUE(MID($A711,2,20))&lt;100000000,VALUE(MID($A711,2,20)),1000000000),1000000000))+ROW()/100000,"")</f>
        <v/>
      </c>
    </row>
    <row r="712">
      <c r="F712" s="7">
        <f>IF($A712="","",E712*L712/100)</f>
        <v/>
      </c>
      <c r="J712" s="7" t="n"/>
      <c r="K712" s="7">
        <f>IF($A712="","",N712*U712/100)</f>
        <v/>
      </c>
      <c r="L712" s="7">
        <f>IF($A712="","",N712-K712)</f>
        <v/>
      </c>
      <c r="M712" s="7">
        <f>IF($A712="","",L712-F712)</f>
        <v/>
      </c>
      <c r="N712" s="7" t="n"/>
      <c r="O712" s="7" t="n"/>
      <c r="P712" s="7" t="n"/>
      <c r="R712" s="14" t="n"/>
      <c r="V712">
        <f>IF($A712="","",IF(COUNTIF($A$2:$A712,$A712)=1,1,0))</f>
        <v/>
      </c>
      <c r="W712">
        <f>IF($V712=1,SUMPRODUCT(--($Y$2:$Y$1501&lt;$Y712))+1,"")</f>
        <v/>
      </c>
      <c r="X712">
        <f>IF($A712="","",IF(OR($T712=TRUE(),$T712="TRUE"),1,0))</f>
        <v/>
      </c>
      <c r="Y712">
        <f>IF($V712=1,IFERROR(IF(VALUE($A712)&lt;100000000,VALUE($A712),1000000000),IFERROR(IF(VALUE(MID($A712,2,20))&lt;100000000,VALUE(MID($A712,2,20)),1000000000),1000000000))+ROW()/100000,"")</f>
        <v/>
      </c>
    </row>
    <row r="713">
      <c r="F713" s="7">
        <f>IF($A713="","",E713*L713/100)</f>
        <v/>
      </c>
      <c r="J713" s="7" t="n"/>
      <c r="K713" s="7">
        <f>IF($A713="","",N713*U713/100)</f>
        <v/>
      </c>
      <c r="L713" s="7">
        <f>IF($A713="","",N713-K713)</f>
        <v/>
      </c>
      <c r="M713" s="7">
        <f>IF($A713="","",L713-F713)</f>
        <v/>
      </c>
      <c r="N713" s="7" t="n"/>
      <c r="O713" s="7" t="n"/>
      <c r="P713" s="7" t="n"/>
      <c r="R713" s="14" t="n"/>
      <c r="V713">
        <f>IF($A713="","",IF(COUNTIF($A$2:$A713,$A713)=1,1,0))</f>
        <v/>
      </c>
      <c r="W713">
        <f>IF($V713=1,SUMPRODUCT(--($Y$2:$Y$1501&lt;$Y713))+1,"")</f>
        <v/>
      </c>
      <c r="X713">
        <f>IF($A713="","",IF(OR($T713=TRUE(),$T713="TRUE"),1,0))</f>
        <v/>
      </c>
      <c r="Y713">
        <f>IF($V713=1,IFERROR(IF(VALUE($A713)&lt;100000000,VALUE($A713),1000000000),IFERROR(IF(VALUE(MID($A713,2,20))&lt;100000000,VALUE(MID($A713,2,20)),1000000000),1000000000))+ROW()/100000,"")</f>
        <v/>
      </c>
    </row>
    <row r="714">
      <c r="F714" s="7">
        <f>IF($A714="","",E714*L714/100)</f>
        <v/>
      </c>
      <c r="J714" s="7" t="n"/>
      <c r="K714" s="7">
        <f>IF($A714="","",N714*U714/100)</f>
        <v/>
      </c>
      <c r="L714" s="7">
        <f>IF($A714="","",N714-K714)</f>
        <v/>
      </c>
      <c r="M714" s="7">
        <f>IF($A714="","",L714-F714)</f>
        <v/>
      </c>
      <c r="N714" s="7" t="n"/>
      <c r="O714" s="7" t="n"/>
      <c r="P714" s="7" t="n"/>
      <c r="R714" s="14" t="n"/>
      <c r="V714">
        <f>IF($A714="","",IF(COUNTIF($A$2:$A714,$A714)=1,1,0))</f>
        <v/>
      </c>
      <c r="W714">
        <f>IF($V714=1,SUMPRODUCT(--($Y$2:$Y$1501&lt;$Y714))+1,"")</f>
        <v/>
      </c>
      <c r="X714">
        <f>IF($A714="","",IF(OR($T714=TRUE(),$T714="TRUE"),1,0))</f>
        <v/>
      </c>
      <c r="Y714">
        <f>IF($V714=1,IFERROR(IF(VALUE($A714)&lt;100000000,VALUE($A714),1000000000),IFERROR(IF(VALUE(MID($A714,2,20))&lt;100000000,VALUE(MID($A714,2,20)),1000000000),1000000000))+ROW()/100000,"")</f>
        <v/>
      </c>
    </row>
    <row r="715">
      <c r="F715" s="7">
        <f>IF($A715="","",E715*L715/100)</f>
        <v/>
      </c>
      <c r="J715" s="7" t="n"/>
      <c r="K715" s="7">
        <f>IF($A715="","",N715*U715/100)</f>
        <v/>
      </c>
      <c r="L715" s="7">
        <f>IF($A715="","",N715-K715)</f>
        <v/>
      </c>
      <c r="M715" s="7">
        <f>IF($A715="","",L715-F715)</f>
        <v/>
      </c>
      <c r="N715" s="7" t="n"/>
      <c r="O715" s="7" t="n"/>
      <c r="P715" s="7" t="n"/>
      <c r="R715" s="14" t="n"/>
      <c r="V715">
        <f>IF($A715="","",IF(COUNTIF($A$2:$A715,$A715)=1,1,0))</f>
        <v/>
      </c>
      <c r="W715">
        <f>IF($V715=1,SUMPRODUCT(--($Y$2:$Y$1501&lt;$Y715))+1,"")</f>
        <v/>
      </c>
      <c r="X715">
        <f>IF($A715="","",IF(OR($T715=TRUE(),$T715="TRUE"),1,0))</f>
        <v/>
      </c>
      <c r="Y715">
        <f>IF($V715=1,IFERROR(IF(VALUE($A715)&lt;100000000,VALUE($A715),1000000000),IFERROR(IF(VALUE(MID($A715,2,20))&lt;100000000,VALUE(MID($A715,2,20)),1000000000),1000000000))+ROW()/100000,"")</f>
        <v/>
      </c>
    </row>
    <row r="716">
      <c r="F716" s="7">
        <f>IF($A716="","",E716*L716/100)</f>
        <v/>
      </c>
      <c r="J716" s="7" t="n"/>
      <c r="K716" s="7">
        <f>IF($A716="","",N716*U716/100)</f>
        <v/>
      </c>
      <c r="L716" s="7">
        <f>IF($A716="","",N716-K716)</f>
        <v/>
      </c>
      <c r="M716" s="7">
        <f>IF($A716="","",L716-F716)</f>
        <v/>
      </c>
      <c r="N716" s="7" t="n"/>
      <c r="O716" s="7" t="n"/>
      <c r="P716" s="7" t="n"/>
      <c r="R716" s="14" t="n"/>
      <c r="V716">
        <f>IF($A716="","",IF(COUNTIF($A$2:$A716,$A716)=1,1,0))</f>
        <v/>
      </c>
      <c r="W716">
        <f>IF($V716=1,SUMPRODUCT(--($Y$2:$Y$1501&lt;$Y716))+1,"")</f>
        <v/>
      </c>
      <c r="X716">
        <f>IF($A716="","",IF(OR($T716=TRUE(),$T716="TRUE"),1,0))</f>
        <v/>
      </c>
      <c r="Y716">
        <f>IF($V716=1,IFERROR(IF(VALUE($A716)&lt;100000000,VALUE($A716),1000000000),IFERROR(IF(VALUE(MID($A716,2,20))&lt;100000000,VALUE(MID($A716,2,20)),1000000000),1000000000))+ROW()/100000,"")</f>
        <v/>
      </c>
    </row>
    <row r="717">
      <c r="F717" s="7">
        <f>IF($A717="","",E717*L717/100)</f>
        <v/>
      </c>
      <c r="J717" s="7" t="n"/>
      <c r="K717" s="7">
        <f>IF($A717="","",N717*U717/100)</f>
        <v/>
      </c>
      <c r="L717" s="7">
        <f>IF($A717="","",N717-K717)</f>
        <v/>
      </c>
      <c r="M717" s="7">
        <f>IF($A717="","",L717-F717)</f>
        <v/>
      </c>
      <c r="N717" s="7" t="n"/>
      <c r="O717" s="7" t="n"/>
      <c r="P717" s="7" t="n"/>
      <c r="R717" s="14" t="n"/>
      <c r="V717">
        <f>IF($A717="","",IF(COUNTIF($A$2:$A717,$A717)=1,1,0))</f>
        <v/>
      </c>
      <c r="W717">
        <f>IF($V717=1,SUMPRODUCT(--($Y$2:$Y$1501&lt;$Y717))+1,"")</f>
        <v/>
      </c>
      <c r="X717">
        <f>IF($A717="","",IF(OR($T717=TRUE(),$T717="TRUE"),1,0))</f>
        <v/>
      </c>
      <c r="Y717">
        <f>IF($V717=1,IFERROR(IF(VALUE($A717)&lt;100000000,VALUE($A717),1000000000),IFERROR(IF(VALUE(MID($A717,2,20))&lt;100000000,VALUE(MID($A717,2,20)),1000000000),1000000000))+ROW()/100000,"")</f>
        <v/>
      </c>
    </row>
    <row r="718">
      <c r="F718" s="7">
        <f>IF($A718="","",E718*L718/100)</f>
        <v/>
      </c>
      <c r="J718" s="7" t="n"/>
      <c r="K718" s="7">
        <f>IF($A718="","",N718*U718/100)</f>
        <v/>
      </c>
      <c r="L718" s="7">
        <f>IF($A718="","",N718-K718)</f>
        <v/>
      </c>
      <c r="M718" s="7">
        <f>IF($A718="","",L718-F718)</f>
        <v/>
      </c>
      <c r="N718" s="7" t="n"/>
      <c r="O718" s="7" t="n"/>
      <c r="P718" s="7" t="n"/>
      <c r="R718" s="14" t="n"/>
      <c r="V718">
        <f>IF($A718="","",IF(COUNTIF($A$2:$A718,$A718)=1,1,0))</f>
        <v/>
      </c>
      <c r="W718">
        <f>IF($V718=1,SUMPRODUCT(--($Y$2:$Y$1501&lt;$Y718))+1,"")</f>
        <v/>
      </c>
      <c r="X718">
        <f>IF($A718="","",IF(OR($T718=TRUE(),$T718="TRUE"),1,0))</f>
        <v/>
      </c>
      <c r="Y718">
        <f>IF($V718=1,IFERROR(IF(VALUE($A718)&lt;100000000,VALUE($A718),1000000000),IFERROR(IF(VALUE(MID($A718,2,20))&lt;100000000,VALUE(MID($A718,2,20)),1000000000),1000000000))+ROW()/100000,"")</f>
        <v/>
      </c>
    </row>
    <row r="719">
      <c r="F719" s="7">
        <f>IF($A719="","",E719*L719/100)</f>
        <v/>
      </c>
      <c r="J719" s="7" t="n"/>
      <c r="K719" s="7">
        <f>IF($A719="","",N719*U719/100)</f>
        <v/>
      </c>
      <c r="L719" s="7">
        <f>IF($A719="","",N719-K719)</f>
        <v/>
      </c>
      <c r="M719" s="7">
        <f>IF($A719="","",L719-F719)</f>
        <v/>
      </c>
      <c r="N719" s="7" t="n"/>
      <c r="O719" s="7" t="n"/>
      <c r="P719" s="7" t="n"/>
      <c r="R719" s="14" t="n"/>
      <c r="V719">
        <f>IF($A719="","",IF(COUNTIF($A$2:$A719,$A719)=1,1,0))</f>
        <v/>
      </c>
      <c r="W719">
        <f>IF($V719=1,SUMPRODUCT(--($Y$2:$Y$1501&lt;$Y719))+1,"")</f>
        <v/>
      </c>
      <c r="X719">
        <f>IF($A719="","",IF(OR($T719=TRUE(),$T719="TRUE"),1,0))</f>
        <v/>
      </c>
      <c r="Y719">
        <f>IF($V719=1,IFERROR(IF(VALUE($A719)&lt;100000000,VALUE($A719),1000000000),IFERROR(IF(VALUE(MID($A719,2,20))&lt;100000000,VALUE(MID($A719,2,20)),1000000000),1000000000))+ROW()/100000,"")</f>
        <v/>
      </c>
    </row>
    <row r="720">
      <c r="F720" s="7">
        <f>IF($A720="","",E720*L720/100)</f>
        <v/>
      </c>
      <c r="J720" s="7" t="n"/>
      <c r="K720" s="7">
        <f>IF($A720="","",N720*U720/100)</f>
        <v/>
      </c>
      <c r="L720" s="7">
        <f>IF($A720="","",N720-K720)</f>
        <v/>
      </c>
      <c r="M720" s="7">
        <f>IF($A720="","",L720-F720)</f>
        <v/>
      </c>
      <c r="N720" s="7" t="n"/>
      <c r="O720" s="7" t="n"/>
      <c r="P720" s="7" t="n"/>
      <c r="R720" s="14" t="n"/>
      <c r="V720">
        <f>IF($A720="","",IF(COUNTIF($A$2:$A720,$A720)=1,1,0))</f>
        <v/>
      </c>
      <c r="W720">
        <f>IF($V720=1,SUMPRODUCT(--($Y$2:$Y$1501&lt;$Y720))+1,"")</f>
        <v/>
      </c>
      <c r="X720">
        <f>IF($A720="","",IF(OR($T720=TRUE(),$T720="TRUE"),1,0))</f>
        <v/>
      </c>
      <c r="Y720">
        <f>IF($V720=1,IFERROR(IF(VALUE($A720)&lt;100000000,VALUE($A720),1000000000),IFERROR(IF(VALUE(MID($A720,2,20))&lt;100000000,VALUE(MID($A720,2,20)),1000000000),1000000000))+ROW()/100000,"")</f>
        <v/>
      </c>
    </row>
    <row r="721">
      <c r="F721" s="7">
        <f>IF($A721="","",E721*L721/100)</f>
        <v/>
      </c>
      <c r="J721" s="7" t="n"/>
      <c r="K721" s="7">
        <f>IF($A721="","",N721*U721/100)</f>
        <v/>
      </c>
      <c r="L721" s="7">
        <f>IF($A721="","",N721-K721)</f>
        <v/>
      </c>
      <c r="M721" s="7">
        <f>IF($A721="","",L721-F721)</f>
        <v/>
      </c>
      <c r="N721" s="7" t="n"/>
      <c r="O721" s="7" t="n"/>
      <c r="P721" s="7" t="n"/>
      <c r="R721" s="14" t="n"/>
      <c r="V721">
        <f>IF($A721="","",IF(COUNTIF($A$2:$A721,$A721)=1,1,0))</f>
        <v/>
      </c>
      <c r="W721">
        <f>IF($V721=1,SUMPRODUCT(--($Y$2:$Y$1501&lt;$Y721))+1,"")</f>
        <v/>
      </c>
      <c r="X721">
        <f>IF($A721="","",IF(OR($T721=TRUE(),$T721="TRUE"),1,0))</f>
        <v/>
      </c>
      <c r="Y721">
        <f>IF($V721=1,IFERROR(IF(VALUE($A721)&lt;100000000,VALUE($A721),1000000000),IFERROR(IF(VALUE(MID($A721,2,20))&lt;100000000,VALUE(MID($A721,2,20)),1000000000),1000000000))+ROW()/100000,"")</f>
        <v/>
      </c>
    </row>
    <row r="722">
      <c r="F722" s="7">
        <f>IF($A722="","",E722*L722/100)</f>
        <v/>
      </c>
      <c r="J722" s="7" t="n"/>
      <c r="K722" s="7">
        <f>IF($A722="","",N722*U722/100)</f>
        <v/>
      </c>
      <c r="L722" s="7">
        <f>IF($A722="","",N722-K722)</f>
        <v/>
      </c>
      <c r="M722" s="7">
        <f>IF($A722="","",L722-F722)</f>
        <v/>
      </c>
      <c r="N722" s="7" t="n"/>
      <c r="O722" s="7" t="n"/>
      <c r="P722" s="7" t="n"/>
      <c r="R722" s="14" t="n"/>
      <c r="V722">
        <f>IF($A722="","",IF(COUNTIF($A$2:$A722,$A722)=1,1,0))</f>
        <v/>
      </c>
      <c r="W722">
        <f>IF($V722=1,SUMPRODUCT(--($Y$2:$Y$1501&lt;$Y722))+1,"")</f>
        <v/>
      </c>
      <c r="X722">
        <f>IF($A722="","",IF(OR($T722=TRUE(),$T722="TRUE"),1,0))</f>
        <v/>
      </c>
      <c r="Y722">
        <f>IF($V722=1,IFERROR(IF(VALUE($A722)&lt;100000000,VALUE($A722),1000000000),IFERROR(IF(VALUE(MID($A722,2,20))&lt;100000000,VALUE(MID($A722,2,20)),1000000000),1000000000))+ROW()/100000,"")</f>
        <v/>
      </c>
    </row>
    <row r="723">
      <c r="F723" s="7">
        <f>IF($A723="","",E723*L723/100)</f>
        <v/>
      </c>
      <c r="J723" s="7" t="n"/>
      <c r="K723" s="7">
        <f>IF($A723="","",N723*U723/100)</f>
        <v/>
      </c>
      <c r="L723" s="7">
        <f>IF($A723="","",N723-K723)</f>
        <v/>
      </c>
      <c r="M723" s="7">
        <f>IF($A723="","",L723-F723)</f>
        <v/>
      </c>
      <c r="N723" s="7" t="n"/>
      <c r="O723" s="7" t="n"/>
      <c r="P723" s="7" t="n"/>
      <c r="R723" s="14" t="n"/>
      <c r="V723">
        <f>IF($A723="","",IF(COUNTIF($A$2:$A723,$A723)=1,1,0))</f>
        <v/>
      </c>
      <c r="W723">
        <f>IF($V723=1,SUMPRODUCT(--($Y$2:$Y$1501&lt;$Y723))+1,"")</f>
        <v/>
      </c>
      <c r="X723">
        <f>IF($A723="","",IF(OR($T723=TRUE(),$T723="TRUE"),1,0))</f>
        <v/>
      </c>
      <c r="Y723">
        <f>IF($V723=1,IFERROR(IF(VALUE($A723)&lt;100000000,VALUE($A723),1000000000),IFERROR(IF(VALUE(MID($A723,2,20))&lt;100000000,VALUE(MID($A723,2,20)),1000000000),1000000000))+ROW()/100000,"")</f>
        <v/>
      </c>
    </row>
    <row r="724">
      <c r="F724" s="7">
        <f>IF($A724="","",E724*L724/100)</f>
        <v/>
      </c>
      <c r="J724" s="7" t="n"/>
      <c r="K724" s="7">
        <f>IF($A724="","",N724*U724/100)</f>
        <v/>
      </c>
      <c r="L724" s="7">
        <f>IF($A724="","",N724-K724)</f>
        <v/>
      </c>
      <c r="M724" s="7">
        <f>IF($A724="","",L724-F724)</f>
        <v/>
      </c>
      <c r="N724" s="7" t="n"/>
      <c r="O724" s="7" t="n"/>
      <c r="P724" s="7" t="n"/>
      <c r="R724" s="14" t="n"/>
      <c r="V724">
        <f>IF($A724="","",IF(COUNTIF($A$2:$A724,$A724)=1,1,0))</f>
        <v/>
      </c>
      <c r="W724">
        <f>IF($V724=1,SUMPRODUCT(--($Y$2:$Y$1501&lt;$Y724))+1,"")</f>
        <v/>
      </c>
      <c r="X724">
        <f>IF($A724="","",IF(OR($T724=TRUE(),$T724="TRUE"),1,0))</f>
        <v/>
      </c>
      <c r="Y724">
        <f>IF($V724=1,IFERROR(IF(VALUE($A724)&lt;100000000,VALUE($A724),1000000000),IFERROR(IF(VALUE(MID($A724,2,20))&lt;100000000,VALUE(MID($A724,2,20)),1000000000),1000000000))+ROW()/100000,"")</f>
        <v/>
      </c>
    </row>
    <row r="725">
      <c r="F725" s="7">
        <f>IF($A725="","",E725*L725/100)</f>
        <v/>
      </c>
      <c r="J725" s="7" t="n"/>
      <c r="K725" s="7">
        <f>IF($A725="","",N725*U725/100)</f>
        <v/>
      </c>
      <c r="L725" s="7">
        <f>IF($A725="","",N725-K725)</f>
        <v/>
      </c>
      <c r="M725" s="7">
        <f>IF($A725="","",L725-F725)</f>
        <v/>
      </c>
      <c r="N725" s="7" t="n"/>
      <c r="O725" s="7" t="n"/>
      <c r="P725" s="7" t="n"/>
      <c r="R725" s="14" t="n"/>
      <c r="V725">
        <f>IF($A725="","",IF(COUNTIF($A$2:$A725,$A725)=1,1,0))</f>
        <v/>
      </c>
      <c r="W725">
        <f>IF($V725=1,SUMPRODUCT(--($Y$2:$Y$1501&lt;$Y725))+1,"")</f>
        <v/>
      </c>
      <c r="X725">
        <f>IF($A725="","",IF(OR($T725=TRUE(),$T725="TRUE"),1,0))</f>
        <v/>
      </c>
      <c r="Y725">
        <f>IF($V725=1,IFERROR(IF(VALUE($A725)&lt;100000000,VALUE($A725),1000000000),IFERROR(IF(VALUE(MID($A725,2,20))&lt;100000000,VALUE(MID($A725,2,20)),1000000000),1000000000))+ROW()/100000,"")</f>
        <v/>
      </c>
    </row>
    <row r="726">
      <c r="F726" s="7">
        <f>IF($A726="","",E726*L726/100)</f>
        <v/>
      </c>
      <c r="J726" s="7" t="n"/>
      <c r="K726" s="7">
        <f>IF($A726="","",N726*U726/100)</f>
        <v/>
      </c>
      <c r="L726" s="7">
        <f>IF($A726="","",N726-K726)</f>
        <v/>
      </c>
      <c r="M726" s="7">
        <f>IF($A726="","",L726-F726)</f>
        <v/>
      </c>
      <c r="N726" s="7" t="n"/>
      <c r="O726" s="7" t="n"/>
      <c r="P726" s="7" t="n"/>
      <c r="R726" s="14" t="n"/>
      <c r="V726">
        <f>IF($A726="","",IF(COUNTIF($A$2:$A726,$A726)=1,1,0))</f>
        <v/>
      </c>
      <c r="W726">
        <f>IF($V726=1,SUMPRODUCT(--($Y$2:$Y$1501&lt;$Y726))+1,"")</f>
        <v/>
      </c>
      <c r="X726">
        <f>IF($A726="","",IF(OR($T726=TRUE(),$T726="TRUE"),1,0))</f>
        <v/>
      </c>
      <c r="Y726">
        <f>IF($V726=1,IFERROR(IF(VALUE($A726)&lt;100000000,VALUE($A726),1000000000),IFERROR(IF(VALUE(MID($A726,2,20))&lt;100000000,VALUE(MID($A726,2,20)),1000000000),1000000000))+ROW()/100000,"")</f>
        <v/>
      </c>
    </row>
    <row r="727">
      <c r="F727" s="7">
        <f>IF($A727="","",E727*L727/100)</f>
        <v/>
      </c>
      <c r="J727" s="7" t="n"/>
      <c r="K727" s="7">
        <f>IF($A727="","",N727*U727/100)</f>
        <v/>
      </c>
      <c r="L727" s="7">
        <f>IF($A727="","",N727-K727)</f>
        <v/>
      </c>
      <c r="M727" s="7">
        <f>IF($A727="","",L727-F727)</f>
        <v/>
      </c>
      <c r="N727" s="7" t="n"/>
      <c r="O727" s="7" t="n"/>
      <c r="P727" s="7" t="n"/>
      <c r="R727" s="14" t="n"/>
      <c r="V727">
        <f>IF($A727="","",IF(COUNTIF($A$2:$A727,$A727)=1,1,0))</f>
        <v/>
      </c>
      <c r="W727">
        <f>IF($V727=1,SUMPRODUCT(--($Y$2:$Y$1501&lt;$Y727))+1,"")</f>
        <v/>
      </c>
      <c r="X727">
        <f>IF($A727="","",IF(OR($T727=TRUE(),$T727="TRUE"),1,0))</f>
        <v/>
      </c>
      <c r="Y727">
        <f>IF($V727=1,IFERROR(IF(VALUE($A727)&lt;100000000,VALUE($A727),1000000000),IFERROR(IF(VALUE(MID($A727,2,20))&lt;100000000,VALUE(MID($A727,2,20)),1000000000),1000000000))+ROW()/100000,"")</f>
        <v/>
      </c>
    </row>
    <row r="728">
      <c r="F728" s="7">
        <f>IF($A728="","",E728*L728/100)</f>
        <v/>
      </c>
      <c r="J728" s="7" t="n"/>
      <c r="K728" s="7">
        <f>IF($A728="","",N728*U728/100)</f>
        <v/>
      </c>
      <c r="L728" s="7">
        <f>IF($A728="","",N728-K728)</f>
        <v/>
      </c>
      <c r="M728" s="7">
        <f>IF($A728="","",L728-F728)</f>
        <v/>
      </c>
      <c r="N728" s="7" t="n"/>
      <c r="O728" s="7" t="n"/>
      <c r="P728" s="7" t="n"/>
      <c r="R728" s="14" t="n"/>
      <c r="V728">
        <f>IF($A728="","",IF(COUNTIF($A$2:$A728,$A728)=1,1,0))</f>
        <v/>
      </c>
      <c r="W728">
        <f>IF($V728=1,SUMPRODUCT(--($Y$2:$Y$1501&lt;$Y728))+1,"")</f>
        <v/>
      </c>
      <c r="X728">
        <f>IF($A728="","",IF(OR($T728=TRUE(),$T728="TRUE"),1,0))</f>
        <v/>
      </c>
      <c r="Y728">
        <f>IF($V728=1,IFERROR(IF(VALUE($A728)&lt;100000000,VALUE($A728),1000000000),IFERROR(IF(VALUE(MID($A728,2,20))&lt;100000000,VALUE(MID($A728,2,20)),1000000000),1000000000))+ROW()/100000,"")</f>
        <v/>
      </c>
    </row>
    <row r="729">
      <c r="F729" s="7">
        <f>IF($A729="","",E729*L729/100)</f>
        <v/>
      </c>
      <c r="J729" s="7" t="n"/>
      <c r="K729" s="7">
        <f>IF($A729="","",N729*U729/100)</f>
        <v/>
      </c>
      <c r="L729" s="7">
        <f>IF($A729="","",N729-K729)</f>
        <v/>
      </c>
      <c r="M729" s="7">
        <f>IF($A729="","",L729-F729)</f>
        <v/>
      </c>
      <c r="N729" s="7" t="n"/>
      <c r="O729" s="7" t="n"/>
      <c r="P729" s="7" t="n"/>
      <c r="R729" s="14" t="n"/>
      <c r="V729">
        <f>IF($A729="","",IF(COUNTIF($A$2:$A729,$A729)=1,1,0))</f>
        <v/>
      </c>
      <c r="W729">
        <f>IF($V729=1,SUMPRODUCT(--($Y$2:$Y$1501&lt;$Y729))+1,"")</f>
        <v/>
      </c>
      <c r="X729">
        <f>IF($A729="","",IF(OR($T729=TRUE(),$T729="TRUE"),1,0))</f>
        <v/>
      </c>
      <c r="Y729">
        <f>IF($V729=1,IFERROR(IF(VALUE($A729)&lt;100000000,VALUE($A729),1000000000),IFERROR(IF(VALUE(MID($A729,2,20))&lt;100000000,VALUE(MID($A729,2,20)),1000000000),1000000000))+ROW()/100000,"")</f>
        <v/>
      </c>
    </row>
    <row r="730">
      <c r="F730" s="7">
        <f>IF($A730="","",E730*L730/100)</f>
        <v/>
      </c>
      <c r="J730" s="7" t="n"/>
      <c r="K730" s="7">
        <f>IF($A730="","",N730*U730/100)</f>
        <v/>
      </c>
      <c r="L730" s="7">
        <f>IF($A730="","",N730-K730)</f>
        <v/>
      </c>
      <c r="M730" s="7">
        <f>IF($A730="","",L730-F730)</f>
        <v/>
      </c>
      <c r="N730" s="7" t="n"/>
      <c r="O730" s="7" t="n"/>
      <c r="P730" s="7" t="n"/>
      <c r="R730" s="14" t="n"/>
      <c r="V730">
        <f>IF($A730="","",IF(COUNTIF($A$2:$A730,$A730)=1,1,0))</f>
        <v/>
      </c>
      <c r="W730">
        <f>IF($V730=1,SUMPRODUCT(--($Y$2:$Y$1501&lt;$Y730))+1,"")</f>
        <v/>
      </c>
      <c r="X730">
        <f>IF($A730="","",IF(OR($T730=TRUE(),$T730="TRUE"),1,0))</f>
        <v/>
      </c>
      <c r="Y730">
        <f>IF($V730=1,IFERROR(IF(VALUE($A730)&lt;100000000,VALUE($A730),1000000000),IFERROR(IF(VALUE(MID($A730,2,20))&lt;100000000,VALUE(MID($A730,2,20)),1000000000),1000000000))+ROW()/100000,"")</f>
        <v/>
      </c>
    </row>
    <row r="731">
      <c r="F731" s="7">
        <f>IF($A731="","",E731*L731/100)</f>
        <v/>
      </c>
      <c r="J731" s="7" t="n"/>
      <c r="K731" s="7">
        <f>IF($A731="","",N731*U731/100)</f>
        <v/>
      </c>
      <c r="L731" s="7">
        <f>IF($A731="","",N731-K731)</f>
        <v/>
      </c>
      <c r="M731" s="7">
        <f>IF($A731="","",L731-F731)</f>
        <v/>
      </c>
      <c r="N731" s="7" t="n"/>
      <c r="O731" s="7" t="n"/>
      <c r="P731" s="7" t="n"/>
      <c r="R731" s="14" t="n"/>
      <c r="V731">
        <f>IF($A731="","",IF(COUNTIF($A$2:$A731,$A731)=1,1,0))</f>
        <v/>
      </c>
      <c r="W731">
        <f>IF($V731=1,SUMPRODUCT(--($Y$2:$Y$1501&lt;$Y731))+1,"")</f>
        <v/>
      </c>
      <c r="X731">
        <f>IF($A731="","",IF(OR($T731=TRUE(),$T731="TRUE"),1,0))</f>
        <v/>
      </c>
      <c r="Y731">
        <f>IF($V731=1,IFERROR(IF(VALUE($A731)&lt;100000000,VALUE($A731),1000000000),IFERROR(IF(VALUE(MID($A731,2,20))&lt;100000000,VALUE(MID($A731,2,20)),1000000000),1000000000))+ROW()/100000,"")</f>
        <v/>
      </c>
    </row>
    <row r="732">
      <c r="F732" s="7">
        <f>IF($A732="","",E732*L732/100)</f>
        <v/>
      </c>
      <c r="J732" s="7" t="n"/>
      <c r="K732" s="7">
        <f>IF($A732="","",N732*U732/100)</f>
        <v/>
      </c>
      <c r="L732" s="7">
        <f>IF($A732="","",N732-K732)</f>
        <v/>
      </c>
      <c r="M732" s="7">
        <f>IF($A732="","",L732-F732)</f>
        <v/>
      </c>
      <c r="N732" s="7" t="n"/>
      <c r="O732" s="7" t="n"/>
      <c r="P732" s="7" t="n"/>
      <c r="R732" s="14" t="n"/>
      <c r="V732">
        <f>IF($A732="","",IF(COUNTIF($A$2:$A732,$A732)=1,1,0))</f>
        <v/>
      </c>
      <c r="W732">
        <f>IF($V732=1,SUMPRODUCT(--($Y$2:$Y$1501&lt;$Y732))+1,"")</f>
        <v/>
      </c>
      <c r="X732">
        <f>IF($A732="","",IF(OR($T732=TRUE(),$T732="TRUE"),1,0))</f>
        <v/>
      </c>
      <c r="Y732">
        <f>IF($V732=1,IFERROR(IF(VALUE($A732)&lt;100000000,VALUE($A732),1000000000),IFERROR(IF(VALUE(MID($A732,2,20))&lt;100000000,VALUE(MID($A732,2,20)),1000000000),1000000000))+ROW()/100000,"")</f>
        <v/>
      </c>
    </row>
    <row r="733">
      <c r="F733" s="7">
        <f>IF($A733="","",E733*L733/100)</f>
        <v/>
      </c>
      <c r="J733" s="7" t="n"/>
      <c r="K733" s="7">
        <f>IF($A733="","",N733*U733/100)</f>
        <v/>
      </c>
      <c r="L733" s="7">
        <f>IF($A733="","",N733-K733)</f>
        <v/>
      </c>
      <c r="M733" s="7">
        <f>IF($A733="","",L733-F733)</f>
        <v/>
      </c>
      <c r="N733" s="7" t="n"/>
      <c r="O733" s="7" t="n"/>
      <c r="P733" s="7" t="n"/>
      <c r="R733" s="14" t="n"/>
      <c r="V733">
        <f>IF($A733="","",IF(COUNTIF($A$2:$A733,$A733)=1,1,0))</f>
        <v/>
      </c>
      <c r="W733">
        <f>IF($V733=1,SUMPRODUCT(--($Y$2:$Y$1501&lt;$Y733))+1,"")</f>
        <v/>
      </c>
      <c r="X733">
        <f>IF($A733="","",IF(OR($T733=TRUE(),$T733="TRUE"),1,0))</f>
        <v/>
      </c>
      <c r="Y733">
        <f>IF($V733=1,IFERROR(IF(VALUE($A733)&lt;100000000,VALUE($A733),1000000000),IFERROR(IF(VALUE(MID($A733,2,20))&lt;100000000,VALUE(MID($A733,2,20)),1000000000),1000000000))+ROW()/100000,"")</f>
        <v/>
      </c>
    </row>
    <row r="734">
      <c r="F734" s="7">
        <f>IF($A734="","",E734*L734/100)</f>
        <v/>
      </c>
      <c r="J734" s="7" t="n"/>
      <c r="K734" s="7">
        <f>IF($A734="","",N734*U734/100)</f>
        <v/>
      </c>
      <c r="L734" s="7">
        <f>IF($A734="","",N734-K734)</f>
        <v/>
      </c>
      <c r="M734" s="7">
        <f>IF($A734="","",L734-F734)</f>
        <v/>
      </c>
      <c r="N734" s="7" t="n"/>
      <c r="O734" s="7" t="n"/>
      <c r="P734" s="7" t="n"/>
      <c r="R734" s="14" t="n"/>
      <c r="V734">
        <f>IF($A734="","",IF(COUNTIF($A$2:$A734,$A734)=1,1,0))</f>
        <v/>
      </c>
      <c r="W734">
        <f>IF($V734=1,SUMPRODUCT(--($Y$2:$Y$1501&lt;$Y734))+1,"")</f>
        <v/>
      </c>
      <c r="X734">
        <f>IF($A734="","",IF(OR($T734=TRUE(),$T734="TRUE"),1,0))</f>
        <v/>
      </c>
      <c r="Y734">
        <f>IF($V734=1,IFERROR(IF(VALUE($A734)&lt;100000000,VALUE($A734),1000000000),IFERROR(IF(VALUE(MID($A734,2,20))&lt;100000000,VALUE(MID($A734,2,20)),1000000000),1000000000))+ROW()/100000,"")</f>
        <v/>
      </c>
    </row>
    <row r="735">
      <c r="F735" s="7">
        <f>IF($A735="","",E735*L735/100)</f>
        <v/>
      </c>
      <c r="J735" s="7" t="n"/>
      <c r="K735" s="7">
        <f>IF($A735="","",N735*U735/100)</f>
        <v/>
      </c>
      <c r="L735" s="7">
        <f>IF($A735="","",N735-K735)</f>
        <v/>
      </c>
      <c r="M735" s="7">
        <f>IF($A735="","",L735-F735)</f>
        <v/>
      </c>
      <c r="N735" s="7" t="n"/>
      <c r="O735" s="7" t="n"/>
      <c r="P735" s="7" t="n"/>
      <c r="R735" s="14" t="n"/>
      <c r="V735">
        <f>IF($A735="","",IF(COUNTIF($A$2:$A735,$A735)=1,1,0))</f>
        <v/>
      </c>
      <c r="W735">
        <f>IF($V735=1,SUMPRODUCT(--($Y$2:$Y$1501&lt;$Y735))+1,"")</f>
        <v/>
      </c>
      <c r="X735">
        <f>IF($A735="","",IF(OR($T735=TRUE(),$T735="TRUE"),1,0))</f>
        <v/>
      </c>
      <c r="Y735">
        <f>IF($V735=1,IFERROR(IF(VALUE($A735)&lt;100000000,VALUE($A735),1000000000),IFERROR(IF(VALUE(MID($A735,2,20))&lt;100000000,VALUE(MID($A735,2,20)),1000000000),1000000000))+ROW()/100000,"")</f>
        <v/>
      </c>
    </row>
    <row r="736">
      <c r="F736" s="7">
        <f>IF($A736="","",E736*L736/100)</f>
        <v/>
      </c>
      <c r="J736" s="7" t="n"/>
      <c r="K736" s="7">
        <f>IF($A736="","",N736*U736/100)</f>
        <v/>
      </c>
      <c r="L736" s="7">
        <f>IF($A736="","",N736-K736)</f>
        <v/>
      </c>
      <c r="M736" s="7">
        <f>IF($A736="","",L736-F736)</f>
        <v/>
      </c>
      <c r="N736" s="7" t="n"/>
      <c r="O736" s="7" t="n"/>
      <c r="P736" s="7" t="n"/>
      <c r="R736" s="14" t="n"/>
      <c r="V736">
        <f>IF($A736="","",IF(COUNTIF($A$2:$A736,$A736)=1,1,0))</f>
        <v/>
      </c>
      <c r="W736">
        <f>IF($V736=1,SUMPRODUCT(--($Y$2:$Y$1501&lt;$Y736))+1,"")</f>
        <v/>
      </c>
      <c r="X736">
        <f>IF($A736="","",IF(OR($T736=TRUE(),$T736="TRUE"),1,0))</f>
        <v/>
      </c>
      <c r="Y736">
        <f>IF($V736=1,IFERROR(IF(VALUE($A736)&lt;100000000,VALUE($A736),1000000000),IFERROR(IF(VALUE(MID($A736,2,20))&lt;100000000,VALUE(MID($A736,2,20)),1000000000),1000000000))+ROW()/100000,"")</f>
        <v/>
      </c>
    </row>
    <row r="737">
      <c r="F737" s="7">
        <f>IF($A737="","",E737*L737/100)</f>
        <v/>
      </c>
      <c r="J737" s="7" t="n"/>
      <c r="K737" s="7">
        <f>IF($A737="","",N737*U737/100)</f>
        <v/>
      </c>
      <c r="L737" s="7">
        <f>IF($A737="","",N737-K737)</f>
        <v/>
      </c>
      <c r="M737" s="7">
        <f>IF($A737="","",L737-F737)</f>
        <v/>
      </c>
      <c r="N737" s="7" t="n"/>
      <c r="O737" s="7" t="n"/>
      <c r="P737" s="7" t="n"/>
      <c r="R737" s="14" t="n"/>
      <c r="V737">
        <f>IF($A737="","",IF(COUNTIF($A$2:$A737,$A737)=1,1,0))</f>
        <v/>
      </c>
      <c r="W737">
        <f>IF($V737=1,SUMPRODUCT(--($Y$2:$Y$1501&lt;$Y737))+1,"")</f>
        <v/>
      </c>
      <c r="X737">
        <f>IF($A737="","",IF(OR($T737=TRUE(),$T737="TRUE"),1,0))</f>
        <v/>
      </c>
      <c r="Y737">
        <f>IF($V737=1,IFERROR(IF(VALUE($A737)&lt;100000000,VALUE($A737),1000000000),IFERROR(IF(VALUE(MID($A737,2,20))&lt;100000000,VALUE(MID($A737,2,20)),1000000000),1000000000))+ROW()/100000,"")</f>
        <v/>
      </c>
    </row>
    <row r="738">
      <c r="F738" s="7">
        <f>IF($A738="","",E738*L738/100)</f>
        <v/>
      </c>
      <c r="J738" s="7" t="n"/>
      <c r="K738" s="7">
        <f>IF($A738="","",N738*U738/100)</f>
        <v/>
      </c>
      <c r="L738" s="7">
        <f>IF($A738="","",N738-K738)</f>
        <v/>
      </c>
      <c r="M738" s="7">
        <f>IF($A738="","",L738-F738)</f>
        <v/>
      </c>
      <c r="N738" s="7" t="n"/>
      <c r="O738" s="7" t="n"/>
      <c r="P738" s="7" t="n"/>
      <c r="R738" s="14" t="n"/>
      <c r="V738">
        <f>IF($A738="","",IF(COUNTIF($A$2:$A738,$A738)=1,1,0))</f>
        <v/>
      </c>
      <c r="W738">
        <f>IF($V738=1,SUMPRODUCT(--($Y$2:$Y$1501&lt;$Y738))+1,"")</f>
        <v/>
      </c>
      <c r="X738">
        <f>IF($A738="","",IF(OR($T738=TRUE(),$T738="TRUE"),1,0))</f>
        <v/>
      </c>
      <c r="Y738">
        <f>IF($V738=1,IFERROR(IF(VALUE($A738)&lt;100000000,VALUE($A738),1000000000),IFERROR(IF(VALUE(MID($A738,2,20))&lt;100000000,VALUE(MID($A738,2,20)),1000000000),1000000000))+ROW()/100000,"")</f>
        <v/>
      </c>
    </row>
    <row r="739">
      <c r="F739" s="7">
        <f>IF($A739="","",E739*L739/100)</f>
        <v/>
      </c>
      <c r="J739" s="7" t="n"/>
      <c r="K739" s="7">
        <f>IF($A739="","",N739*U739/100)</f>
        <v/>
      </c>
      <c r="L739" s="7">
        <f>IF($A739="","",N739-K739)</f>
        <v/>
      </c>
      <c r="M739" s="7">
        <f>IF($A739="","",L739-F739)</f>
        <v/>
      </c>
      <c r="N739" s="7" t="n"/>
      <c r="O739" s="7" t="n"/>
      <c r="P739" s="7" t="n"/>
      <c r="R739" s="14" t="n"/>
      <c r="V739">
        <f>IF($A739="","",IF(COUNTIF($A$2:$A739,$A739)=1,1,0))</f>
        <v/>
      </c>
      <c r="W739">
        <f>IF($V739=1,SUMPRODUCT(--($Y$2:$Y$1501&lt;$Y739))+1,"")</f>
        <v/>
      </c>
      <c r="X739">
        <f>IF($A739="","",IF(OR($T739=TRUE(),$T739="TRUE"),1,0))</f>
        <v/>
      </c>
      <c r="Y739">
        <f>IF($V739=1,IFERROR(IF(VALUE($A739)&lt;100000000,VALUE($A739),1000000000),IFERROR(IF(VALUE(MID($A739,2,20))&lt;100000000,VALUE(MID($A739,2,20)),1000000000),1000000000))+ROW()/100000,"")</f>
        <v/>
      </c>
    </row>
    <row r="740">
      <c r="F740" s="7">
        <f>IF($A740="","",E740*L740/100)</f>
        <v/>
      </c>
      <c r="J740" s="7" t="n"/>
      <c r="K740" s="7">
        <f>IF($A740="","",N740*U740/100)</f>
        <v/>
      </c>
      <c r="L740" s="7">
        <f>IF($A740="","",N740-K740)</f>
        <v/>
      </c>
      <c r="M740" s="7">
        <f>IF($A740="","",L740-F740)</f>
        <v/>
      </c>
      <c r="N740" s="7" t="n"/>
      <c r="O740" s="7" t="n"/>
      <c r="P740" s="7" t="n"/>
      <c r="R740" s="14" t="n"/>
      <c r="V740">
        <f>IF($A740="","",IF(COUNTIF($A$2:$A740,$A740)=1,1,0))</f>
        <v/>
      </c>
      <c r="W740">
        <f>IF($V740=1,SUMPRODUCT(--($Y$2:$Y$1501&lt;$Y740))+1,"")</f>
        <v/>
      </c>
      <c r="X740">
        <f>IF($A740="","",IF(OR($T740=TRUE(),$T740="TRUE"),1,0))</f>
        <v/>
      </c>
      <c r="Y740">
        <f>IF($V740=1,IFERROR(IF(VALUE($A740)&lt;100000000,VALUE($A740),1000000000),IFERROR(IF(VALUE(MID($A740,2,20))&lt;100000000,VALUE(MID($A740,2,20)),1000000000),1000000000))+ROW()/100000,"")</f>
        <v/>
      </c>
    </row>
    <row r="741">
      <c r="F741" s="7">
        <f>IF($A741="","",E741*L741/100)</f>
        <v/>
      </c>
      <c r="J741" s="7" t="n"/>
      <c r="K741" s="7">
        <f>IF($A741="","",N741*U741/100)</f>
        <v/>
      </c>
      <c r="L741" s="7">
        <f>IF($A741="","",N741-K741)</f>
        <v/>
      </c>
      <c r="M741" s="7">
        <f>IF($A741="","",L741-F741)</f>
        <v/>
      </c>
      <c r="N741" s="7" t="n"/>
      <c r="O741" s="7" t="n"/>
      <c r="P741" s="7" t="n"/>
      <c r="R741" s="14" t="n"/>
      <c r="V741">
        <f>IF($A741="","",IF(COUNTIF($A$2:$A741,$A741)=1,1,0))</f>
        <v/>
      </c>
      <c r="W741">
        <f>IF($V741=1,SUMPRODUCT(--($Y$2:$Y$1501&lt;$Y741))+1,"")</f>
        <v/>
      </c>
      <c r="X741">
        <f>IF($A741="","",IF(OR($T741=TRUE(),$T741="TRUE"),1,0))</f>
        <v/>
      </c>
      <c r="Y741">
        <f>IF($V741=1,IFERROR(IF(VALUE($A741)&lt;100000000,VALUE($A741),1000000000),IFERROR(IF(VALUE(MID($A741,2,20))&lt;100000000,VALUE(MID($A741,2,20)),1000000000),1000000000))+ROW()/100000,"")</f>
        <v/>
      </c>
    </row>
    <row r="742">
      <c r="F742" s="7">
        <f>IF($A742="","",E742*L742/100)</f>
        <v/>
      </c>
      <c r="J742" s="7" t="n"/>
      <c r="K742" s="7">
        <f>IF($A742="","",N742*U742/100)</f>
        <v/>
      </c>
      <c r="L742" s="7">
        <f>IF($A742="","",N742-K742)</f>
        <v/>
      </c>
      <c r="M742" s="7">
        <f>IF($A742="","",L742-F742)</f>
        <v/>
      </c>
      <c r="N742" s="7" t="n"/>
      <c r="O742" s="7" t="n"/>
      <c r="P742" s="7" t="n"/>
      <c r="R742" s="14" t="n"/>
      <c r="V742">
        <f>IF($A742="","",IF(COUNTIF($A$2:$A742,$A742)=1,1,0))</f>
        <v/>
      </c>
      <c r="W742">
        <f>IF($V742=1,SUMPRODUCT(--($Y$2:$Y$1501&lt;$Y742))+1,"")</f>
        <v/>
      </c>
      <c r="X742">
        <f>IF($A742="","",IF(OR($T742=TRUE(),$T742="TRUE"),1,0))</f>
        <v/>
      </c>
      <c r="Y742">
        <f>IF($V742=1,IFERROR(IF(VALUE($A742)&lt;100000000,VALUE($A742),1000000000),IFERROR(IF(VALUE(MID($A742,2,20))&lt;100000000,VALUE(MID($A742,2,20)),1000000000),1000000000))+ROW()/100000,"")</f>
        <v/>
      </c>
    </row>
    <row r="743">
      <c r="F743" s="7">
        <f>IF($A743="","",E743*L743/100)</f>
        <v/>
      </c>
      <c r="J743" s="7" t="n"/>
      <c r="K743" s="7">
        <f>IF($A743="","",N743*U743/100)</f>
        <v/>
      </c>
      <c r="L743" s="7">
        <f>IF($A743="","",N743-K743)</f>
        <v/>
      </c>
      <c r="M743" s="7">
        <f>IF($A743="","",L743-F743)</f>
        <v/>
      </c>
      <c r="N743" s="7" t="n"/>
      <c r="O743" s="7" t="n"/>
      <c r="P743" s="7" t="n"/>
      <c r="R743" s="14" t="n"/>
      <c r="V743">
        <f>IF($A743="","",IF(COUNTIF($A$2:$A743,$A743)=1,1,0))</f>
        <v/>
      </c>
      <c r="W743">
        <f>IF($V743=1,SUMPRODUCT(--($Y$2:$Y$1501&lt;$Y743))+1,"")</f>
        <v/>
      </c>
      <c r="X743">
        <f>IF($A743="","",IF(OR($T743=TRUE(),$T743="TRUE"),1,0))</f>
        <v/>
      </c>
      <c r="Y743">
        <f>IF($V743=1,IFERROR(IF(VALUE($A743)&lt;100000000,VALUE($A743),1000000000),IFERROR(IF(VALUE(MID($A743,2,20))&lt;100000000,VALUE(MID($A743,2,20)),1000000000),1000000000))+ROW()/100000,"")</f>
        <v/>
      </c>
    </row>
    <row r="744">
      <c r="F744" s="7">
        <f>IF($A744="","",E744*L744/100)</f>
        <v/>
      </c>
      <c r="J744" s="7" t="n"/>
      <c r="K744" s="7">
        <f>IF($A744="","",N744*U744/100)</f>
        <v/>
      </c>
      <c r="L744" s="7">
        <f>IF($A744="","",N744-K744)</f>
        <v/>
      </c>
      <c r="M744" s="7">
        <f>IF($A744="","",L744-F744)</f>
        <v/>
      </c>
      <c r="N744" s="7" t="n"/>
      <c r="O744" s="7" t="n"/>
      <c r="P744" s="7" t="n"/>
      <c r="R744" s="14" t="n"/>
      <c r="V744">
        <f>IF($A744="","",IF(COUNTIF($A$2:$A744,$A744)=1,1,0))</f>
        <v/>
      </c>
      <c r="W744">
        <f>IF($V744=1,SUMPRODUCT(--($Y$2:$Y$1501&lt;$Y744))+1,"")</f>
        <v/>
      </c>
      <c r="X744">
        <f>IF($A744="","",IF(OR($T744=TRUE(),$T744="TRUE"),1,0))</f>
        <v/>
      </c>
      <c r="Y744">
        <f>IF($V744=1,IFERROR(IF(VALUE($A744)&lt;100000000,VALUE($A744),1000000000),IFERROR(IF(VALUE(MID($A744,2,20))&lt;100000000,VALUE(MID($A744,2,20)),1000000000),1000000000))+ROW()/100000,"")</f>
        <v/>
      </c>
    </row>
    <row r="745">
      <c r="F745" s="7">
        <f>IF($A745="","",E745*L745/100)</f>
        <v/>
      </c>
      <c r="J745" s="7" t="n"/>
      <c r="K745" s="7">
        <f>IF($A745="","",N745*U745/100)</f>
        <v/>
      </c>
      <c r="L745" s="7">
        <f>IF($A745="","",N745-K745)</f>
        <v/>
      </c>
      <c r="M745" s="7">
        <f>IF($A745="","",L745-F745)</f>
        <v/>
      </c>
      <c r="N745" s="7" t="n"/>
      <c r="O745" s="7" t="n"/>
      <c r="P745" s="7" t="n"/>
      <c r="R745" s="14" t="n"/>
      <c r="V745">
        <f>IF($A745="","",IF(COUNTIF($A$2:$A745,$A745)=1,1,0))</f>
        <v/>
      </c>
      <c r="W745">
        <f>IF($V745=1,SUMPRODUCT(--($Y$2:$Y$1501&lt;$Y745))+1,"")</f>
        <v/>
      </c>
      <c r="X745">
        <f>IF($A745="","",IF(OR($T745=TRUE(),$T745="TRUE"),1,0))</f>
        <v/>
      </c>
      <c r="Y745">
        <f>IF($V745=1,IFERROR(IF(VALUE($A745)&lt;100000000,VALUE($A745),1000000000),IFERROR(IF(VALUE(MID($A745,2,20))&lt;100000000,VALUE(MID($A745,2,20)),1000000000),1000000000))+ROW()/100000,"")</f>
        <v/>
      </c>
    </row>
    <row r="746">
      <c r="F746" s="7">
        <f>IF($A746="","",E746*L746/100)</f>
        <v/>
      </c>
      <c r="J746" s="7" t="n"/>
      <c r="K746" s="7">
        <f>IF($A746="","",N746*U746/100)</f>
        <v/>
      </c>
      <c r="L746" s="7">
        <f>IF($A746="","",N746-K746)</f>
        <v/>
      </c>
      <c r="M746" s="7">
        <f>IF($A746="","",L746-F746)</f>
        <v/>
      </c>
      <c r="N746" s="7" t="n"/>
      <c r="O746" s="7" t="n"/>
      <c r="P746" s="7" t="n"/>
      <c r="R746" s="14" t="n"/>
      <c r="V746">
        <f>IF($A746="","",IF(COUNTIF($A$2:$A746,$A746)=1,1,0))</f>
        <v/>
      </c>
      <c r="W746">
        <f>IF($V746=1,SUMPRODUCT(--($Y$2:$Y$1501&lt;$Y746))+1,"")</f>
        <v/>
      </c>
      <c r="X746">
        <f>IF($A746="","",IF(OR($T746=TRUE(),$T746="TRUE"),1,0))</f>
        <v/>
      </c>
      <c r="Y746">
        <f>IF($V746=1,IFERROR(IF(VALUE($A746)&lt;100000000,VALUE($A746),1000000000),IFERROR(IF(VALUE(MID($A746,2,20))&lt;100000000,VALUE(MID($A746,2,20)),1000000000),1000000000))+ROW()/100000,"")</f>
        <v/>
      </c>
    </row>
    <row r="747">
      <c r="F747" s="7">
        <f>IF($A747="","",E747*L747/100)</f>
        <v/>
      </c>
      <c r="J747" s="7" t="n"/>
      <c r="K747" s="7">
        <f>IF($A747="","",N747*U747/100)</f>
        <v/>
      </c>
      <c r="L747" s="7">
        <f>IF($A747="","",N747-K747)</f>
        <v/>
      </c>
      <c r="M747" s="7">
        <f>IF($A747="","",L747-F747)</f>
        <v/>
      </c>
      <c r="N747" s="7" t="n"/>
      <c r="O747" s="7" t="n"/>
      <c r="P747" s="7" t="n"/>
      <c r="R747" s="14" t="n"/>
      <c r="V747">
        <f>IF($A747="","",IF(COUNTIF($A$2:$A747,$A747)=1,1,0))</f>
        <v/>
      </c>
      <c r="W747">
        <f>IF($V747=1,SUMPRODUCT(--($Y$2:$Y$1501&lt;$Y747))+1,"")</f>
        <v/>
      </c>
      <c r="X747">
        <f>IF($A747="","",IF(OR($T747=TRUE(),$T747="TRUE"),1,0))</f>
        <v/>
      </c>
      <c r="Y747">
        <f>IF($V747=1,IFERROR(IF(VALUE($A747)&lt;100000000,VALUE($A747),1000000000),IFERROR(IF(VALUE(MID($A747,2,20))&lt;100000000,VALUE(MID($A747,2,20)),1000000000),1000000000))+ROW()/100000,"")</f>
        <v/>
      </c>
    </row>
    <row r="748">
      <c r="F748" s="7">
        <f>IF($A748="","",E748*L748/100)</f>
        <v/>
      </c>
      <c r="J748" s="7" t="n"/>
      <c r="K748" s="7">
        <f>IF($A748="","",N748*U748/100)</f>
        <v/>
      </c>
      <c r="L748" s="7">
        <f>IF($A748="","",N748-K748)</f>
        <v/>
      </c>
      <c r="M748" s="7">
        <f>IF($A748="","",L748-F748)</f>
        <v/>
      </c>
      <c r="N748" s="7" t="n"/>
      <c r="O748" s="7" t="n"/>
      <c r="P748" s="7" t="n"/>
      <c r="R748" s="14" t="n"/>
      <c r="V748">
        <f>IF($A748="","",IF(COUNTIF($A$2:$A748,$A748)=1,1,0))</f>
        <v/>
      </c>
      <c r="W748">
        <f>IF($V748=1,SUMPRODUCT(--($Y$2:$Y$1501&lt;$Y748))+1,"")</f>
        <v/>
      </c>
      <c r="X748">
        <f>IF($A748="","",IF(OR($T748=TRUE(),$T748="TRUE"),1,0))</f>
        <v/>
      </c>
      <c r="Y748">
        <f>IF($V748=1,IFERROR(IF(VALUE($A748)&lt;100000000,VALUE($A748),1000000000),IFERROR(IF(VALUE(MID($A748,2,20))&lt;100000000,VALUE(MID($A748,2,20)),1000000000),1000000000))+ROW()/100000,"")</f>
        <v/>
      </c>
    </row>
    <row r="749">
      <c r="F749" s="7">
        <f>IF($A749="","",E749*L749/100)</f>
        <v/>
      </c>
      <c r="J749" s="7" t="n"/>
      <c r="K749" s="7">
        <f>IF($A749="","",N749*U749/100)</f>
        <v/>
      </c>
      <c r="L749" s="7">
        <f>IF($A749="","",N749-K749)</f>
        <v/>
      </c>
      <c r="M749" s="7">
        <f>IF($A749="","",L749-F749)</f>
        <v/>
      </c>
      <c r="N749" s="7" t="n"/>
      <c r="O749" s="7" t="n"/>
      <c r="P749" s="7" t="n"/>
      <c r="R749" s="14" t="n"/>
      <c r="V749">
        <f>IF($A749="","",IF(COUNTIF($A$2:$A749,$A749)=1,1,0))</f>
        <v/>
      </c>
      <c r="W749">
        <f>IF($V749=1,SUMPRODUCT(--($Y$2:$Y$1501&lt;$Y749))+1,"")</f>
        <v/>
      </c>
      <c r="X749">
        <f>IF($A749="","",IF(OR($T749=TRUE(),$T749="TRUE"),1,0))</f>
        <v/>
      </c>
      <c r="Y749">
        <f>IF($V749=1,IFERROR(IF(VALUE($A749)&lt;100000000,VALUE($A749),1000000000),IFERROR(IF(VALUE(MID($A749,2,20))&lt;100000000,VALUE(MID($A749,2,20)),1000000000),1000000000))+ROW()/100000,"")</f>
        <v/>
      </c>
    </row>
    <row r="750">
      <c r="F750" s="7">
        <f>IF($A750="","",E750*L750/100)</f>
        <v/>
      </c>
      <c r="J750" s="7" t="n"/>
      <c r="K750" s="7">
        <f>IF($A750="","",N750*U750/100)</f>
        <v/>
      </c>
      <c r="L750" s="7">
        <f>IF($A750="","",N750-K750)</f>
        <v/>
      </c>
      <c r="M750" s="7">
        <f>IF($A750="","",L750-F750)</f>
        <v/>
      </c>
      <c r="N750" s="7" t="n"/>
      <c r="O750" s="7" t="n"/>
      <c r="P750" s="7" t="n"/>
      <c r="R750" s="14" t="n"/>
      <c r="V750">
        <f>IF($A750="","",IF(COUNTIF($A$2:$A750,$A750)=1,1,0))</f>
        <v/>
      </c>
      <c r="W750">
        <f>IF($V750=1,SUMPRODUCT(--($Y$2:$Y$1501&lt;$Y750))+1,"")</f>
        <v/>
      </c>
      <c r="X750">
        <f>IF($A750="","",IF(OR($T750=TRUE(),$T750="TRUE"),1,0))</f>
        <v/>
      </c>
      <c r="Y750">
        <f>IF($V750=1,IFERROR(IF(VALUE($A750)&lt;100000000,VALUE($A750),1000000000),IFERROR(IF(VALUE(MID($A750,2,20))&lt;100000000,VALUE(MID($A750,2,20)),1000000000),1000000000))+ROW()/100000,"")</f>
        <v/>
      </c>
    </row>
    <row r="751">
      <c r="F751" s="7">
        <f>IF($A751="","",E751*L751/100)</f>
        <v/>
      </c>
      <c r="J751" s="7" t="n"/>
      <c r="K751" s="7">
        <f>IF($A751="","",N751*U751/100)</f>
        <v/>
      </c>
      <c r="L751" s="7">
        <f>IF($A751="","",N751-K751)</f>
        <v/>
      </c>
      <c r="M751" s="7">
        <f>IF($A751="","",L751-F751)</f>
        <v/>
      </c>
      <c r="N751" s="7" t="n"/>
      <c r="O751" s="7" t="n"/>
      <c r="P751" s="7" t="n"/>
      <c r="R751" s="14" t="n"/>
      <c r="V751">
        <f>IF($A751="","",IF(COUNTIF($A$2:$A751,$A751)=1,1,0))</f>
        <v/>
      </c>
      <c r="W751">
        <f>IF($V751=1,SUMPRODUCT(--($Y$2:$Y$1501&lt;$Y751))+1,"")</f>
        <v/>
      </c>
      <c r="X751">
        <f>IF($A751="","",IF(OR($T751=TRUE(),$T751="TRUE"),1,0))</f>
        <v/>
      </c>
      <c r="Y751">
        <f>IF($V751=1,IFERROR(IF(VALUE($A751)&lt;100000000,VALUE($A751),1000000000),IFERROR(IF(VALUE(MID($A751,2,20))&lt;100000000,VALUE(MID($A751,2,20)),1000000000),1000000000))+ROW()/100000,"")</f>
        <v/>
      </c>
    </row>
    <row r="752">
      <c r="F752" s="7">
        <f>IF($A752="","",E752*L752/100)</f>
        <v/>
      </c>
      <c r="J752" s="7" t="n"/>
      <c r="K752" s="7">
        <f>IF($A752="","",N752*U752/100)</f>
        <v/>
      </c>
      <c r="L752" s="7">
        <f>IF($A752="","",N752-K752)</f>
        <v/>
      </c>
      <c r="M752" s="7">
        <f>IF($A752="","",L752-F752)</f>
        <v/>
      </c>
      <c r="N752" s="7" t="n"/>
      <c r="O752" s="7" t="n"/>
      <c r="P752" s="7" t="n"/>
      <c r="R752" s="14" t="n"/>
      <c r="V752">
        <f>IF($A752="","",IF(COUNTIF($A$2:$A752,$A752)=1,1,0))</f>
        <v/>
      </c>
      <c r="W752">
        <f>IF($V752=1,SUMPRODUCT(--($Y$2:$Y$1501&lt;$Y752))+1,"")</f>
        <v/>
      </c>
      <c r="X752">
        <f>IF($A752="","",IF(OR($T752=TRUE(),$T752="TRUE"),1,0))</f>
        <v/>
      </c>
      <c r="Y752">
        <f>IF($V752=1,IFERROR(IF(VALUE($A752)&lt;100000000,VALUE($A752),1000000000),IFERROR(IF(VALUE(MID($A752,2,20))&lt;100000000,VALUE(MID($A752,2,20)),1000000000),1000000000))+ROW()/100000,"")</f>
        <v/>
      </c>
    </row>
    <row r="753">
      <c r="F753" s="7">
        <f>IF($A753="","",E753*L753/100)</f>
        <v/>
      </c>
      <c r="J753" s="7" t="n"/>
      <c r="K753" s="7">
        <f>IF($A753="","",N753*U753/100)</f>
        <v/>
      </c>
      <c r="L753" s="7">
        <f>IF($A753="","",N753-K753)</f>
        <v/>
      </c>
      <c r="M753" s="7">
        <f>IF($A753="","",L753-F753)</f>
        <v/>
      </c>
      <c r="N753" s="7" t="n"/>
      <c r="O753" s="7" t="n"/>
      <c r="P753" s="7" t="n"/>
      <c r="R753" s="14" t="n"/>
      <c r="V753">
        <f>IF($A753="","",IF(COUNTIF($A$2:$A753,$A753)=1,1,0))</f>
        <v/>
      </c>
      <c r="W753">
        <f>IF($V753=1,SUMPRODUCT(--($Y$2:$Y$1501&lt;$Y753))+1,"")</f>
        <v/>
      </c>
      <c r="X753">
        <f>IF($A753="","",IF(OR($T753=TRUE(),$T753="TRUE"),1,0))</f>
        <v/>
      </c>
      <c r="Y753">
        <f>IF($V753=1,IFERROR(IF(VALUE($A753)&lt;100000000,VALUE($A753),1000000000),IFERROR(IF(VALUE(MID($A753,2,20))&lt;100000000,VALUE(MID($A753,2,20)),1000000000),1000000000))+ROW()/100000,"")</f>
        <v/>
      </c>
    </row>
    <row r="754">
      <c r="F754" s="7">
        <f>IF($A754="","",E754*L754/100)</f>
        <v/>
      </c>
      <c r="J754" s="7" t="n"/>
      <c r="K754" s="7">
        <f>IF($A754="","",N754*U754/100)</f>
        <v/>
      </c>
      <c r="L754" s="7">
        <f>IF($A754="","",N754-K754)</f>
        <v/>
      </c>
      <c r="M754" s="7">
        <f>IF($A754="","",L754-F754)</f>
        <v/>
      </c>
      <c r="N754" s="7" t="n"/>
      <c r="O754" s="7" t="n"/>
      <c r="P754" s="7" t="n"/>
      <c r="R754" s="14" t="n"/>
      <c r="V754">
        <f>IF($A754="","",IF(COUNTIF($A$2:$A754,$A754)=1,1,0))</f>
        <v/>
      </c>
      <c r="W754">
        <f>IF($V754=1,SUMPRODUCT(--($Y$2:$Y$1501&lt;$Y754))+1,"")</f>
        <v/>
      </c>
      <c r="X754">
        <f>IF($A754="","",IF(OR($T754=TRUE(),$T754="TRUE"),1,0))</f>
        <v/>
      </c>
      <c r="Y754">
        <f>IF($V754=1,IFERROR(IF(VALUE($A754)&lt;100000000,VALUE($A754),1000000000),IFERROR(IF(VALUE(MID($A754,2,20))&lt;100000000,VALUE(MID($A754,2,20)),1000000000),1000000000))+ROW()/100000,"")</f>
        <v/>
      </c>
    </row>
    <row r="755">
      <c r="F755" s="7">
        <f>IF($A755="","",E755*L755/100)</f>
        <v/>
      </c>
      <c r="J755" s="7" t="n"/>
      <c r="K755" s="7">
        <f>IF($A755="","",N755*U755/100)</f>
        <v/>
      </c>
      <c r="L755" s="7">
        <f>IF($A755="","",N755-K755)</f>
        <v/>
      </c>
      <c r="M755" s="7">
        <f>IF($A755="","",L755-F755)</f>
        <v/>
      </c>
      <c r="N755" s="7" t="n"/>
      <c r="O755" s="7" t="n"/>
      <c r="P755" s="7" t="n"/>
      <c r="R755" s="14" t="n"/>
      <c r="V755">
        <f>IF($A755="","",IF(COUNTIF($A$2:$A755,$A755)=1,1,0))</f>
        <v/>
      </c>
      <c r="W755">
        <f>IF($V755=1,SUMPRODUCT(--($Y$2:$Y$1501&lt;$Y755))+1,"")</f>
        <v/>
      </c>
      <c r="X755">
        <f>IF($A755="","",IF(OR($T755=TRUE(),$T755="TRUE"),1,0))</f>
        <v/>
      </c>
      <c r="Y755">
        <f>IF($V755=1,IFERROR(IF(VALUE($A755)&lt;100000000,VALUE($A755),1000000000),IFERROR(IF(VALUE(MID($A755,2,20))&lt;100000000,VALUE(MID($A755,2,20)),1000000000),1000000000))+ROW()/100000,"")</f>
        <v/>
      </c>
    </row>
    <row r="756">
      <c r="F756" s="7">
        <f>IF($A756="","",E756*L756/100)</f>
        <v/>
      </c>
      <c r="J756" s="7" t="n"/>
      <c r="K756" s="7">
        <f>IF($A756="","",N756*U756/100)</f>
        <v/>
      </c>
      <c r="L756" s="7">
        <f>IF($A756="","",N756-K756)</f>
        <v/>
      </c>
      <c r="M756" s="7">
        <f>IF($A756="","",L756-F756)</f>
        <v/>
      </c>
      <c r="N756" s="7" t="n"/>
      <c r="O756" s="7" t="n"/>
      <c r="P756" s="7" t="n"/>
      <c r="R756" s="14" t="n"/>
      <c r="V756">
        <f>IF($A756="","",IF(COUNTIF($A$2:$A756,$A756)=1,1,0))</f>
        <v/>
      </c>
      <c r="W756">
        <f>IF($V756=1,SUMPRODUCT(--($Y$2:$Y$1501&lt;$Y756))+1,"")</f>
        <v/>
      </c>
      <c r="X756">
        <f>IF($A756="","",IF(OR($T756=TRUE(),$T756="TRUE"),1,0))</f>
        <v/>
      </c>
      <c r="Y756">
        <f>IF($V756=1,IFERROR(IF(VALUE($A756)&lt;100000000,VALUE($A756),1000000000),IFERROR(IF(VALUE(MID($A756,2,20))&lt;100000000,VALUE(MID($A756,2,20)),1000000000),1000000000))+ROW()/100000,"")</f>
        <v/>
      </c>
    </row>
    <row r="757">
      <c r="F757" s="7">
        <f>IF($A757="","",E757*L757/100)</f>
        <v/>
      </c>
      <c r="J757" s="7" t="n"/>
      <c r="K757" s="7">
        <f>IF($A757="","",N757*U757/100)</f>
        <v/>
      </c>
      <c r="L757" s="7">
        <f>IF($A757="","",N757-K757)</f>
        <v/>
      </c>
      <c r="M757" s="7">
        <f>IF($A757="","",L757-F757)</f>
        <v/>
      </c>
      <c r="N757" s="7" t="n"/>
      <c r="O757" s="7" t="n"/>
      <c r="P757" s="7" t="n"/>
      <c r="R757" s="14" t="n"/>
      <c r="V757">
        <f>IF($A757="","",IF(COUNTIF($A$2:$A757,$A757)=1,1,0))</f>
        <v/>
      </c>
      <c r="W757">
        <f>IF($V757=1,SUMPRODUCT(--($Y$2:$Y$1501&lt;$Y757))+1,"")</f>
        <v/>
      </c>
      <c r="X757">
        <f>IF($A757="","",IF(OR($T757=TRUE(),$T757="TRUE"),1,0))</f>
        <v/>
      </c>
      <c r="Y757">
        <f>IF($V757=1,IFERROR(IF(VALUE($A757)&lt;100000000,VALUE($A757),1000000000),IFERROR(IF(VALUE(MID($A757,2,20))&lt;100000000,VALUE(MID($A757,2,20)),1000000000),1000000000))+ROW()/100000,"")</f>
        <v/>
      </c>
    </row>
    <row r="758">
      <c r="F758" s="7">
        <f>IF($A758="","",E758*L758/100)</f>
        <v/>
      </c>
      <c r="J758" s="7" t="n"/>
      <c r="K758" s="7">
        <f>IF($A758="","",N758*U758/100)</f>
        <v/>
      </c>
      <c r="L758" s="7">
        <f>IF($A758="","",N758-K758)</f>
        <v/>
      </c>
      <c r="M758" s="7">
        <f>IF($A758="","",L758-F758)</f>
        <v/>
      </c>
      <c r="N758" s="7" t="n"/>
      <c r="O758" s="7" t="n"/>
      <c r="P758" s="7" t="n"/>
      <c r="R758" s="14" t="n"/>
      <c r="V758">
        <f>IF($A758="","",IF(COUNTIF($A$2:$A758,$A758)=1,1,0))</f>
        <v/>
      </c>
      <c r="W758">
        <f>IF($V758=1,SUMPRODUCT(--($Y$2:$Y$1501&lt;$Y758))+1,"")</f>
        <v/>
      </c>
      <c r="X758">
        <f>IF($A758="","",IF(OR($T758=TRUE(),$T758="TRUE"),1,0))</f>
        <v/>
      </c>
      <c r="Y758">
        <f>IF($V758=1,IFERROR(IF(VALUE($A758)&lt;100000000,VALUE($A758),1000000000),IFERROR(IF(VALUE(MID($A758,2,20))&lt;100000000,VALUE(MID($A758,2,20)),1000000000),1000000000))+ROW()/100000,"")</f>
        <v/>
      </c>
    </row>
    <row r="759">
      <c r="F759" s="7">
        <f>IF($A759="","",E759*L759/100)</f>
        <v/>
      </c>
      <c r="J759" s="7" t="n"/>
      <c r="K759" s="7">
        <f>IF($A759="","",N759*U759/100)</f>
        <v/>
      </c>
      <c r="L759" s="7">
        <f>IF($A759="","",N759-K759)</f>
        <v/>
      </c>
      <c r="M759" s="7">
        <f>IF($A759="","",L759-F759)</f>
        <v/>
      </c>
      <c r="N759" s="7" t="n"/>
      <c r="O759" s="7" t="n"/>
      <c r="P759" s="7" t="n"/>
      <c r="R759" s="14" t="n"/>
      <c r="V759">
        <f>IF($A759="","",IF(COUNTIF($A$2:$A759,$A759)=1,1,0))</f>
        <v/>
      </c>
      <c r="W759">
        <f>IF($V759=1,SUMPRODUCT(--($Y$2:$Y$1501&lt;$Y759))+1,"")</f>
        <v/>
      </c>
      <c r="X759">
        <f>IF($A759="","",IF(OR($T759=TRUE(),$T759="TRUE"),1,0))</f>
        <v/>
      </c>
      <c r="Y759">
        <f>IF($V759=1,IFERROR(IF(VALUE($A759)&lt;100000000,VALUE($A759),1000000000),IFERROR(IF(VALUE(MID($A759,2,20))&lt;100000000,VALUE(MID($A759,2,20)),1000000000),1000000000))+ROW()/100000,"")</f>
        <v/>
      </c>
    </row>
    <row r="760">
      <c r="F760" s="7">
        <f>IF($A760="","",E760*L760/100)</f>
        <v/>
      </c>
      <c r="J760" s="7" t="n"/>
      <c r="K760" s="7">
        <f>IF($A760="","",N760*U760/100)</f>
        <v/>
      </c>
      <c r="L760" s="7">
        <f>IF($A760="","",N760-K760)</f>
        <v/>
      </c>
      <c r="M760" s="7">
        <f>IF($A760="","",L760-F760)</f>
        <v/>
      </c>
      <c r="N760" s="7" t="n"/>
      <c r="O760" s="7" t="n"/>
      <c r="P760" s="7" t="n"/>
      <c r="R760" s="14" t="n"/>
      <c r="V760">
        <f>IF($A760="","",IF(COUNTIF($A$2:$A760,$A760)=1,1,0))</f>
        <v/>
      </c>
      <c r="W760">
        <f>IF($V760=1,SUMPRODUCT(--($Y$2:$Y$1501&lt;$Y760))+1,"")</f>
        <v/>
      </c>
      <c r="X760">
        <f>IF($A760="","",IF(OR($T760=TRUE(),$T760="TRUE"),1,0))</f>
        <v/>
      </c>
      <c r="Y760">
        <f>IF($V760=1,IFERROR(IF(VALUE($A760)&lt;100000000,VALUE($A760),1000000000),IFERROR(IF(VALUE(MID($A760,2,20))&lt;100000000,VALUE(MID($A760,2,20)),1000000000),1000000000))+ROW()/100000,"")</f>
        <v/>
      </c>
    </row>
    <row r="761">
      <c r="F761" s="7">
        <f>IF($A761="","",E761*L761/100)</f>
        <v/>
      </c>
      <c r="J761" s="7" t="n"/>
      <c r="K761" s="7">
        <f>IF($A761="","",N761*U761/100)</f>
        <v/>
      </c>
      <c r="L761" s="7">
        <f>IF($A761="","",N761-K761)</f>
        <v/>
      </c>
      <c r="M761" s="7">
        <f>IF($A761="","",L761-F761)</f>
        <v/>
      </c>
      <c r="N761" s="7" t="n"/>
      <c r="O761" s="7" t="n"/>
      <c r="P761" s="7" t="n"/>
      <c r="R761" s="14" t="n"/>
      <c r="V761">
        <f>IF($A761="","",IF(COUNTIF($A$2:$A761,$A761)=1,1,0))</f>
        <v/>
      </c>
      <c r="W761">
        <f>IF($V761=1,SUMPRODUCT(--($Y$2:$Y$1501&lt;$Y761))+1,"")</f>
        <v/>
      </c>
      <c r="X761">
        <f>IF($A761="","",IF(OR($T761=TRUE(),$T761="TRUE"),1,0))</f>
        <v/>
      </c>
      <c r="Y761">
        <f>IF($V761=1,IFERROR(IF(VALUE($A761)&lt;100000000,VALUE($A761),1000000000),IFERROR(IF(VALUE(MID($A761,2,20))&lt;100000000,VALUE(MID($A761,2,20)),1000000000),1000000000))+ROW()/100000,"")</f>
        <v/>
      </c>
    </row>
    <row r="762">
      <c r="F762" s="7">
        <f>IF($A762="","",E762*L762/100)</f>
        <v/>
      </c>
      <c r="J762" s="7" t="n"/>
      <c r="K762" s="7">
        <f>IF($A762="","",N762*U762/100)</f>
        <v/>
      </c>
      <c r="L762" s="7">
        <f>IF($A762="","",N762-K762)</f>
        <v/>
      </c>
      <c r="M762" s="7">
        <f>IF($A762="","",L762-F762)</f>
        <v/>
      </c>
      <c r="N762" s="7" t="n"/>
      <c r="O762" s="7" t="n"/>
      <c r="P762" s="7" t="n"/>
      <c r="R762" s="14" t="n"/>
      <c r="V762">
        <f>IF($A762="","",IF(COUNTIF($A$2:$A762,$A762)=1,1,0))</f>
        <v/>
      </c>
      <c r="W762">
        <f>IF($V762=1,SUMPRODUCT(--($Y$2:$Y$1501&lt;$Y762))+1,"")</f>
        <v/>
      </c>
      <c r="X762">
        <f>IF($A762="","",IF(OR($T762=TRUE(),$T762="TRUE"),1,0))</f>
        <v/>
      </c>
      <c r="Y762">
        <f>IF($V762=1,IFERROR(IF(VALUE($A762)&lt;100000000,VALUE($A762),1000000000),IFERROR(IF(VALUE(MID($A762,2,20))&lt;100000000,VALUE(MID($A762,2,20)),1000000000),1000000000))+ROW()/100000,"")</f>
        <v/>
      </c>
    </row>
    <row r="763">
      <c r="F763" s="7">
        <f>IF($A763="","",E763*L763/100)</f>
        <v/>
      </c>
      <c r="J763" s="7" t="n"/>
      <c r="K763" s="7">
        <f>IF($A763="","",N763*U763/100)</f>
        <v/>
      </c>
      <c r="L763" s="7">
        <f>IF($A763="","",N763-K763)</f>
        <v/>
      </c>
      <c r="M763" s="7">
        <f>IF($A763="","",L763-F763)</f>
        <v/>
      </c>
      <c r="N763" s="7" t="n"/>
      <c r="O763" s="7" t="n"/>
      <c r="P763" s="7" t="n"/>
      <c r="R763" s="14" t="n"/>
      <c r="V763">
        <f>IF($A763="","",IF(COUNTIF($A$2:$A763,$A763)=1,1,0))</f>
        <v/>
      </c>
      <c r="W763">
        <f>IF($V763=1,SUMPRODUCT(--($Y$2:$Y$1501&lt;$Y763))+1,"")</f>
        <v/>
      </c>
      <c r="X763">
        <f>IF($A763="","",IF(OR($T763=TRUE(),$T763="TRUE"),1,0))</f>
        <v/>
      </c>
      <c r="Y763">
        <f>IF($V763=1,IFERROR(IF(VALUE($A763)&lt;100000000,VALUE($A763),1000000000),IFERROR(IF(VALUE(MID($A763,2,20))&lt;100000000,VALUE(MID($A763,2,20)),1000000000),1000000000))+ROW()/100000,"")</f>
        <v/>
      </c>
    </row>
    <row r="764">
      <c r="F764" s="7">
        <f>IF($A764="","",E764*L764/100)</f>
        <v/>
      </c>
      <c r="J764" s="7" t="n"/>
      <c r="K764" s="7">
        <f>IF($A764="","",N764*U764/100)</f>
        <v/>
      </c>
      <c r="L764" s="7">
        <f>IF($A764="","",N764-K764)</f>
        <v/>
      </c>
      <c r="M764" s="7">
        <f>IF($A764="","",L764-F764)</f>
        <v/>
      </c>
      <c r="N764" s="7" t="n"/>
      <c r="O764" s="7" t="n"/>
      <c r="P764" s="7" t="n"/>
      <c r="R764" s="14" t="n"/>
      <c r="V764">
        <f>IF($A764="","",IF(COUNTIF($A$2:$A764,$A764)=1,1,0))</f>
        <v/>
      </c>
      <c r="W764">
        <f>IF($V764=1,SUMPRODUCT(--($Y$2:$Y$1501&lt;$Y764))+1,"")</f>
        <v/>
      </c>
      <c r="X764">
        <f>IF($A764="","",IF(OR($T764=TRUE(),$T764="TRUE"),1,0))</f>
        <v/>
      </c>
      <c r="Y764">
        <f>IF($V764=1,IFERROR(IF(VALUE($A764)&lt;100000000,VALUE($A764),1000000000),IFERROR(IF(VALUE(MID($A764,2,20))&lt;100000000,VALUE(MID($A764,2,20)),1000000000),1000000000))+ROW()/100000,"")</f>
        <v/>
      </c>
    </row>
    <row r="765">
      <c r="F765" s="7">
        <f>IF($A765="","",E765*L765/100)</f>
        <v/>
      </c>
      <c r="J765" s="7" t="n"/>
      <c r="K765" s="7">
        <f>IF($A765="","",N765*U765/100)</f>
        <v/>
      </c>
      <c r="L765" s="7">
        <f>IF($A765="","",N765-K765)</f>
        <v/>
      </c>
      <c r="M765" s="7">
        <f>IF($A765="","",L765-F765)</f>
        <v/>
      </c>
      <c r="N765" s="7" t="n"/>
      <c r="O765" s="7" t="n"/>
      <c r="P765" s="7" t="n"/>
      <c r="R765" s="14" t="n"/>
      <c r="V765">
        <f>IF($A765="","",IF(COUNTIF($A$2:$A765,$A765)=1,1,0))</f>
        <v/>
      </c>
      <c r="W765">
        <f>IF($V765=1,SUMPRODUCT(--($Y$2:$Y$1501&lt;$Y765))+1,"")</f>
        <v/>
      </c>
      <c r="X765">
        <f>IF($A765="","",IF(OR($T765=TRUE(),$T765="TRUE"),1,0))</f>
        <v/>
      </c>
      <c r="Y765">
        <f>IF($V765=1,IFERROR(IF(VALUE($A765)&lt;100000000,VALUE($A765),1000000000),IFERROR(IF(VALUE(MID($A765,2,20))&lt;100000000,VALUE(MID($A765,2,20)),1000000000),1000000000))+ROW()/100000,"")</f>
        <v/>
      </c>
    </row>
    <row r="766">
      <c r="F766" s="7">
        <f>IF($A766="","",E766*L766/100)</f>
        <v/>
      </c>
      <c r="J766" s="7" t="n"/>
      <c r="K766" s="7">
        <f>IF($A766="","",N766*U766/100)</f>
        <v/>
      </c>
      <c r="L766" s="7">
        <f>IF($A766="","",N766-K766)</f>
        <v/>
      </c>
      <c r="M766" s="7">
        <f>IF($A766="","",L766-F766)</f>
        <v/>
      </c>
      <c r="N766" s="7" t="n"/>
      <c r="O766" s="7" t="n"/>
      <c r="P766" s="7" t="n"/>
      <c r="R766" s="14" t="n"/>
      <c r="V766">
        <f>IF($A766="","",IF(COUNTIF($A$2:$A766,$A766)=1,1,0))</f>
        <v/>
      </c>
      <c r="W766">
        <f>IF($V766=1,SUMPRODUCT(--($Y$2:$Y$1501&lt;$Y766))+1,"")</f>
        <v/>
      </c>
      <c r="X766">
        <f>IF($A766="","",IF(OR($T766=TRUE(),$T766="TRUE"),1,0))</f>
        <v/>
      </c>
      <c r="Y766">
        <f>IF($V766=1,IFERROR(IF(VALUE($A766)&lt;100000000,VALUE($A766),1000000000),IFERROR(IF(VALUE(MID($A766,2,20))&lt;100000000,VALUE(MID($A766,2,20)),1000000000),1000000000))+ROW()/100000,"")</f>
        <v/>
      </c>
    </row>
    <row r="767">
      <c r="F767" s="7">
        <f>IF($A767="","",E767*L767/100)</f>
        <v/>
      </c>
      <c r="J767" s="7" t="n"/>
      <c r="K767" s="7">
        <f>IF($A767="","",N767*U767/100)</f>
        <v/>
      </c>
      <c r="L767" s="7">
        <f>IF($A767="","",N767-K767)</f>
        <v/>
      </c>
      <c r="M767" s="7">
        <f>IF($A767="","",L767-F767)</f>
        <v/>
      </c>
      <c r="N767" s="7" t="n"/>
      <c r="O767" s="7" t="n"/>
      <c r="P767" s="7" t="n"/>
      <c r="R767" s="14" t="n"/>
      <c r="V767">
        <f>IF($A767="","",IF(COUNTIF($A$2:$A767,$A767)=1,1,0))</f>
        <v/>
      </c>
      <c r="W767">
        <f>IF($V767=1,SUMPRODUCT(--($Y$2:$Y$1501&lt;$Y767))+1,"")</f>
        <v/>
      </c>
      <c r="X767">
        <f>IF($A767="","",IF(OR($T767=TRUE(),$T767="TRUE"),1,0))</f>
        <v/>
      </c>
      <c r="Y767">
        <f>IF($V767=1,IFERROR(IF(VALUE($A767)&lt;100000000,VALUE($A767),1000000000),IFERROR(IF(VALUE(MID($A767,2,20))&lt;100000000,VALUE(MID($A767,2,20)),1000000000),1000000000))+ROW()/100000,"")</f>
        <v/>
      </c>
    </row>
    <row r="768">
      <c r="F768" s="7">
        <f>IF($A768="","",E768*L768/100)</f>
        <v/>
      </c>
      <c r="J768" s="7" t="n"/>
      <c r="K768" s="7">
        <f>IF($A768="","",N768*U768/100)</f>
        <v/>
      </c>
      <c r="L768" s="7">
        <f>IF($A768="","",N768-K768)</f>
        <v/>
      </c>
      <c r="M768" s="7">
        <f>IF($A768="","",L768-F768)</f>
        <v/>
      </c>
      <c r="N768" s="7" t="n"/>
      <c r="O768" s="7" t="n"/>
      <c r="P768" s="7" t="n"/>
      <c r="R768" s="14" t="n"/>
      <c r="V768">
        <f>IF($A768="","",IF(COUNTIF($A$2:$A768,$A768)=1,1,0))</f>
        <v/>
      </c>
      <c r="W768">
        <f>IF($V768=1,SUMPRODUCT(--($Y$2:$Y$1501&lt;$Y768))+1,"")</f>
        <v/>
      </c>
      <c r="X768">
        <f>IF($A768="","",IF(OR($T768=TRUE(),$T768="TRUE"),1,0))</f>
        <v/>
      </c>
      <c r="Y768">
        <f>IF($V768=1,IFERROR(IF(VALUE($A768)&lt;100000000,VALUE($A768),1000000000),IFERROR(IF(VALUE(MID($A768,2,20))&lt;100000000,VALUE(MID($A768,2,20)),1000000000),1000000000))+ROW()/100000,"")</f>
        <v/>
      </c>
    </row>
    <row r="769">
      <c r="F769" s="7">
        <f>IF($A769="","",E769*L769/100)</f>
        <v/>
      </c>
      <c r="J769" s="7" t="n"/>
      <c r="K769" s="7">
        <f>IF($A769="","",N769*U769/100)</f>
        <v/>
      </c>
      <c r="L769" s="7">
        <f>IF($A769="","",N769-K769)</f>
        <v/>
      </c>
      <c r="M769" s="7">
        <f>IF($A769="","",L769-F769)</f>
        <v/>
      </c>
      <c r="N769" s="7" t="n"/>
      <c r="O769" s="7" t="n"/>
      <c r="P769" s="7" t="n"/>
      <c r="R769" s="14" t="n"/>
      <c r="V769">
        <f>IF($A769="","",IF(COUNTIF($A$2:$A769,$A769)=1,1,0))</f>
        <v/>
      </c>
      <c r="W769">
        <f>IF($V769=1,SUMPRODUCT(--($Y$2:$Y$1501&lt;$Y769))+1,"")</f>
        <v/>
      </c>
      <c r="X769">
        <f>IF($A769="","",IF(OR($T769=TRUE(),$T769="TRUE"),1,0))</f>
        <v/>
      </c>
      <c r="Y769">
        <f>IF($V769=1,IFERROR(IF(VALUE($A769)&lt;100000000,VALUE($A769),1000000000),IFERROR(IF(VALUE(MID($A769,2,20))&lt;100000000,VALUE(MID($A769,2,20)),1000000000),1000000000))+ROW()/100000,"")</f>
        <v/>
      </c>
    </row>
    <row r="770">
      <c r="F770" s="7">
        <f>IF($A770="","",E770*L770/100)</f>
        <v/>
      </c>
      <c r="J770" s="7" t="n"/>
      <c r="K770" s="7">
        <f>IF($A770="","",N770*U770/100)</f>
        <v/>
      </c>
      <c r="L770" s="7">
        <f>IF($A770="","",N770-K770)</f>
        <v/>
      </c>
      <c r="M770" s="7">
        <f>IF($A770="","",L770-F770)</f>
        <v/>
      </c>
      <c r="N770" s="7" t="n"/>
      <c r="O770" s="7" t="n"/>
      <c r="P770" s="7" t="n"/>
      <c r="R770" s="14" t="n"/>
      <c r="V770">
        <f>IF($A770="","",IF(COUNTIF($A$2:$A770,$A770)=1,1,0))</f>
        <v/>
      </c>
      <c r="W770">
        <f>IF($V770=1,SUMPRODUCT(--($Y$2:$Y$1501&lt;$Y770))+1,"")</f>
        <v/>
      </c>
      <c r="X770">
        <f>IF($A770="","",IF(OR($T770=TRUE(),$T770="TRUE"),1,0))</f>
        <v/>
      </c>
      <c r="Y770">
        <f>IF($V770=1,IFERROR(IF(VALUE($A770)&lt;100000000,VALUE($A770),1000000000),IFERROR(IF(VALUE(MID($A770,2,20))&lt;100000000,VALUE(MID($A770,2,20)),1000000000),1000000000))+ROW()/100000,"")</f>
        <v/>
      </c>
    </row>
    <row r="771">
      <c r="F771" s="7">
        <f>IF($A771="","",E771*L771/100)</f>
        <v/>
      </c>
      <c r="J771" s="7" t="n"/>
      <c r="K771" s="7">
        <f>IF($A771="","",N771*U771/100)</f>
        <v/>
      </c>
      <c r="L771" s="7">
        <f>IF($A771="","",N771-K771)</f>
        <v/>
      </c>
      <c r="M771" s="7">
        <f>IF($A771="","",L771-F771)</f>
        <v/>
      </c>
      <c r="N771" s="7" t="n"/>
      <c r="O771" s="7" t="n"/>
      <c r="P771" s="7" t="n"/>
      <c r="R771" s="14" t="n"/>
      <c r="V771">
        <f>IF($A771="","",IF(COUNTIF($A$2:$A771,$A771)=1,1,0))</f>
        <v/>
      </c>
      <c r="W771">
        <f>IF($V771=1,SUMPRODUCT(--($Y$2:$Y$1501&lt;$Y771))+1,"")</f>
        <v/>
      </c>
      <c r="X771">
        <f>IF($A771="","",IF(OR($T771=TRUE(),$T771="TRUE"),1,0))</f>
        <v/>
      </c>
      <c r="Y771">
        <f>IF($V771=1,IFERROR(IF(VALUE($A771)&lt;100000000,VALUE($A771),1000000000),IFERROR(IF(VALUE(MID($A771,2,20))&lt;100000000,VALUE(MID($A771,2,20)),1000000000),1000000000))+ROW()/100000,"")</f>
        <v/>
      </c>
    </row>
    <row r="772">
      <c r="F772" s="7">
        <f>IF($A772="","",E772*L772/100)</f>
        <v/>
      </c>
      <c r="J772" s="7" t="n"/>
      <c r="K772" s="7">
        <f>IF($A772="","",N772*U772/100)</f>
        <v/>
      </c>
      <c r="L772" s="7">
        <f>IF($A772="","",N772-K772)</f>
        <v/>
      </c>
      <c r="M772" s="7">
        <f>IF($A772="","",L772-F772)</f>
        <v/>
      </c>
      <c r="N772" s="7" t="n"/>
      <c r="O772" s="7" t="n"/>
      <c r="P772" s="7" t="n"/>
      <c r="R772" s="14" t="n"/>
      <c r="V772">
        <f>IF($A772="","",IF(COUNTIF($A$2:$A772,$A772)=1,1,0))</f>
        <v/>
      </c>
      <c r="W772">
        <f>IF($V772=1,SUMPRODUCT(--($Y$2:$Y$1501&lt;$Y772))+1,"")</f>
        <v/>
      </c>
      <c r="X772">
        <f>IF($A772="","",IF(OR($T772=TRUE(),$T772="TRUE"),1,0))</f>
        <v/>
      </c>
      <c r="Y772">
        <f>IF($V772=1,IFERROR(IF(VALUE($A772)&lt;100000000,VALUE($A772),1000000000),IFERROR(IF(VALUE(MID($A772,2,20))&lt;100000000,VALUE(MID($A772,2,20)),1000000000),1000000000))+ROW()/100000,"")</f>
        <v/>
      </c>
    </row>
    <row r="773">
      <c r="F773" s="7">
        <f>IF($A773="","",E773*L773/100)</f>
        <v/>
      </c>
      <c r="J773" s="7" t="n"/>
      <c r="K773" s="7">
        <f>IF($A773="","",N773*U773/100)</f>
        <v/>
      </c>
      <c r="L773" s="7">
        <f>IF($A773="","",N773-K773)</f>
        <v/>
      </c>
      <c r="M773" s="7">
        <f>IF($A773="","",L773-F773)</f>
        <v/>
      </c>
      <c r="N773" s="7" t="n"/>
      <c r="O773" s="7" t="n"/>
      <c r="P773" s="7" t="n"/>
      <c r="R773" s="14" t="n"/>
      <c r="V773">
        <f>IF($A773="","",IF(COUNTIF($A$2:$A773,$A773)=1,1,0))</f>
        <v/>
      </c>
      <c r="W773">
        <f>IF($V773=1,SUMPRODUCT(--($Y$2:$Y$1501&lt;$Y773))+1,"")</f>
        <v/>
      </c>
      <c r="X773">
        <f>IF($A773="","",IF(OR($T773=TRUE(),$T773="TRUE"),1,0))</f>
        <v/>
      </c>
      <c r="Y773">
        <f>IF($V773=1,IFERROR(IF(VALUE($A773)&lt;100000000,VALUE($A773),1000000000),IFERROR(IF(VALUE(MID($A773,2,20))&lt;100000000,VALUE(MID($A773,2,20)),1000000000),1000000000))+ROW()/100000,"")</f>
        <v/>
      </c>
    </row>
    <row r="774">
      <c r="F774" s="7">
        <f>IF($A774="","",E774*L774/100)</f>
        <v/>
      </c>
      <c r="J774" s="7" t="n"/>
      <c r="K774" s="7">
        <f>IF($A774="","",N774*U774/100)</f>
        <v/>
      </c>
      <c r="L774" s="7">
        <f>IF($A774="","",N774-K774)</f>
        <v/>
      </c>
      <c r="M774" s="7">
        <f>IF($A774="","",L774-F774)</f>
        <v/>
      </c>
      <c r="N774" s="7" t="n"/>
      <c r="O774" s="7" t="n"/>
      <c r="P774" s="7" t="n"/>
      <c r="R774" s="14" t="n"/>
      <c r="V774">
        <f>IF($A774="","",IF(COUNTIF($A$2:$A774,$A774)=1,1,0))</f>
        <v/>
      </c>
      <c r="W774">
        <f>IF($V774=1,SUMPRODUCT(--($Y$2:$Y$1501&lt;$Y774))+1,"")</f>
        <v/>
      </c>
      <c r="X774">
        <f>IF($A774="","",IF(OR($T774=TRUE(),$T774="TRUE"),1,0))</f>
        <v/>
      </c>
      <c r="Y774">
        <f>IF($V774=1,IFERROR(IF(VALUE($A774)&lt;100000000,VALUE($A774),1000000000),IFERROR(IF(VALUE(MID($A774,2,20))&lt;100000000,VALUE(MID($A774,2,20)),1000000000),1000000000))+ROW()/100000,"")</f>
        <v/>
      </c>
    </row>
    <row r="775">
      <c r="F775" s="7">
        <f>IF($A775="","",E775*L775/100)</f>
        <v/>
      </c>
      <c r="J775" s="7" t="n"/>
      <c r="K775" s="7">
        <f>IF($A775="","",N775*U775/100)</f>
        <v/>
      </c>
      <c r="L775" s="7">
        <f>IF($A775="","",N775-K775)</f>
        <v/>
      </c>
      <c r="M775" s="7">
        <f>IF($A775="","",L775-F775)</f>
        <v/>
      </c>
      <c r="N775" s="7" t="n"/>
      <c r="O775" s="7" t="n"/>
      <c r="P775" s="7" t="n"/>
      <c r="R775" s="14" t="n"/>
      <c r="V775">
        <f>IF($A775="","",IF(COUNTIF($A$2:$A775,$A775)=1,1,0))</f>
        <v/>
      </c>
      <c r="W775">
        <f>IF($V775=1,SUMPRODUCT(--($Y$2:$Y$1501&lt;$Y775))+1,"")</f>
        <v/>
      </c>
      <c r="X775">
        <f>IF($A775="","",IF(OR($T775=TRUE(),$T775="TRUE"),1,0))</f>
        <v/>
      </c>
      <c r="Y775">
        <f>IF($V775=1,IFERROR(IF(VALUE($A775)&lt;100000000,VALUE($A775),1000000000),IFERROR(IF(VALUE(MID($A775,2,20))&lt;100000000,VALUE(MID($A775,2,20)),1000000000),1000000000))+ROW()/100000,"")</f>
        <v/>
      </c>
    </row>
    <row r="776">
      <c r="F776" s="7">
        <f>IF($A776="","",E776*L776/100)</f>
        <v/>
      </c>
      <c r="J776" s="7" t="n"/>
      <c r="K776" s="7">
        <f>IF($A776="","",N776*U776/100)</f>
        <v/>
      </c>
      <c r="L776" s="7">
        <f>IF($A776="","",N776-K776)</f>
        <v/>
      </c>
      <c r="M776" s="7">
        <f>IF($A776="","",L776-F776)</f>
        <v/>
      </c>
      <c r="N776" s="7" t="n"/>
      <c r="O776" s="7" t="n"/>
      <c r="P776" s="7" t="n"/>
      <c r="R776" s="14" t="n"/>
      <c r="V776">
        <f>IF($A776="","",IF(COUNTIF($A$2:$A776,$A776)=1,1,0))</f>
        <v/>
      </c>
      <c r="W776">
        <f>IF($V776=1,SUMPRODUCT(--($Y$2:$Y$1501&lt;$Y776))+1,"")</f>
        <v/>
      </c>
      <c r="X776">
        <f>IF($A776="","",IF(OR($T776=TRUE(),$T776="TRUE"),1,0))</f>
        <v/>
      </c>
      <c r="Y776">
        <f>IF($V776=1,IFERROR(IF(VALUE($A776)&lt;100000000,VALUE($A776),1000000000),IFERROR(IF(VALUE(MID($A776,2,20))&lt;100000000,VALUE(MID($A776,2,20)),1000000000),1000000000))+ROW()/100000,"")</f>
        <v/>
      </c>
    </row>
    <row r="777">
      <c r="F777" s="7">
        <f>IF($A777="","",E777*L777/100)</f>
        <v/>
      </c>
      <c r="J777" s="7" t="n"/>
      <c r="K777" s="7">
        <f>IF($A777="","",N777*U777/100)</f>
        <v/>
      </c>
      <c r="L777" s="7">
        <f>IF($A777="","",N777-K777)</f>
        <v/>
      </c>
      <c r="M777" s="7">
        <f>IF($A777="","",L777-F777)</f>
        <v/>
      </c>
      <c r="N777" s="7" t="n"/>
      <c r="O777" s="7" t="n"/>
      <c r="P777" s="7" t="n"/>
      <c r="R777" s="14" t="n"/>
      <c r="V777">
        <f>IF($A777="","",IF(COUNTIF($A$2:$A777,$A777)=1,1,0))</f>
        <v/>
      </c>
      <c r="W777">
        <f>IF($V777=1,SUMPRODUCT(--($Y$2:$Y$1501&lt;$Y777))+1,"")</f>
        <v/>
      </c>
      <c r="X777">
        <f>IF($A777="","",IF(OR($T777=TRUE(),$T777="TRUE"),1,0))</f>
        <v/>
      </c>
      <c r="Y777">
        <f>IF($V777=1,IFERROR(IF(VALUE($A777)&lt;100000000,VALUE($A777),1000000000),IFERROR(IF(VALUE(MID($A777,2,20))&lt;100000000,VALUE(MID($A777,2,20)),1000000000),1000000000))+ROW()/100000,"")</f>
        <v/>
      </c>
    </row>
    <row r="778">
      <c r="F778" s="7">
        <f>IF($A778="","",E778*L778/100)</f>
        <v/>
      </c>
      <c r="J778" s="7" t="n"/>
      <c r="K778" s="7">
        <f>IF($A778="","",N778*U778/100)</f>
        <v/>
      </c>
      <c r="L778" s="7">
        <f>IF($A778="","",N778-K778)</f>
        <v/>
      </c>
      <c r="M778" s="7">
        <f>IF($A778="","",L778-F778)</f>
        <v/>
      </c>
      <c r="N778" s="7" t="n"/>
      <c r="O778" s="7" t="n"/>
      <c r="P778" s="7" t="n"/>
      <c r="R778" s="14" t="n"/>
      <c r="V778">
        <f>IF($A778="","",IF(COUNTIF($A$2:$A778,$A778)=1,1,0))</f>
        <v/>
      </c>
      <c r="W778">
        <f>IF($V778=1,SUMPRODUCT(--($Y$2:$Y$1501&lt;$Y778))+1,"")</f>
        <v/>
      </c>
      <c r="X778">
        <f>IF($A778="","",IF(OR($T778=TRUE(),$T778="TRUE"),1,0))</f>
        <v/>
      </c>
      <c r="Y778">
        <f>IF($V778=1,IFERROR(IF(VALUE($A778)&lt;100000000,VALUE($A778),1000000000),IFERROR(IF(VALUE(MID($A778,2,20))&lt;100000000,VALUE(MID($A778,2,20)),1000000000),1000000000))+ROW()/100000,"")</f>
        <v/>
      </c>
    </row>
    <row r="779">
      <c r="F779" s="7">
        <f>IF($A779="","",E779*L779/100)</f>
        <v/>
      </c>
      <c r="J779" s="7" t="n"/>
      <c r="K779" s="7">
        <f>IF($A779="","",N779*U779/100)</f>
        <v/>
      </c>
      <c r="L779" s="7">
        <f>IF($A779="","",N779-K779)</f>
        <v/>
      </c>
      <c r="M779" s="7">
        <f>IF($A779="","",L779-F779)</f>
        <v/>
      </c>
      <c r="N779" s="7" t="n"/>
      <c r="O779" s="7" t="n"/>
      <c r="P779" s="7" t="n"/>
      <c r="R779" s="14" t="n"/>
      <c r="V779">
        <f>IF($A779="","",IF(COUNTIF($A$2:$A779,$A779)=1,1,0))</f>
        <v/>
      </c>
      <c r="W779">
        <f>IF($V779=1,SUMPRODUCT(--($Y$2:$Y$1501&lt;$Y779))+1,"")</f>
        <v/>
      </c>
      <c r="X779">
        <f>IF($A779="","",IF(OR($T779=TRUE(),$T779="TRUE"),1,0))</f>
        <v/>
      </c>
      <c r="Y779">
        <f>IF($V779=1,IFERROR(IF(VALUE($A779)&lt;100000000,VALUE($A779),1000000000),IFERROR(IF(VALUE(MID($A779,2,20))&lt;100000000,VALUE(MID($A779,2,20)),1000000000),1000000000))+ROW()/100000,"")</f>
        <v/>
      </c>
    </row>
    <row r="780">
      <c r="F780" s="7">
        <f>IF($A780="","",E780*L780/100)</f>
        <v/>
      </c>
      <c r="J780" s="7" t="n"/>
      <c r="K780" s="7">
        <f>IF($A780="","",N780*U780/100)</f>
        <v/>
      </c>
      <c r="L780" s="7">
        <f>IF($A780="","",N780-K780)</f>
        <v/>
      </c>
      <c r="M780" s="7">
        <f>IF($A780="","",L780-F780)</f>
        <v/>
      </c>
      <c r="N780" s="7" t="n"/>
      <c r="O780" s="7" t="n"/>
      <c r="P780" s="7" t="n"/>
      <c r="R780" s="14" t="n"/>
      <c r="V780">
        <f>IF($A780="","",IF(COUNTIF($A$2:$A780,$A780)=1,1,0))</f>
        <v/>
      </c>
      <c r="W780">
        <f>IF($V780=1,SUMPRODUCT(--($Y$2:$Y$1501&lt;$Y780))+1,"")</f>
        <v/>
      </c>
      <c r="X780">
        <f>IF($A780="","",IF(OR($T780=TRUE(),$T780="TRUE"),1,0))</f>
        <v/>
      </c>
      <c r="Y780">
        <f>IF($V780=1,IFERROR(IF(VALUE($A780)&lt;100000000,VALUE($A780),1000000000),IFERROR(IF(VALUE(MID($A780,2,20))&lt;100000000,VALUE(MID($A780,2,20)),1000000000),1000000000))+ROW()/100000,"")</f>
        <v/>
      </c>
    </row>
    <row r="781">
      <c r="F781" s="7">
        <f>IF($A781="","",E781*L781/100)</f>
        <v/>
      </c>
      <c r="J781" s="7" t="n"/>
      <c r="K781" s="7">
        <f>IF($A781="","",N781*U781/100)</f>
        <v/>
      </c>
      <c r="L781" s="7">
        <f>IF($A781="","",N781-K781)</f>
        <v/>
      </c>
      <c r="M781" s="7">
        <f>IF($A781="","",L781-F781)</f>
        <v/>
      </c>
      <c r="N781" s="7" t="n"/>
      <c r="O781" s="7" t="n"/>
      <c r="P781" s="7" t="n"/>
      <c r="R781" s="14" t="n"/>
      <c r="V781">
        <f>IF($A781="","",IF(COUNTIF($A$2:$A781,$A781)=1,1,0))</f>
        <v/>
      </c>
      <c r="W781">
        <f>IF($V781=1,SUMPRODUCT(--($Y$2:$Y$1501&lt;$Y781))+1,"")</f>
        <v/>
      </c>
      <c r="X781">
        <f>IF($A781="","",IF(OR($T781=TRUE(),$T781="TRUE"),1,0))</f>
        <v/>
      </c>
      <c r="Y781">
        <f>IF($V781=1,IFERROR(IF(VALUE($A781)&lt;100000000,VALUE($A781),1000000000),IFERROR(IF(VALUE(MID($A781,2,20))&lt;100000000,VALUE(MID($A781,2,20)),1000000000),1000000000))+ROW()/100000,"")</f>
        <v/>
      </c>
    </row>
    <row r="782">
      <c r="F782" s="7">
        <f>IF($A782="","",E782*L782/100)</f>
        <v/>
      </c>
      <c r="J782" s="7" t="n"/>
      <c r="K782" s="7">
        <f>IF($A782="","",N782*U782/100)</f>
        <v/>
      </c>
      <c r="L782" s="7">
        <f>IF($A782="","",N782-K782)</f>
        <v/>
      </c>
      <c r="M782" s="7">
        <f>IF($A782="","",L782-F782)</f>
        <v/>
      </c>
      <c r="N782" s="7" t="n"/>
      <c r="O782" s="7" t="n"/>
      <c r="P782" s="7" t="n"/>
      <c r="R782" s="14" t="n"/>
      <c r="V782">
        <f>IF($A782="","",IF(COUNTIF($A$2:$A782,$A782)=1,1,0))</f>
        <v/>
      </c>
      <c r="W782">
        <f>IF($V782=1,SUMPRODUCT(--($Y$2:$Y$1501&lt;$Y782))+1,"")</f>
        <v/>
      </c>
      <c r="X782">
        <f>IF($A782="","",IF(OR($T782=TRUE(),$T782="TRUE"),1,0))</f>
        <v/>
      </c>
      <c r="Y782">
        <f>IF($V782=1,IFERROR(IF(VALUE($A782)&lt;100000000,VALUE($A782),1000000000),IFERROR(IF(VALUE(MID($A782,2,20))&lt;100000000,VALUE(MID($A782,2,20)),1000000000),1000000000))+ROW()/100000,"")</f>
        <v/>
      </c>
    </row>
    <row r="783">
      <c r="F783" s="7">
        <f>IF($A783="","",E783*L783/100)</f>
        <v/>
      </c>
      <c r="J783" s="7" t="n"/>
      <c r="K783" s="7">
        <f>IF($A783="","",N783*U783/100)</f>
        <v/>
      </c>
      <c r="L783" s="7">
        <f>IF($A783="","",N783-K783)</f>
        <v/>
      </c>
      <c r="M783" s="7">
        <f>IF($A783="","",L783-F783)</f>
        <v/>
      </c>
      <c r="N783" s="7" t="n"/>
      <c r="O783" s="7" t="n"/>
      <c r="P783" s="7" t="n"/>
      <c r="R783" s="14" t="n"/>
      <c r="V783">
        <f>IF($A783="","",IF(COUNTIF($A$2:$A783,$A783)=1,1,0))</f>
        <v/>
      </c>
      <c r="W783">
        <f>IF($V783=1,SUMPRODUCT(--($Y$2:$Y$1501&lt;$Y783))+1,"")</f>
        <v/>
      </c>
      <c r="X783">
        <f>IF($A783="","",IF(OR($T783=TRUE(),$T783="TRUE"),1,0))</f>
        <v/>
      </c>
      <c r="Y783">
        <f>IF($V783=1,IFERROR(IF(VALUE($A783)&lt;100000000,VALUE($A783),1000000000),IFERROR(IF(VALUE(MID($A783,2,20))&lt;100000000,VALUE(MID($A783,2,20)),1000000000),1000000000))+ROW()/100000,"")</f>
        <v/>
      </c>
    </row>
    <row r="784">
      <c r="F784" s="7">
        <f>IF($A784="","",E784*L784/100)</f>
        <v/>
      </c>
      <c r="J784" s="7" t="n"/>
      <c r="K784" s="7">
        <f>IF($A784="","",N784*U784/100)</f>
        <v/>
      </c>
      <c r="L784" s="7">
        <f>IF($A784="","",N784-K784)</f>
        <v/>
      </c>
      <c r="M784" s="7">
        <f>IF($A784="","",L784-F784)</f>
        <v/>
      </c>
      <c r="N784" s="7" t="n"/>
      <c r="O784" s="7" t="n"/>
      <c r="P784" s="7" t="n"/>
      <c r="R784" s="14" t="n"/>
      <c r="V784">
        <f>IF($A784="","",IF(COUNTIF($A$2:$A784,$A784)=1,1,0))</f>
        <v/>
      </c>
      <c r="W784">
        <f>IF($V784=1,SUMPRODUCT(--($Y$2:$Y$1501&lt;$Y784))+1,"")</f>
        <v/>
      </c>
      <c r="X784">
        <f>IF($A784="","",IF(OR($T784=TRUE(),$T784="TRUE"),1,0))</f>
        <v/>
      </c>
      <c r="Y784">
        <f>IF($V784=1,IFERROR(IF(VALUE($A784)&lt;100000000,VALUE($A784),1000000000),IFERROR(IF(VALUE(MID($A784,2,20))&lt;100000000,VALUE(MID($A784,2,20)),1000000000),1000000000))+ROW()/100000,"")</f>
        <v/>
      </c>
    </row>
    <row r="785">
      <c r="F785" s="7">
        <f>IF($A785="","",E785*L785/100)</f>
        <v/>
      </c>
      <c r="J785" s="7" t="n"/>
      <c r="K785" s="7">
        <f>IF($A785="","",N785*U785/100)</f>
        <v/>
      </c>
      <c r="L785" s="7">
        <f>IF($A785="","",N785-K785)</f>
        <v/>
      </c>
      <c r="M785" s="7">
        <f>IF($A785="","",L785-F785)</f>
        <v/>
      </c>
      <c r="N785" s="7" t="n"/>
      <c r="O785" s="7" t="n"/>
      <c r="P785" s="7" t="n"/>
      <c r="R785" s="14" t="n"/>
      <c r="V785">
        <f>IF($A785="","",IF(COUNTIF($A$2:$A785,$A785)=1,1,0))</f>
        <v/>
      </c>
      <c r="W785">
        <f>IF($V785=1,SUMPRODUCT(--($Y$2:$Y$1501&lt;$Y785))+1,"")</f>
        <v/>
      </c>
      <c r="X785">
        <f>IF($A785="","",IF(OR($T785=TRUE(),$T785="TRUE"),1,0))</f>
        <v/>
      </c>
      <c r="Y785">
        <f>IF($V785=1,IFERROR(IF(VALUE($A785)&lt;100000000,VALUE($A785),1000000000),IFERROR(IF(VALUE(MID($A785,2,20))&lt;100000000,VALUE(MID($A785,2,20)),1000000000),1000000000))+ROW()/100000,"")</f>
        <v/>
      </c>
    </row>
    <row r="786">
      <c r="F786" s="7">
        <f>IF($A786="","",E786*L786/100)</f>
        <v/>
      </c>
      <c r="J786" s="7" t="n"/>
      <c r="K786" s="7">
        <f>IF($A786="","",N786*U786/100)</f>
        <v/>
      </c>
      <c r="L786" s="7">
        <f>IF($A786="","",N786-K786)</f>
        <v/>
      </c>
      <c r="M786" s="7">
        <f>IF($A786="","",L786-F786)</f>
        <v/>
      </c>
      <c r="N786" s="7" t="n"/>
      <c r="O786" s="7" t="n"/>
      <c r="P786" s="7" t="n"/>
      <c r="R786" s="14" t="n"/>
      <c r="V786">
        <f>IF($A786="","",IF(COUNTIF($A$2:$A786,$A786)=1,1,0))</f>
        <v/>
      </c>
      <c r="W786">
        <f>IF($V786=1,SUMPRODUCT(--($Y$2:$Y$1501&lt;$Y786))+1,"")</f>
        <v/>
      </c>
      <c r="X786">
        <f>IF($A786="","",IF(OR($T786=TRUE(),$T786="TRUE"),1,0))</f>
        <v/>
      </c>
      <c r="Y786">
        <f>IF($V786=1,IFERROR(IF(VALUE($A786)&lt;100000000,VALUE($A786),1000000000),IFERROR(IF(VALUE(MID($A786,2,20))&lt;100000000,VALUE(MID($A786,2,20)),1000000000),1000000000))+ROW()/100000,"")</f>
        <v/>
      </c>
    </row>
    <row r="787">
      <c r="F787" s="7">
        <f>IF($A787="","",E787*L787/100)</f>
        <v/>
      </c>
      <c r="J787" s="7" t="n"/>
      <c r="K787" s="7">
        <f>IF($A787="","",N787*U787/100)</f>
        <v/>
      </c>
      <c r="L787" s="7">
        <f>IF($A787="","",N787-K787)</f>
        <v/>
      </c>
      <c r="M787" s="7">
        <f>IF($A787="","",L787-F787)</f>
        <v/>
      </c>
      <c r="N787" s="7" t="n"/>
      <c r="O787" s="7" t="n"/>
      <c r="P787" s="7" t="n"/>
      <c r="R787" s="14" t="n"/>
      <c r="V787">
        <f>IF($A787="","",IF(COUNTIF($A$2:$A787,$A787)=1,1,0))</f>
        <v/>
      </c>
      <c r="W787">
        <f>IF($V787=1,SUMPRODUCT(--($Y$2:$Y$1501&lt;$Y787))+1,"")</f>
        <v/>
      </c>
      <c r="X787">
        <f>IF($A787="","",IF(OR($T787=TRUE(),$T787="TRUE"),1,0))</f>
        <v/>
      </c>
      <c r="Y787">
        <f>IF($V787=1,IFERROR(IF(VALUE($A787)&lt;100000000,VALUE($A787),1000000000),IFERROR(IF(VALUE(MID($A787,2,20))&lt;100000000,VALUE(MID($A787,2,20)),1000000000),1000000000))+ROW()/100000,"")</f>
        <v/>
      </c>
    </row>
    <row r="788">
      <c r="F788" s="7">
        <f>IF($A788="","",E788*L788/100)</f>
        <v/>
      </c>
      <c r="J788" s="7" t="n"/>
      <c r="K788" s="7">
        <f>IF($A788="","",N788*U788/100)</f>
        <v/>
      </c>
      <c r="L788" s="7">
        <f>IF($A788="","",N788-K788)</f>
        <v/>
      </c>
      <c r="M788" s="7">
        <f>IF($A788="","",L788-F788)</f>
        <v/>
      </c>
      <c r="N788" s="7" t="n"/>
      <c r="O788" s="7" t="n"/>
      <c r="P788" s="7" t="n"/>
      <c r="R788" s="14" t="n"/>
      <c r="V788">
        <f>IF($A788="","",IF(COUNTIF($A$2:$A788,$A788)=1,1,0))</f>
        <v/>
      </c>
      <c r="W788">
        <f>IF($V788=1,SUMPRODUCT(--($Y$2:$Y$1501&lt;$Y788))+1,"")</f>
        <v/>
      </c>
      <c r="X788">
        <f>IF($A788="","",IF(OR($T788=TRUE(),$T788="TRUE"),1,0))</f>
        <v/>
      </c>
      <c r="Y788">
        <f>IF($V788=1,IFERROR(IF(VALUE($A788)&lt;100000000,VALUE($A788),1000000000),IFERROR(IF(VALUE(MID($A788,2,20))&lt;100000000,VALUE(MID($A788,2,20)),1000000000),1000000000))+ROW()/100000,"")</f>
        <v/>
      </c>
    </row>
    <row r="789">
      <c r="F789" s="7">
        <f>IF($A789="","",E789*L789/100)</f>
        <v/>
      </c>
      <c r="J789" s="7" t="n"/>
      <c r="K789" s="7">
        <f>IF($A789="","",N789*U789/100)</f>
        <v/>
      </c>
      <c r="L789" s="7">
        <f>IF($A789="","",N789-K789)</f>
        <v/>
      </c>
      <c r="M789" s="7">
        <f>IF($A789="","",L789-F789)</f>
        <v/>
      </c>
      <c r="N789" s="7" t="n"/>
      <c r="O789" s="7" t="n"/>
      <c r="P789" s="7" t="n"/>
      <c r="R789" s="14" t="n"/>
      <c r="V789">
        <f>IF($A789="","",IF(COUNTIF($A$2:$A789,$A789)=1,1,0))</f>
        <v/>
      </c>
      <c r="W789">
        <f>IF($V789=1,SUMPRODUCT(--($Y$2:$Y$1501&lt;$Y789))+1,"")</f>
        <v/>
      </c>
      <c r="X789">
        <f>IF($A789="","",IF(OR($T789=TRUE(),$T789="TRUE"),1,0))</f>
        <v/>
      </c>
      <c r="Y789">
        <f>IF($V789=1,IFERROR(IF(VALUE($A789)&lt;100000000,VALUE($A789),1000000000),IFERROR(IF(VALUE(MID($A789,2,20))&lt;100000000,VALUE(MID($A789,2,20)),1000000000),1000000000))+ROW()/100000,"")</f>
        <v/>
      </c>
    </row>
    <row r="790">
      <c r="F790" s="7">
        <f>IF($A790="","",E790*L790/100)</f>
        <v/>
      </c>
      <c r="J790" s="7" t="n"/>
      <c r="K790" s="7">
        <f>IF($A790="","",N790*U790/100)</f>
        <v/>
      </c>
      <c r="L790" s="7">
        <f>IF($A790="","",N790-K790)</f>
        <v/>
      </c>
      <c r="M790" s="7">
        <f>IF($A790="","",L790-F790)</f>
        <v/>
      </c>
      <c r="N790" s="7" t="n"/>
      <c r="O790" s="7" t="n"/>
      <c r="P790" s="7" t="n"/>
      <c r="R790" s="14" t="n"/>
      <c r="V790">
        <f>IF($A790="","",IF(COUNTIF($A$2:$A790,$A790)=1,1,0))</f>
        <v/>
      </c>
      <c r="W790">
        <f>IF($V790=1,SUMPRODUCT(--($Y$2:$Y$1501&lt;$Y790))+1,"")</f>
        <v/>
      </c>
      <c r="X790">
        <f>IF($A790="","",IF(OR($T790=TRUE(),$T790="TRUE"),1,0))</f>
        <v/>
      </c>
      <c r="Y790">
        <f>IF($V790=1,IFERROR(IF(VALUE($A790)&lt;100000000,VALUE($A790),1000000000),IFERROR(IF(VALUE(MID($A790,2,20))&lt;100000000,VALUE(MID($A790,2,20)),1000000000),1000000000))+ROW()/100000,"")</f>
        <v/>
      </c>
    </row>
    <row r="791">
      <c r="F791" s="7">
        <f>IF($A791="","",E791*L791/100)</f>
        <v/>
      </c>
      <c r="J791" s="7" t="n"/>
      <c r="K791" s="7">
        <f>IF($A791="","",N791*U791/100)</f>
        <v/>
      </c>
      <c r="L791" s="7">
        <f>IF($A791="","",N791-K791)</f>
        <v/>
      </c>
      <c r="M791" s="7">
        <f>IF($A791="","",L791-F791)</f>
        <v/>
      </c>
      <c r="N791" s="7" t="n"/>
      <c r="O791" s="7" t="n"/>
      <c r="P791" s="7" t="n"/>
      <c r="R791" s="14" t="n"/>
      <c r="V791">
        <f>IF($A791="","",IF(COUNTIF($A$2:$A791,$A791)=1,1,0))</f>
        <v/>
      </c>
      <c r="W791">
        <f>IF($V791=1,SUMPRODUCT(--($Y$2:$Y$1501&lt;$Y791))+1,"")</f>
        <v/>
      </c>
      <c r="X791">
        <f>IF($A791="","",IF(OR($T791=TRUE(),$T791="TRUE"),1,0))</f>
        <v/>
      </c>
      <c r="Y791">
        <f>IF($V791=1,IFERROR(IF(VALUE($A791)&lt;100000000,VALUE($A791),1000000000),IFERROR(IF(VALUE(MID($A791,2,20))&lt;100000000,VALUE(MID($A791,2,20)),1000000000),1000000000))+ROW()/100000,"")</f>
        <v/>
      </c>
    </row>
    <row r="792">
      <c r="F792" s="7">
        <f>IF($A792="","",E792*L792/100)</f>
        <v/>
      </c>
      <c r="J792" s="7" t="n"/>
      <c r="K792" s="7">
        <f>IF($A792="","",N792*U792/100)</f>
        <v/>
      </c>
      <c r="L792" s="7">
        <f>IF($A792="","",N792-K792)</f>
        <v/>
      </c>
      <c r="M792" s="7">
        <f>IF($A792="","",L792-F792)</f>
        <v/>
      </c>
      <c r="N792" s="7" t="n"/>
      <c r="O792" s="7" t="n"/>
      <c r="P792" s="7" t="n"/>
      <c r="R792" s="14" t="n"/>
      <c r="V792">
        <f>IF($A792="","",IF(COUNTIF($A$2:$A792,$A792)=1,1,0))</f>
        <v/>
      </c>
      <c r="W792">
        <f>IF($V792=1,SUMPRODUCT(--($Y$2:$Y$1501&lt;$Y792))+1,"")</f>
        <v/>
      </c>
      <c r="X792">
        <f>IF($A792="","",IF(OR($T792=TRUE(),$T792="TRUE"),1,0))</f>
        <v/>
      </c>
      <c r="Y792">
        <f>IF($V792=1,IFERROR(IF(VALUE($A792)&lt;100000000,VALUE($A792),1000000000),IFERROR(IF(VALUE(MID($A792,2,20))&lt;100000000,VALUE(MID($A792,2,20)),1000000000),1000000000))+ROW()/100000,"")</f>
        <v/>
      </c>
    </row>
    <row r="793">
      <c r="F793" s="7">
        <f>IF($A793="","",E793*L793/100)</f>
        <v/>
      </c>
      <c r="J793" s="7" t="n"/>
      <c r="K793" s="7">
        <f>IF($A793="","",N793*U793/100)</f>
        <v/>
      </c>
      <c r="L793" s="7">
        <f>IF($A793="","",N793-K793)</f>
        <v/>
      </c>
      <c r="M793" s="7">
        <f>IF($A793="","",L793-F793)</f>
        <v/>
      </c>
      <c r="N793" s="7" t="n"/>
      <c r="O793" s="7" t="n"/>
      <c r="P793" s="7" t="n"/>
      <c r="R793" s="14" t="n"/>
      <c r="V793">
        <f>IF($A793="","",IF(COUNTIF($A$2:$A793,$A793)=1,1,0))</f>
        <v/>
      </c>
      <c r="W793">
        <f>IF($V793=1,SUMPRODUCT(--($Y$2:$Y$1501&lt;$Y793))+1,"")</f>
        <v/>
      </c>
      <c r="X793">
        <f>IF($A793="","",IF(OR($T793=TRUE(),$T793="TRUE"),1,0))</f>
        <v/>
      </c>
      <c r="Y793">
        <f>IF($V793=1,IFERROR(IF(VALUE($A793)&lt;100000000,VALUE($A793),1000000000),IFERROR(IF(VALUE(MID($A793,2,20))&lt;100000000,VALUE(MID($A793,2,20)),1000000000),1000000000))+ROW()/100000,"")</f>
        <v/>
      </c>
    </row>
    <row r="794">
      <c r="F794" s="7">
        <f>IF($A794="","",E794*L794/100)</f>
        <v/>
      </c>
      <c r="J794" s="7" t="n"/>
      <c r="K794" s="7">
        <f>IF($A794="","",N794*U794/100)</f>
        <v/>
      </c>
      <c r="L794" s="7">
        <f>IF($A794="","",N794-K794)</f>
        <v/>
      </c>
      <c r="M794" s="7">
        <f>IF($A794="","",L794-F794)</f>
        <v/>
      </c>
      <c r="N794" s="7" t="n"/>
      <c r="O794" s="7" t="n"/>
      <c r="P794" s="7" t="n"/>
      <c r="R794" s="14" t="n"/>
      <c r="V794">
        <f>IF($A794="","",IF(COUNTIF($A$2:$A794,$A794)=1,1,0))</f>
        <v/>
      </c>
      <c r="W794">
        <f>IF($V794=1,SUMPRODUCT(--($Y$2:$Y$1501&lt;$Y794))+1,"")</f>
        <v/>
      </c>
      <c r="X794">
        <f>IF($A794="","",IF(OR($T794=TRUE(),$T794="TRUE"),1,0))</f>
        <v/>
      </c>
      <c r="Y794">
        <f>IF($V794=1,IFERROR(IF(VALUE($A794)&lt;100000000,VALUE($A794),1000000000),IFERROR(IF(VALUE(MID($A794,2,20))&lt;100000000,VALUE(MID($A794,2,20)),1000000000),1000000000))+ROW()/100000,"")</f>
        <v/>
      </c>
    </row>
    <row r="795">
      <c r="F795" s="7">
        <f>IF($A795="","",E795*L795/100)</f>
        <v/>
      </c>
      <c r="J795" s="7" t="n"/>
      <c r="K795" s="7">
        <f>IF($A795="","",N795*U795/100)</f>
        <v/>
      </c>
      <c r="L795" s="7">
        <f>IF($A795="","",N795-K795)</f>
        <v/>
      </c>
      <c r="M795" s="7">
        <f>IF($A795="","",L795-F795)</f>
        <v/>
      </c>
      <c r="N795" s="7" t="n"/>
      <c r="O795" s="7" t="n"/>
      <c r="P795" s="7" t="n"/>
      <c r="R795" s="14" t="n"/>
      <c r="V795">
        <f>IF($A795="","",IF(COUNTIF($A$2:$A795,$A795)=1,1,0))</f>
        <v/>
      </c>
      <c r="W795">
        <f>IF($V795=1,SUMPRODUCT(--($Y$2:$Y$1501&lt;$Y795))+1,"")</f>
        <v/>
      </c>
      <c r="X795">
        <f>IF($A795="","",IF(OR($T795=TRUE(),$T795="TRUE"),1,0))</f>
        <v/>
      </c>
      <c r="Y795">
        <f>IF($V795=1,IFERROR(IF(VALUE($A795)&lt;100000000,VALUE($A795),1000000000),IFERROR(IF(VALUE(MID($A795,2,20))&lt;100000000,VALUE(MID($A795,2,20)),1000000000),1000000000))+ROW()/100000,"")</f>
        <v/>
      </c>
    </row>
    <row r="796">
      <c r="F796" s="7">
        <f>IF($A796="","",E796*L796/100)</f>
        <v/>
      </c>
      <c r="J796" s="7" t="n"/>
      <c r="K796" s="7">
        <f>IF($A796="","",N796*U796/100)</f>
        <v/>
      </c>
      <c r="L796" s="7">
        <f>IF($A796="","",N796-K796)</f>
        <v/>
      </c>
      <c r="M796" s="7">
        <f>IF($A796="","",L796-F796)</f>
        <v/>
      </c>
      <c r="N796" s="7" t="n"/>
      <c r="O796" s="7" t="n"/>
      <c r="P796" s="7" t="n"/>
      <c r="R796" s="14" t="n"/>
      <c r="V796">
        <f>IF($A796="","",IF(COUNTIF($A$2:$A796,$A796)=1,1,0))</f>
        <v/>
      </c>
      <c r="W796">
        <f>IF($V796=1,SUMPRODUCT(--($Y$2:$Y$1501&lt;$Y796))+1,"")</f>
        <v/>
      </c>
      <c r="X796">
        <f>IF($A796="","",IF(OR($T796=TRUE(),$T796="TRUE"),1,0))</f>
        <v/>
      </c>
      <c r="Y796">
        <f>IF($V796=1,IFERROR(IF(VALUE($A796)&lt;100000000,VALUE($A796),1000000000),IFERROR(IF(VALUE(MID($A796,2,20))&lt;100000000,VALUE(MID($A796,2,20)),1000000000),1000000000))+ROW()/100000,"")</f>
        <v/>
      </c>
    </row>
    <row r="797">
      <c r="F797" s="7">
        <f>IF($A797="","",E797*L797/100)</f>
        <v/>
      </c>
      <c r="J797" s="7" t="n"/>
      <c r="K797" s="7">
        <f>IF($A797="","",N797*U797/100)</f>
        <v/>
      </c>
      <c r="L797" s="7">
        <f>IF($A797="","",N797-K797)</f>
        <v/>
      </c>
      <c r="M797" s="7">
        <f>IF($A797="","",L797-F797)</f>
        <v/>
      </c>
      <c r="N797" s="7" t="n"/>
      <c r="O797" s="7" t="n"/>
      <c r="P797" s="7" t="n"/>
      <c r="R797" s="14" t="n"/>
      <c r="V797">
        <f>IF($A797="","",IF(COUNTIF($A$2:$A797,$A797)=1,1,0))</f>
        <v/>
      </c>
      <c r="W797">
        <f>IF($V797=1,SUMPRODUCT(--($Y$2:$Y$1501&lt;$Y797))+1,"")</f>
        <v/>
      </c>
      <c r="X797">
        <f>IF($A797="","",IF(OR($T797=TRUE(),$T797="TRUE"),1,0))</f>
        <v/>
      </c>
      <c r="Y797">
        <f>IF($V797=1,IFERROR(IF(VALUE($A797)&lt;100000000,VALUE($A797),1000000000),IFERROR(IF(VALUE(MID($A797,2,20))&lt;100000000,VALUE(MID($A797,2,20)),1000000000),1000000000))+ROW()/100000,"")</f>
        <v/>
      </c>
    </row>
    <row r="798">
      <c r="F798" s="7">
        <f>IF($A798="","",E798*L798/100)</f>
        <v/>
      </c>
      <c r="J798" s="7" t="n"/>
      <c r="K798" s="7">
        <f>IF($A798="","",N798*U798/100)</f>
        <v/>
      </c>
      <c r="L798" s="7">
        <f>IF($A798="","",N798-K798)</f>
        <v/>
      </c>
      <c r="M798" s="7">
        <f>IF($A798="","",L798-F798)</f>
        <v/>
      </c>
      <c r="N798" s="7" t="n"/>
      <c r="O798" s="7" t="n"/>
      <c r="P798" s="7" t="n"/>
      <c r="R798" s="14" t="n"/>
      <c r="V798">
        <f>IF($A798="","",IF(COUNTIF($A$2:$A798,$A798)=1,1,0))</f>
        <v/>
      </c>
      <c r="W798">
        <f>IF($V798=1,SUMPRODUCT(--($Y$2:$Y$1501&lt;$Y798))+1,"")</f>
        <v/>
      </c>
      <c r="X798">
        <f>IF($A798="","",IF(OR($T798=TRUE(),$T798="TRUE"),1,0))</f>
        <v/>
      </c>
      <c r="Y798">
        <f>IF($V798=1,IFERROR(IF(VALUE($A798)&lt;100000000,VALUE($A798),1000000000),IFERROR(IF(VALUE(MID($A798,2,20))&lt;100000000,VALUE(MID($A798,2,20)),1000000000),1000000000))+ROW()/100000,"")</f>
        <v/>
      </c>
    </row>
    <row r="799">
      <c r="F799" s="7">
        <f>IF($A799="","",E799*L799/100)</f>
        <v/>
      </c>
      <c r="J799" s="7" t="n"/>
      <c r="K799" s="7">
        <f>IF($A799="","",N799*U799/100)</f>
        <v/>
      </c>
      <c r="L799" s="7">
        <f>IF($A799="","",N799-K799)</f>
        <v/>
      </c>
      <c r="M799" s="7">
        <f>IF($A799="","",L799-F799)</f>
        <v/>
      </c>
      <c r="N799" s="7" t="n"/>
      <c r="O799" s="7" t="n"/>
      <c r="P799" s="7" t="n"/>
      <c r="R799" s="14" t="n"/>
      <c r="V799">
        <f>IF($A799="","",IF(COUNTIF($A$2:$A799,$A799)=1,1,0))</f>
        <v/>
      </c>
      <c r="W799">
        <f>IF($V799=1,SUMPRODUCT(--($Y$2:$Y$1501&lt;$Y799))+1,"")</f>
        <v/>
      </c>
      <c r="X799">
        <f>IF($A799="","",IF(OR($T799=TRUE(),$T799="TRUE"),1,0))</f>
        <v/>
      </c>
      <c r="Y799">
        <f>IF($V799=1,IFERROR(IF(VALUE($A799)&lt;100000000,VALUE($A799),1000000000),IFERROR(IF(VALUE(MID($A799,2,20))&lt;100000000,VALUE(MID($A799,2,20)),1000000000),1000000000))+ROW()/100000,"")</f>
        <v/>
      </c>
    </row>
    <row r="800">
      <c r="F800" s="7">
        <f>IF($A800="","",E800*L800/100)</f>
        <v/>
      </c>
      <c r="J800" s="7" t="n"/>
      <c r="K800" s="7">
        <f>IF($A800="","",N800*U800/100)</f>
        <v/>
      </c>
      <c r="L800" s="7">
        <f>IF($A800="","",N800-K800)</f>
        <v/>
      </c>
      <c r="M800" s="7">
        <f>IF($A800="","",L800-F800)</f>
        <v/>
      </c>
      <c r="N800" s="7" t="n"/>
      <c r="O800" s="7" t="n"/>
      <c r="P800" s="7" t="n"/>
      <c r="R800" s="14" t="n"/>
      <c r="V800">
        <f>IF($A800="","",IF(COUNTIF($A$2:$A800,$A800)=1,1,0))</f>
        <v/>
      </c>
      <c r="W800">
        <f>IF($V800=1,SUMPRODUCT(--($Y$2:$Y$1501&lt;$Y800))+1,"")</f>
        <v/>
      </c>
      <c r="X800">
        <f>IF($A800="","",IF(OR($T800=TRUE(),$T800="TRUE"),1,0))</f>
        <v/>
      </c>
      <c r="Y800">
        <f>IF($V800=1,IFERROR(IF(VALUE($A800)&lt;100000000,VALUE($A800),1000000000),IFERROR(IF(VALUE(MID($A800,2,20))&lt;100000000,VALUE(MID($A800,2,20)),1000000000),1000000000))+ROW()/100000,"")</f>
        <v/>
      </c>
    </row>
    <row r="801">
      <c r="F801" s="7">
        <f>IF($A801="","",E801*L801/100)</f>
        <v/>
      </c>
      <c r="J801" s="7" t="n"/>
      <c r="K801" s="7">
        <f>IF($A801="","",N801*U801/100)</f>
        <v/>
      </c>
      <c r="L801" s="7">
        <f>IF($A801="","",N801-K801)</f>
        <v/>
      </c>
      <c r="M801" s="7">
        <f>IF($A801="","",L801-F801)</f>
        <v/>
      </c>
      <c r="N801" s="7" t="n"/>
      <c r="O801" s="7" t="n"/>
      <c r="P801" s="7" t="n"/>
      <c r="R801" s="14" t="n"/>
      <c r="V801">
        <f>IF($A801="","",IF(COUNTIF($A$2:$A801,$A801)=1,1,0))</f>
        <v/>
      </c>
      <c r="W801">
        <f>IF($V801=1,SUMPRODUCT(--($Y$2:$Y$1501&lt;$Y801))+1,"")</f>
        <v/>
      </c>
      <c r="X801">
        <f>IF($A801="","",IF(OR($T801=TRUE(),$T801="TRUE"),1,0))</f>
        <v/>
      </c>
      <c r="Y801">
        <f>IF($V801=1,IFERROR(IF(VALUE($A801)&lt;100000000,VALUE($A801),1000000000),IFERROR(IF(VALUE(MID($A801,2,20))&lt;100000000,VALUE(MID($A801,2,20)),1000000000),1000000000))+ROW()/100000,"")</f>
        <v/>
      </c>
    </row>
    <row r="802">
      <c r="F802" s="7">
        <f>IF($A802="","",E802*L802/100)</f>
        <v/>
      </c>
      <c r="J802" s="7" t="n"/>
      <c r="K802" s="7">
        <f>IF($A802="","",N802*U802/100)</f>
        <v/>
      </c>
      <c r="L802" s="7">
        <f>IF($A802="","",N802-K802)</f>
        <v/>
      </c>
      <c r="M802" s="7">
        <f>IF($A802="","",L802-F802)</f>
        <v/>
      </c>
      <c r="N802" s="7" t="n"/>
      <c r="O802" s="7" t="n"/>
      <c r="P802" s="7" t="n"/>
      <c r="R802" s="14" t="n"/>
      <c r="V802">
        <f>IF($A802="","",IF(COUNTIF($A$2:$A802,$A802)=1,1,0))</f>
        <v/>
      </c>
      <c r="W802">
        <f>IF($V802=1,SUMPRODUCT(--($Y$2:$Y$1501&lt;$Y802))+1,"")</f>
        <v/>
      </c>
      <c r="X802">
        <f>IF($A802="","",IF(OR($T802=TRUE(),$T802="TRUE"),1,0))</f>
        <v/>
      </c>
      <c r="Y802">
        <f>IF($V802=1,IFERROR(IF(VALUE($A802)&lt;100000000,VALUE($A802),1000000000),IFERROR(IF(VALUE(MID($A802,2,20))&lt;100000000,VALUE(MID($A802,2,20)),1000000000),1000000000))+ROW()/100000,"")</f>
        <v/>
      </c>
    </row>
    <row r="803">
      <c r="F803" s="7">
        <f>IF($A803="","",E803*L803/100)</f>
        <v/>
      </c>
      <c r="J803" s="7" t="n"/>
      <c r="K803" s="7">
        <f>IF($A803="","",N803*U803/100)</f>
        <v/>
      </c>
      <c r="L803" s="7">
        <f>IF($A803="","",N803-K803)</f>
        <v/>
      </c>
      <c r="M803" s="7">
        <f>IF($A803="","",L803-F803)</f>
        <v/>
      </c>
      <c r="N803" s="7" t="n"/>
      <c r="O803" s="7" t="n"/>
      <c r="P803" s="7" t="n"/>
      <c r="R803" s="14" t="n"/>
      <c r="V803">
        <f>IF($A803="","",IF(COUNTIF($A$2:$A803,$A803)=1,1,0))</f>
        <v/>
      </c>
      <c r="W803">
        <f>IF($V803=1,SUMPRODUCT(--($Y$2:$Y$1501&lt;$Y803))+1,"")</f>
        <v/>
      </c>
      <c r="X803">
        <f>IF($A803="","",IF(OR($T803=TRUE(),$T803="TRUE"),1,0))</f>
        <v/>
      </c>
      <c r="Y803">
        <f>IF($V803=1,IFERROR(IF(VALUE($A803)&lt;100000000,VALUE($A803),1000000000),IFERROR(IF(VALUE(MID($A803,2,20))&lt;100000000,VALUE(MID($A803,2,20)),1000000000),1000000000))+ROW()/100000,"")</f>
        <v/>
      </c>
    </row>
    <row r="804">
      <c r="F804" s="7">
        <f>IF($A804="","",E804*L804/100)</f>
        <v/>
      </c>
      <c r="J804" s="7" t="n"/>
      <c r="K804" s="7">
        <f>IF($A804="","",N804*U804/100)</f>
        <v/>
      </c>
      <c r="L804" s="7">
        <f>IF($A804="","",N804-K804)</f>
        <v/>
      </c>
      <c r="M804" s="7">
        <f>IF($A804="","",L804-F804)</f>
        <v/>
      </c>
      <c r="N804" s="7" t="n"/>
      <c r="O804" s="7" t="n"/>
      <c r="P804" s="7" t="n"/>
      <c r="R804" s="14" t="n"/>
      <c r="V804">
        <f>IF($A804="","",IF(COUNTIF($A$2:$A804,$A804)=1,1,0))</f>
        <v/>
      </c>
      <c r="W804">
        <f>IF($V804=1,SUMPRODUCT(--($Y$2:$Y$1501&lt;$Y804))+1,"")</f>
        <v/>
      </c>
      <c r="X804">
        <f>IF($A804="","",IF(OR($T804=TRUE(),$T804="TRUE"),1,0))</f>
        <v/>
      </c>
      <c r="Y804">
        <f>IF($V804=1,IFERROR(IF(VALUE($A804)&lt;100000000,VALUE($A804),1000000000),IFERROR(IF(VALUE(MID($A804,2,20))&lt;100000000,VALUE(MID($A804,2,20)),1000000000),1000000000))+ROW()/100000,"")</f>
        <v/>
      </c>
    </row>
    <row r="805">
      <c r="F805" s="7">
        <f>IF($A805="","",E805*L805/100)</f>
        <v/>
      </c>
      <c r="J805" s="7" t="n"/>
      <c r="K805" s="7">
        <f>IF($A805="","",N805*U805/100)</f>
        <v/>
      </c>
      <c r="L805" s="7">
        <f>IF($A805="","",N805-K805)</f>
        <v/>
      </c>
      <c r="M805" s="7">
        <f>IF($A805="","",L805-F805)</f>
        <v/>
      </c>
      <c r="N805" s="7" t="n"/>
      <c r="O805" s="7" t="n"/>
      <c r="P805" s="7" t="n"/>
      <c r="R805" s="14" t="n"/>
      <c r="V805">
        <f>IF($A805="","",IF(COUNTIF($A$2:$A805,$A805)=1,1,0))</f>
        <v/>
      </c>
      <c r="W805">
        <f>IF($V805=1,SUMPRODUCT(--($Y$2:$Y$1501&lt;$Y805))+1,"")</f>
        <v/>
      </c>
      <c r="X805">
        <f>IF($A805="","",IF(OR($T805=TRUE(),$T805="TRUE"),1,0))</f>
        <v/>
      </c>
      <c r="Y805">
        <f>IF($V805=1,IFERROR(IF(VALUE($A805)&lt;100000000,VALUE($A805),1000000000),IFERROR(IF(VALUE(MID($A805,2,20))&lt;100000000,VALUE(MID($A805,2,20)),1000000000),1000000000))+ROW()/100000,"")</f>
        <v/>
      </c>
    </row>
    <row r="806">
      <c r="F806" s="7">
        <f>IF($A806="","",E806*L806/100)</f>
        <v/>
      </c>
      <c r="J806" s="7" t="n"/>
      <c r="K806" s="7">
        <f>IF($A806="","",N806*U806/100)</f>
        <v/>
      </c>
      <c r="L806" s="7">
        <f>IF($A806="","",N806-K806)</f>
        <v/>
      </c>
      <c r="M806" s="7">
        <f>IF($A806="","",L806-F806)</f>
        <v/>
      </c>
      <c r="N806" s="7" t="n"/>
      <c r="O806" s="7" t="n"/>
      <c r="P806" s="7" t="n"/>
      <c r="R806" s="14" t="n"/>
      <c r="V806">
        <f>IF($A806="","",IF(COUNTIF($A$2:$A806,$A806)=1,1,0))</f>
        <v/>
      </c>
      <c r="W806">
        <f>IF($V806=1,SUMPRODUCT(--($Y$2:$Y$1501&lt;$Y806))+1,"")</f>
        <v/>
      </c>
      <c r="X806">
        <f>IF($A806="","",IF(OR($T806=TRUE(),$T806="TRUE"),1,0))</f>
        <v/>
      </c>
      <c r="Y806">
        <f>IF($V806=1,IFERROR(IF(VALUE($A806)&lt;100000000,VALUE($A806),1000000000),IFERROR(IF(VALUE(MID($A806,2,20))&lt;100000000,VALUE(MID($A806,2,20)),1000000000),1000000000))+ROW()/100000,"")</f>
        <v/>
      </c>
    </row>
    <row r="807">
      <c r="F807" s="7">
        <f>IF($A807="","",E807*L807/100)</f>
        <v/>
      </c>
      <c r="J807" s="7" t="n"/>
      <c r="K807" s="7">
        <f>IF($A807="","",N807*U807/100)</f>
        <v/>
      </c>
      <c r="L807" s="7">
        <f>IF($A807="","",N807-K807)</f>
        <v/>
      </c>
      <c r="M807" s="7">
        <f>IF($A807="","",L807-F807)</f>
        <v/>
      </c>
      <c r="N807" s="7" t="n"/>
      <c r="O807" s="7" t="n"/>
      <c r="P807" s="7" t="n"/>
      <c r="R807" s="14" t="n"/>
      <c r="V807">
        <f>IF($A807="","",IF(COUNTIF($A$2:$A807,$A807)=1,1,0))</f>
        <v/>
      </c>
      <c r="W807">
        <f>IF($V807=1,SUMPRODUCT(--($Y$2:$Y$1501&lt;$Y807))+1,"")</f>
        <v/>
      </c>
      <c r="X807">
        <f>IF($A807="","",IF(OR($T807=TRUE(),$T807="TRUE"),1,0))</f>
        <v/>
      </c>
      <c r="Y807">
        <f>IF($V807=1,IFERROR(IF(VALUE($A807)&lt;100000000,VALUE($A807),1000000000),IFERROR(IF(VALUE(MID($A807,2,20))&lt;100000000,VALUE(MID($A807,2,20)),1000000000),1000000000))+ROW()/100000,"")</f>
        <v/>
      </c>
    </row>
    <row r="808">
      <c r="F808" s="7">
        <f>IF($A808="","",E808*L808/100)</f>
        <v/>
      </c>
      <c r="J808" s="7" t="n"/>
      <c r="K808" s="7">
        <f>IF($A808="","",N808*U808/100)</f>
        <v/>
      </c>
      <c r="L808" s="7">
        <f>IF($A808="","",N808-K808)</f>
        <v/>
      </c>
      <c r="M808" s="7">
        <f>IF($A808="","",L808-F808)</f>
        <v/>
      </c>
      <c r="N808" s="7" t="n"/>
      <c r="O808" s="7" t="n"/>
      <c r="P808" s="7" t="n"/>
      <c r="R808" s="14" t="n"/>
      <c r="V808">
        <f>IF($A808="","",IF(COUNTIF($A$2:$A808,$A808)=1,1,0))</f>
        <v/>
      </c>
      <c r="W808">
        <f>IF($V808=1,SUMPRODUCT(--($Y$2:$Y$1501&lt;$Y808))+1,"")</f>
        <v/>
      </c>
      <c r="X808">
        <f>IF($A808="","",IF(OR($T808=TRUE(),$T808="TRUE"),1,0))</f>
        <v/>
      </c>
      <c r="Y808">
        <f>IF($V808=1,IFERROR(IF(VALUE($A808)&lt;100000000,VALUE($A808),1000000000),IFERROR(IF(VALUE(MID($A808,2,20))&lt;100000000,VALUE(MID($A808,2,20)),1000000000),1000000000))+ROW()/100000,"")</f>
        <v/>
      </c>
    </row>
    <row r="809">
      <c r="F809" s="7">
        <f>IF($A809="","",E809*L809/100)</f>
        <v/>
      </c>
      <c r="J809" s="7" t="n"/>
      <c r="K809" s="7">
        <f>IF($A809="","",N809*U809/100)</f>
        <v/>
      </c>
      <c r="L809" s="7">
        <f>IF($A809="","",N809-K809)</f>
        <v/>
      </c>
      <c r="M809" s="7">
        <f>IF($A809="","",L809-F809)</f>
        <v/>
      </c>
      <c r="N809" s="7" t="n"/>
      <c r="O809" s="7" t="n"/>
      <c r="P809" s="7" t="n"/>
      <c r="R809" s="14" t="n"/>
      <c r="V809">
        <f>IF($A809="","",IF(COUNTIF($A$2:$A809,$A809)=1,1,0))</f>
        <v/>
      </c>
      <c r="W809">
        <f>IF($V809=1,SUMPRODUCT(--($Y$2:$Y$1501&lt;$Y809))+1,"")</f>
        <v/>
      </c>
      <c r="X809">
        <f>IF($A809="","",IF(OR($T809=TRUE(),$T809="TRUE"),1,0))</f>
        <v/>
      </c>
      <c r="Y809">
        <f>IF($V809=1,IFERROR(IF(VALUE($A809)&lt;100000000,VALUE($A809),1000000000),IFERROR(IF(VALUE(MID($A809,2,20))&lt;100000000,VALUE(MID($A809,2,20)),1000000000),1000000000))+ROW()/100000,"")</f>
        <v/>
      </c>
    </row>
    <row r="810">
      <c r="F810" s="7">
        <f>IF($A810="","",E810*L810/100)</f>
        <v/>
      </c>
      <c r="J810" s="7" t="n"/>
      <c r="K810" s="7">
        <f>IF($A810="","",N810*U810/100)</f>
        <v/>
      </c>
      <c r="L810" s="7">
        <f>IF($A810="","",N810-K810)</f>
        <v/>
      </c>
      <c r="M810" s="7">
        <f>IF($A810="","",L810-F810)</f>
        <v/>
      </c>
      <c r="N810" s="7" t="n"/>
      <c r="O810" s="7" t="n"/>
      <c r="P810" s="7" t="n"/>
      <c r="R810" s="14" t="n"/>
      <c r="V810">
        <f>IF($A810="","",IF(COUNTIF($A$2:$A810,$A810)=1,1,0))</f>
        <v/>
      </c>
      <c r="W810">
        <f>IF($V810=1,SUMPRODUCT(--($Y$2:$Y$1501&lt;$Y810))+1,"")</f>
        <v/>
      </c>
      <c r="X810">
        <f>IF($A810="","",IF(OR($T810=TRUE(),$T810="TRUE"),1,0))</f>
        <v/>
      </c>
      <c r="Y810">
        <f>IF($V810=1,IFERROR(IF(VALUE($A810)&lt;100000000,VALUE($A810),1000000000),IFERROR(IF(VALUE(MID($A810,2,20))&lt;100000000,VALUE(MID($A810,2,20)),1000000000),1000000000))+ROW()/100000,"")</f>
        <v/>
      </c>
    </row>
    <row r="811">
      <c r="F811" s="7">
        <f>IF($A811="","",E811*L811/100)</f>
        <v/>
      </c>
      <c r="J811" s="7" t="n"/>
      <c r="K811" s="7">
        <f>IF($A811="","",N811*U811/100)</f>
        <v/>
      </c>
      <c r="L811" s="7">
        <f>IF($A811="","",N811-K811)</f>
        <v/>
      </c>
      <c r="M811" s="7">
        <f>IF($A811="","",L811-F811)</f>
        <v/>
      </c>
      <c r="N811" s="7" t="n"/>
      <c r="O811" s="7" t="n"/>
      <c r="P811" s="7" t="n"/>
      <c r="R811" s="14" t="n"/>
      <c r="V811">
        <f>IF($A811="","",IF(COUNTIF($A$2:$A811,$A811)=1,1,0))</f>
        <v/>
      </c>
      <c r="W811">
        <f>IF($V811=1,SUMPRODUCT(--($Y$2:$Y$1501&lt;$Y811))+1,"")</f>
        <v/>
      </c>
      <c r="X811">
        <f>IF($A811="","",IF(OR($T811=TRUE(),$T811="TRUE"),1,0))</f>
        <v/>
      </c>
      <c r="Y811">
        <f>IF($V811=1,IFERROR(IF(VALUE($A811)&lt;100000000,VALUE($A811),1000000000),IFERROR(IF(VALUE(MID($A811,2,20))&lt;100000000,VALUE(MID($A811,2,20)),1000000000),1000000000))+ROW()/100000,"")</f>
        <v/>
      </c>
    </row>
    <row r="812">
      <c r="F812" s="7">
        <f>IF($A812="","",E812*L812/100)</f>
        <v/>
      </c>
      <c r="J812" s="7" t="n"/>
      <c r="K812" s="7">
        <f>IF($A812="","",N812*U812/100)</f>
        <v/>
      </c>
      <c r="L812" s="7">
        <f>IF($A812="","",N812-K812)</f>
        <v/>
      </c>
      <c r="M812" s="7">
        <f>IF($A812="","",L812-F812)</f>
        <v/>
      </c>
      <c r="N812" s="7" t="n"/>
      <c r="O812" s="7" t="n"/>
      <c r="P812" s="7" t="n"/>
      <c r="R812" s="14" t="n"/>
      <c r="V812">
        <f>IF($A812="","",IF(COUNTIF($A$2:$A812,$A812)=1,1,0))</f>
        <v/>
      </c>
      <c r="W812">
        <f>IF($V812=1,SUMPRODUCT(--($Y$2:$Y$1501&lt;$Y812))+1,"")</f>
        <v/>
      </c>
      <c r="X812">
        <f>IF($A812="","",IF(OR($T812=TRUE(),$T812="TRUE"),1,0))</f>
        <v/>
      </c>
      <c r="Y812">
        <f>IF($V812=1,IFERROR(IF(VALUE($A812)&lt;100000000,VALUE($A812),1000000000),IFERROR(IF(VALUE(MID($A812,2,20))&lt;100000000,VALUE(MID($A812,2,20)),1000000000),1000000000))+ROW()/100000,"")</f>
        <v/>
      </c>
    </row>
    <row r="813">
      <c r="F813" s="7">
        <f>IF($A813="","",E813*L813/100)</f>
        <v/>
      </c>
      <c r="J813" s="7" t="n"/>
      <c r="K813" s="7">
        <f>IF($A813="","",N813*U813/100)</f>
        <v/>
      </c>
      <c r="L813" s="7">
        <f>IF($A813="","",N813-K813)</f>
        <v/>
      </c>
      <c r="M813" s="7">
        <f>IF($A813="","",L813-F813)</f>
        <v/>
      </c>
      <c r="N813" s="7" t="n"/>
      <c r="O813" s="7" t="n"/>
      <c r="P813" s="7" t="n"/>
      <c r="R813" s="14" t="n"/>
      <c r="V813">
        <f>IF($A813="","",IF(COUNTIF($A$2:$A813,$A813)=1,1,0))</f>
        <v/>
      </c>
      <c r="W813">
        <f>IF($V813=1,SUMPRODUCT(--($Y$2:$Y$1501&lt;$Y813))+1,"")</f>
        <v/>
      </c>
      <c r="X813">
        <f>IF($A813="","",IF(OR($T813=TRUE(),$T813="TRUE"),1,0))</f>
        <v/>
      </c>
      <c r="Y813">
        <f>IF($V813=1,IFERROR(IF(VALUE($A813)&lt;100000000,VALUE($A813),1000000000),IFERROR(IF(VALUE(MID($A813,2,20))&lt;100000000,VALUE(MID($A813,2,20)),1000000000),1000000000))+ROW()/100000,"")</f>
        <v/>
      </c>
    </row>
    <row r="814">
      <c r="F814" s="7">
        <f>IF($A814="","",E814*L814/100)</f>
        <v/>
      </c>
      <c r="J814" s="7" t="n"/>
      <c r="K814" s="7">
        <f>IF($A814="","",N814*U814/100)</f>
        <v/>
      </c>
      <c r="L814" s="7">
        <f>IF($A814="","",N814-K814)</f>
        <v/>
      </c>
      <c r="M814" s="7">
        <f>IF($A814="","",L814-F814)</f>
        <v/>
      </c>
      <c r="N814" s="7" t="n"/>
      <c r="O814" s="7" t="n"/>
      <c r="P814" s="7" t="n"/>
      <c r="R814" s="14" t="n"/>
      <c r="V814">
        <f>IF($A814="","",IF(COUNTIF($A$2:$A814,$A814)=1,1,0))</f>
        <v/>
      </c>
      <c r="W814">
        <f>IF($V814=1,SUMPRODUCT(--($Y$2:$Y$1501&lt;$Y814))+1,"")</f>
        <v/>
      </c>
      <c r="X814">
        <f>IF($A814="","",IF(OR($T814=TRUE(),$T814="TRUE"),1,0))</f>
        <v/>
      </c>
      <c r="Y814">
        <f>IF($V814=1,IFERROR(IF(VALUE($A814)&lt;100000000,VALUE($A814),1000000000),IFERROR(IF(VALUE(MID($A814,2,20))&lt;100000000,VALUE(MID($A814,2,20)),1000000000),1000000000))+ROW()/100000,"")</f>
        <v/>
      </c>
    </row>
    <row r="815">
      <c r="F815" s="7">
        <f>IF($A815="","",E815*L815/100)</f>
        <v/>
      </c>
      <c r="J815" s="7" t="n"/>
      <c r="K815" s="7">
        <f>IF($A815="","",N815*U815/100)</f>
        <v/>
      </c>
      <c r="L815" s="7">
        <f>IF($A815="","",N815-K815)</f>
        <v/>
      </c>
      <c r="M815" s="7">
        <f>IF($A815="","",L815-F815)</f>
        <v/>
      </c>
      <c r="N815" s="7" t="n"/>
      <c r="O815" s="7" t="n"/>
      <c r="P815" s="7" t="n"/>
      <c r="R815" s="14" t="n"/>
      <c r="V815">
        <f>IF($A815="","",IF(COUNTIF($A$2:$A815,$A815)=1,1,0))</f>
        <v/>
      </c>
      <c r="W815">
        <f>IF($V815=1,SUMPRODUCT(--($Y$2:$Y$1501&lt;$Y815))+1,"")</f>
        <v/>
      </c>
      <c r="X815">
        <f>IF($A815="","",IF(OR($T815=TRUE(),$T815="TRUE"),1,0))</f>
        <v/>
      </c>
      <c r="Y815">
        <f>IF($V815=1,IFERROR(IF(VALUE($A815)&lt;100000000,VALUE($A815),1000000000),IFERROR(IF(VALUE(MID($A815,2,20))&lt;100000000,VALUE(MID($A815,2,20)),1000000000),1000000000))+ROW()/100000,"")</f>
        <v/>
      </c>
    </row>
    <row r="816">
      <c r="F816" s="7">
        <f>IF($A816="","",E816*L816/100)</f>
        <v/>
      </c>
      <c r="J816" s="7" t="n"/>
      <c r="K816" s="7">
        <f>IF($A816="","",N816*U816/100)</f>
        <v/>
      </c>
      <c r="L816" s="7">
        <f>IF($A816="","",N816-K816)</f>
        <v/>
      </c>
      <c r="M816" s="7">
        <f>IF($A816="","",L816-F816)</f>
        <v/>
      </c>
      <c r="N816" s="7" t="n"/>
      <c r="O816" s="7" t="n"/>
      <c r="P816" s="7" t="n"/>
      <c r="R816" s="14" t="n"/>
      <c r="V816">
        <f>IF($A816="","",IF(COUNTIF($A$2:$A816,$A816)=1,1,0))</f>
        <v/>
      </c>
      <c r="W816">
        <f>IF($V816=1,SUMPRODUCT(--($Y$2:$Y$1501&lt;$Y816))+1,"")</f>
        <v/>
      </c>
      <c r="X816">
        <f>IF($A816="","",IF(OR($T816=TRUE(),$T816="TRUE"),1,0))</f>
        <v/>
      </c>
      <c r="Y816">
        <f>IF($V816=1,IFERROR(IF(VALUE($A816)&lt;100000000,VALUE($A816),1000000000),IFERROR(IF(VALUE(MID($A816,2,20))&lt;100000000,VALUE(MID($A816,2,20)),1000000000),1000000000))+ROW()/100000,"")</f>
        <v/>
      </c>
    </row>
    <row r="817">
      <c r="F817" s="7">
        <f>IF($A817="","",E817*L817/100)</f>
        <v/>
      </c>
      <c r="J817" s="7" t="n"/>
      <c r="K817" s="7">
        <f>IF($A817="","",N817*U817/100)</f>
        <v/>
      </c>
      <c r="L817" s="7">
        <f>IF($A817="","",N817-K817)</f>
        <v/>
      </c>
      <c r="M817" s="7">
        <f>IF($A817="","",L817-F817)</f>
        <v/>
      </c>
      <c r="N817" s="7" t="n"/>
      <c r="O817" s="7" t="n"/>
      <c r="P817" s="7" t="n"/>
      <c r="R817" s="14" t="n"/>
      <c r="V817">
        <f>IF($A817="","",IF(COUNTIF($A$2:$A817,$A817)=1,1,0))</f>
        <v/>
      </c>
      <c r="W817">
        <f>IF($V817=1,SUMPRODUCT(--($Y$2:$Y$1501&lt;$Y817))+1,"")</f>
        <v/>
      </c>
      <c r="X817">
        <f>IF($A817="","",IF(OR($T817=TRUE(),$T817="TRUE"),1,0))</f>
        <v/>
      </c>
      <c r="Y817">
        <f>IF($V817=1,IFERROR(IF(VALUE($A817)&lt;100000000,VALUE($A817),1000000000),IFERROR(IF(VALUE(MID($A817,2,20))&lt;100000000,VALUE(MID($A817,2,20)),1000000000),1000000000))+ROW()/100000,"")</f>
        <v/>
      </c>
    </row>
    <row r="818">
      <c r="F818" s="7">
        <f>IF($A818="","",E818*L818/100)</f>
        <v/>
      </c>
      <c r="J818" s="7" t="n"/>
      <c r="K818" s="7">
        <f>IF($A818="","",N818*U818/100)</f>
        <v/>
      </c>
      <c r="L818" s="7">
        <f>IF($A818="","",N818-K818)</f>
        <v/>
      </c>
      <c r="M818" s="7">
        <f>IF($A818="","",L818-F818)</f>
        <v/>
      </c>
      <c r="N818" s="7" t="n"/>
      <c r="O818" s="7" t="n"/>
      <c r="P818" s="7" t="n"/>
      <c r="R818" s="14" t="n"/>
      <c r="V818">
        <f>IF($A818="","",IF(COUNTIF($A$2:$A818,$A818)=1,1,0))</f>
        <v/>
      </c>
      <c r="W818">
        <f>IF($V818=1,SUMPRODUCT(--($Y$2:$Y$1501&lt;$Y818))+1,"")</f>
        <v/>
      </c>
      <c r="X818">
        <f>IF($A818="","",IF(OR($T818=TRUE(),$T818="TRUE"),1,0))</f>
        <v/>
      </c>
      <c r="Y818">
        <f>IF($V818=1,IFERROR(IF(VALUE($A818)&lt;100000000,VALUE($A818),1000000000),IFERROR(IF(VALUE(MID($A818,2,20))&lt;100000000,VALUE(MID($A818,2,20)),1000000000),1000000000))+ROW()/100000,"")</f>
        <v/>
      </c>
    </row>
    <row r="819">
      <c r="F819" s="7">
        <f>IF($A819="","",E819*L819/100)</f>
        <v/>
      </c>
      <c r="J819" s="7" t="n"/>
      <c r="K819" s="7">
        <f>IF($A819="","",N819*U819/100)</f>
        <v/>
      </c>
      <c r="L819" s="7">
        <f>IF($A819="","",N819-K819)</f>
        <v/>
      </c>
      <c r="M819" s="7">
        <f>IF($A819="","",L819-F819)</f>
        <v/>
      </c>
      <c r="N819" s="7" t="n"/>
      <c r="O819" s="7" t="n"/>
      <c r="P819" s="7" t="n"/>
      <c r="R819" s="14" t="n"/>
      <c r="V819">
        <f>IF($A819="","",IF(COUNTIF($A$2:$A819,$A819)=1,1,0))</f>
        <v/>
      </c>
      <c r="W819">
        <f>IF($V819=1,SUMPRODUCT(--($Y$2:$Y$1501&lt;$Y819))+1,"")</f>
        <v/>
      </c>
      <c r="X819">
        <f>IF($A819="","",IF(OR($T819=TRUE(),$T819="TRUE"),1,0))</f>
        <v/>
      </c>
      <c r="Y819">
        <f>IF($V819=1,IFERROR(IF(VALUE($A819)&lt;100000000,VALUE($A819),1000000000),IFERROR(IF(VALUE(MID($A819,2,20))&lt;100000000,VALUE(MID($A819,2,20)),1000000000),1000000000))+ROW()/100000,"")</f>
        <v/>
      </c>
    </row>
    <row r="820">
      <c r="F820" s="7">
        <f>IF($A820="","",E820*L820/100)</f>
        <v/>
      </c>
      <c r="J820" s="7" t="n"/>
      <c r="K820" s="7">
        <f>IF($A820="","",N820*U820/100)</f>
        <v/>
      </c>
      <c r="L820" s="7">
        <f>IF($A820="","",N820-K820)</f>
        <v/>
      </c>
      <c r="M820" s="7">
        <f>IF($A820="","",L820-F820)</f>
        <v/>
      </c>
      <c r="N820" s="7" t="n"/>
      <c r="O820" s="7" t="n"/>
      <c r="P820" s="7" t="n"/>
      <c r="R820" s="14" t="n"/>
      <c r="V820">
        <f>IF($A820="","",IF(COUNTIF($A$2:$A820,$A820)=1,1,0))</f>
        <v/>
      </c>
      <c r="W820">
        <f>IF($V820=1,SUMPRODUCT(--($Y$2:$Y$1501&lt;$Y820))+1,"")</f>
        <v/>
      </c>
      <c r="X820">
        <f>IF($A820="","",IF(OR($T820=TRUE(),$T820="TRUE"),1,0))</f>
        <v/>
      </c>
      <c r="Y820">
        <f>IF($V820=1,IFERROR(IF(VALUE($A820)&lt;100000000,VALUE($A820),1000000000),IFERROR(IF(VALUE(MID($A820,2,20))&lt;100000000,VALUE(MID($A820,2,20)),1000000000),1000000000))+ROW()/100000,"")</f>
        <v/>
      </c>
    </row>
    <row r="821">
      <c r="F821" s="7">
        <f>IF($A821="","",E821*L821/100)</f>
        <v/>
      </c>
      <c r="J821" s="7" t="n"/>
      <c r="K821" s="7">
        <f>IF($A821="","",N821*U821/100)</f>
        <v/>
      </c>
      <c r="L821" s="7">
        <f>IF($A821="","",N821-K821)</f>
        <v/>
      </c>
      <c r="M821" s="7">
        <f>IF($A821="","",L821-F821)</f>
        <v/>
      </c>
      <c r="N821" s="7" t="n"/>
      <c r="O821" s="7" t="n"/>
      <c r="P821" s="7" t="n"/>
      <c r="R821" s="14" t="n"/>
      <c r="V821">
        <f>IF($A821="","",IF(COUNTIF($A$2:$A821,$A821)=1,1,0))</f>
        <v/>
      </c>
      <c r="W821">
        <f>IF($V821=1,SUMPRODUCT(--($Y$2:$Y$1501&lt;$Y821))+1,"")</f>
        <v/>
      </c>
      <c r="X821">
        <f>IF($A821="","",IF(OR($T821=TRUE(),$T821="TRUE"),1,0))</f>
        <v/>
      </c>
      <c r="Y821">
        <f>IF($V821=1,IFERROR(IF(VALUE($A821)&lt;100000000,VALUE($A821),1000000000),IFERROR(IF(VALUE(MID($A821,2,20))&lt;100000000,VALUE(MID($A821,2,20)),1000000000),1000000000))+ROW()/100000,"")</f>
        <v/>
      </c>
    </row>
    <row r="822">
      <c r="F822" s="7">
        <f>IF($A822="","",E822*L822/100)</f>
        <v/>
      </c>
      <c r="J822" s="7" t="n"/>
      <c r="K822" s="7">
        <f>IF($A822="","",N822*U822/100)</f>
        <v/>
      </c>
      <c r="L822" s="7">
        <f>IF($A822="","",N822-K822)</f>
        <v/>
      </c>
      <c r="M822" s="7">
        <f>IF($A822="","",L822-F822)</f>
        <v/>
      </c>
      <c r="N822" s="7" t="n"/>
      <c r="O822" s="7" t="n"/>
      <c r="P822" s="7" t="n"/>
      <c r="R822" s="14" t="n"/>
      <c r="V822">
        <f>IF($A822="","",IF(COUNTIF($A$2:$A822,$A822)=1,1,0))</f>
        <v/>
      </c>
      <c r="W822">
        <f>IF($V822=1,SUMPRODUCT(--($Y$2:$Y$1501&lt;$Y822))+1,"")</f>
        <v/>
      </c>
      <c r="X822">
        <f>IF($A822="","",IF(OR($T822=TRUE(),$T822="TRUE"),1,0))</f>
        <v/>
      </c>
      <c r="Y822">
        <f>IF($V822=1,IFERROR(IF(VALUE($A822)&lt;100000000,VALUE($A822),1000000000),IFERROR(IF(VALUE(MID($A822,2,20))&lt;100000000,VALUE(MID($A822,2,20)),1000000000),1000000000))+ROW()/100000,"")</f>
        <v/>
      </c>
    </row>
    <row r="823">
      <c r="F823" s="7">
        <f>IF($A823="","",E823*L823/100)</f>
        <v/>
      </c>
      <c r="J823" s="7" t="n"/>
      <c r="K823" s="7">
        <f>IF($A823="","",N823*U823/100)</f>
        <v/>
      </c>
      <c r="L823" s="7">
        <f>IF($A823="","",N823-K823)</f>
        <v/>
      </c>
      <c r="M823" s="7">
        <f>IF($A823="","",L823-F823)</f>
        <v/>
      </c>
      <c r="N823" s="7" t="n"/>
      <c r="O823" s="7" t="n"/>
      <c r="P823" s="7" t="n"/>
      <c r="R823" s="14" t="n"/>
      <c r="V823">
        <f>IF($A823="","",IF(COUNTIF($A$2:$A823,$A823)=1,1,0))</f>
        <v/>
      </c>
      <c r="W823">
        <f>IF($V823=1,SUMPRODUCT(--($Y$2:$Y$1501&lt;$Y823))+1,"")</f>
        <v/>
      </c>
      <c r="X823">
        <f>IF($A823="","",IF(OR($T823=TRUE(),$T823="TRUE"),1,0))</f>
        <v/>
      </c>
      <c r="Y823">
        <f>IF($V823=1,IFERROR(IF(VALUE($A823)&lt;100000000,VALUE($A823),1000000000),IFERROR(IF(VALUE(MID($A823,2,20))&lt;100000000,VALUE(MID($A823,2,20)),1000000000),1000000000))+ROW()/100000,"")</f>
        <v/>
      </c>
    </row>
    <row r="824">
      <c r="F824" s="7">
        <f>IF($A824="","",E824*L824/100)</f>
        <v/>
      </c>
      <c r="J824" s="7" t="n"/>
      <c r="K824" s="7">
        <f>IF($A824="","",N824*U824/100)</f>
        <v/>
      </c>
      <c r="L824" s="7">
        <f>IF($A824="","",N824-K824)</f>
        <v/>
      </c>
      <c r="M824" s="7">
        <f>IF($A824="","",L824-F824)</f>
        <v/>
      </c>
      <c r="N824" s="7" t="n"/>
      <c r="O824" s="7" t="n"/>
      <c r="P824" s="7" t="n"/>
      <c r="R824" s="14" t="n"/>
      <c r="V824">
        <f>IF($A824="","",IF(COUNTIF($A$2:$A824,$A824)=1,1,0))</f>
        <v/>
      </c>
      <c r="W824">
        <f>IF($V824=1,SUMPRODUCT(--($Y$2:$Y$1501&lt;$Y824))+1,"")</f>
        <v/>
      </c>
      <c r="X824">
        <f>IF($A824="","",IF(OR($T824=TRUE(),$T824="TRUE"),1,0))</f>
        <v/>
      </c>
      <c r="Y824">
        <f>IF($V824=1,IFERROR(IF(VALUE($A824)&lt;100000000,VALUE($A824),1000000000),IFERROR(IF(VALUE(MID($A824,2,20))&lt;100000000,VALUE(MID($A824,2,20)),1000000000),1000000000))+ROW()/100000,"")</f>
        <v/>
      </c>
    </row>
    <row r="825">
      <c r="F825" s="7">
        <f>IF($A825="","",E825*L825/100)</f>
        <v/>
      </c>
      <c r="J825" s="7" t="n"/>
      <c r="K825" s="7">
        <f>IF($A825="","",N825*U825/100)</f>
        <v/>
      </c>
      <c r="L825" s="7">
        <f>IF($A825="","",N825-K825)</f>
        <v/>
      </c>
      <c r="M825" s="7">
        <f>IF($A825="","",L825-F825)</f>
        <v/>
      </c>
      <c r="N825" s="7" t="n"/>
      <c r="O825" s="7" t="n"/>
      <c r="P825" s="7" t="n"/>
      <c r="R825" s="14" t="n"/>
      <c r="V825">
        <f>IF($A825="","",IF(COUNTIF($A$2:$A825,$A825)=1,1,0))</f>
        <v/>
      </c>
      <c r="W825">
        <f>IF($V825=1,SUMPRODUCT(--($Y$2:$Y$1501&lt;$Y825))+1,"")</f>
        <v/>
      </c>
      <c r="X825">
        <f>IF($A825="","",IF(OR($T825=TRUE(),$T825="TRUE"),1,0))</f>
        <v/>
      </c>
      <c r="Y825">
        <f>IF($V825=1,IFERROR(IF(VALUE($A825)&lt;100000000,VALUE($A825),1000000000),IFERROR(IF(VALUE(MID($A825,2,20))&lt;100000000,VALUE(MID($A825,2,20)),1000000000),1000000000))+ROW()/100000,"")</f>
        <v/>
      </c>
    </row>
    <row r="826">
      <c r="F826" s="7">
        <f>IF($A826="","",E826*L826/100)</f>
        <v/>
      </c>
      <c r="J826" s="7" t="n"/>
      <c r="K826" s="7">
        <f>IF($A826="","",N826*U826/100)</f>
        <v/>
      </c>
      <c r="L826" s="7">
        <f>IF($A826="","",N826-K826)</f>
        <v/>
      </c>
      <c r="M826" s="7">
        <f>IF($A826="","",L826-F826)</f>
        <v/>
      </c>
      <c r="N826" s="7" t="n"/>
      <c r="O826" s="7" t="n"/>
      <c r="P826" s="7" t="n"/>
      <c r="R826" s="14" t="n"/>
      <c r="V826">
        <f>IF($A826="","",IF(COUNTIF($A$2:$A826,$A826)=1,1,0))</f>
        <v/>
      </c>
      <c r="W826">
        <f>IF($V826=1,SUMPRODUCT(--($Y$2:$Y$1501&lt;$Y826))+1,"")</f>
        <v/>
      </c>
      <c r="X826">
        <f>IF($A826="","",IF(OR($T826=TRUE(),$T826="TRUE"),1,0))</f>
        <v/>
      </c>
      <c r="Y826">
        <f>IF($V826=1,IFERROR(IF(VALUE($A826)&lt;100000000,VALUE($A826),1000000000),IFERROR(IF(VALUE(MID($A826,2,20))&lt;100000000,VALUE(MID($A826,2,20)),1000000000),1000000000))+ROW()/100000,"")</f>
        <v/>
      </c>
    </row>
    <row r="827">
      <c r="F827" s="7">
        <f>IF($A827="","",E827*L827/100)</f>
        <v/>
      </c>
      <c r="J827" s="7" t="n"/>
      <c r="K827" s="7">
        <f>IF($A827="","",N827*U827/100)</f>
        <v/>
      </c>
      <c r="L827" s="7">
        <f>IF($A827="","",N827-K827)</f>
        <v/>
      </c>
      <c r="M827" s="7">
        <f>IF($A827="","",L827-F827)</f>
        <v/>
      </c>
      <c r="N827" s="7" t="n"/>
      <c r="O827" s="7" t="n"/>
      <c r="P827" s="7" t="n"/>
      <c r="R827" s="14" t="n"/>
      <c r="V827">
        <f>IF($A827="","",IF(COUNTIF($A$2:$A827,$A827)=1,1,0))</f>
        <v/>
      </c>
      <c r="W827">
        <f>IF($V827=1,SUMPRODUCT(--($Y$2:$Y$1501&lt;$Y827))+1,"")</f>
        <v/>
      </c>
      <c r="X827">
        <f>IF($A827="","",IF(OR($T827=TRUE(),$T827="TRUE"),1,0))</f>
        <v/>
      </c>
      <c r="Y827">
        <f>IF($V827=1,IFERROR(IF(VALUE($A827)&lt;100000000,VALUE($A827),1000000000),IFERROR(IF(VALUE(MID($A827,2,20))&lt;100000000,VALUE(MID($A827,2,20)),1000000000),1000000000))+ROW()/100000,"")</f>
        <v/>
      </c>
    </row>
    <row r="828">
      <c r="F828" s="7">
        <f>IF($A828="","",E828*L828/100)</f>
        <v/>
      </c>
      <c r="J828" s="7" t="n"/>
      <c r="K828" s="7">
        <f>IF($A828="","",N828*U828/100)</f>
        <v/>
      </c>
      <c r="L828" s="7">
        <f>IF($A828="","",N828-K828)</f>
        <v/>
      </c>
      <c r="M828" s="7">
        <f>IF($A828="","",L828-F828)</f>
        <v/>
      </c>
      <c r="N828" s="7" t="n"/>
      <c r="O828" s="7" t="n"/>
      <c r="P828" s="7" t="n"/>
      <c r="R828" s="14" t="n"/>
      <c r="V828">
        <f>IF($A828="","",IF(COUNTIF($A$2:$A828,$A828)=1,1,0))</f>
        <v/>
      </c>
      <c r="W828">
        <f>IF($V828=1,SUMPRODUCT(--($Y$2:$Y$1501&lt;$Y828))+1,"")</f>
        <v/>
      </c>
      <c r="X828">
        <f>IF($A828="","",IF(OR($T828=TRUE(),$T828="TRUE"),1,0))</f>
        <v/>
      </c>
      <c r="Y828">
        <f>IF($V828=1,IFERROR(IF(VALUE($A828)&lt;100000000,VALUE($A828),1000000000),IFERROR(IF(VALUE(MID($A828,2,20))&lt;100000000,VALUE(MID($A828,2,20)),1000000000),1000000000))+ROW()/100000,"")</f>
        <v/>
      </c>
    </row>
    <row r="829">
      <c r="F829" s="7">
        <f>IF($A829="","",E829*L829/100)</f>
        <v/>
      </c>
      <c r="J829" s="7" t="n"/>
      <c r="K829" s="7">
        <f>IF($A829="","",N829*U829/100)</f>
        <v/>
      </c>
      <c r="L829" s="7">
        <f>IF($A829="","",N829-K829)</f>
        <v/>
      </c>
      <c r="M829" s="7">
        <f>IF($A829="","",L829-F829)</f>
        <v/>
      </c>
      <c r="N829" s="7" t="n"/>
      <c r="O829" s="7" t="n"/>
      <c r="P829" s="7" t="n"/>
      <c r="R829" s="14" t="n"/>
      <c r="V829">
        <f>IF($A829="","",IF(COUNTIF($A$2:$A829,$A829)=1,1,0))</f>
        <v/>
      </c>
      <c r="W829">
        <f>IF($V829=1,SUMPRODUCT(--($Y$2:$Y$1501&lt;$Y829))+1,"")</f>
        <v/>
      </c>
      <c r="X829">
        <f>IF($A829="","",IF(OR($T829=TRUE(),$T829="TRUE"),1,0))</f>
        <v/>
      </c>
      <c r="Y829">
        <f>IF($V829=1,IFERROR(IF(VALUE($A829)&lt;100000000,VALUE($A829),1000000000),IFERROR(IF(VALUE(MID($A829,2,20))&lt;100000000,VALUE(MID($A829,2,20)),1000000000),1000000000))+ROW()/100000,"")</f>
        <v/>
      </c>
    </row>
    <row r="830">
      <c r="F830" s="7">
        <f>IF($A830="","",E830*L830/100)</f>
        <v/>
      </c>
      <c r="J830" s="7" t="n"/>
      <c r="K830" s="7">
        <f>IF($A830="","",N830*U830/100)</f>
        <v/>
      </c>
      <c r="L830" s="7">
        <f>IF($A830="","",N830-K830)</f>
        <v/>
      </c>
      <c r="M830" s="7">
        <f>IF($A830="","",L830-F830)</f>
        <v/>
      </c>
      <c r="N830" s="7" t="n"/>
      <c r="O830" s="7" t="n"/>
      <c r="P830" s="7" t="n"/>
      <c r="R830" s="14" t="n"/>
      <c r="V830">
        <f>IF($A830="","",IF(COUNTIF($A$2:$A830,$A830)=1,1,0))</f>
        <v/>
      </c>
      <c r="W830">
        <f>IF($V830=1,SUMPRODUCT(--($Y$2:$Y$1501&lt;$Y830))+1,"")</f>
        <v/>
      </c>
      <c r="X830">
        <f>IF($A830="","",IF(OR($T830=TRUE(),$T830="TRUE"),1,0))</f>
        <v/>
      </c>
      <c r="Y830">
        <f>IF($V830=1,IFERROR(IF(VALUE($A830)&lt;100000000,VALUE($A830),1000000000),IFERROR(IF(VALUE(MID($A830,2,20))&lt;100000000,VALUE(MID($A830,2,20)),1000000000),1000000000))+ROW()/100000,"")</f>
        <v/>
      </c>
    </row>
    <row r="831">
      <c r="F831" s="7">
        <f>IF($A831="","",E831*L831/100)</f>
        <v/>
      </c>
      <c r="J831" s="7" t="n"/>
      <c r="K831" s="7">
        <f>IF($A831="","",N831*U831/100)</f>
        <v/>
      </c>
      <c r="L831" s="7">
        <f>IF($A831="","",N831-K831)</f>
        <v/>
      </c>
      <c r="M831" s="7">
        <f>IF($A831="","",L831-F831)</f>
        <v/>
      </c>
      <c r="N831" s="7" t="n"/>
      <c r="O831" s="7" t="n"/>
      <c r="P831" s="7" t="n"/>
      <c r="R831" s="14" t="n"/>
      <c r="V831">
        <f>IF($A831="","",IF(COUNTIF($A$2:$A831,$A831)=1,1,0))</f>
        <v/>
      </c>
      <c r="W831">
        <f>IF($V831=1,SUMPRODUCT(--($Y$2:$Y$1501&lt;$Y831))+1,"")</f>
        <v/>
      </c>
      <c r="X831">
        <f>IF($A831="","",IF(OR($T831=TRUE(),$T831="TRUE"),1,0))</f>
        <v/>
      </c>
      <c r="Y831">
        <f>IF($V831=1,IFERROR(IF(VALUE($A831)&lt;100000000,VALUE($A831),1000000000),IFERROR(IF(VALUE(MID($A831,2,20))&lt;100000000,VALUE(MID($A831,2,20)),1000000000),1000000000))+ROW()/100000,"")</f>
        <v/>
      </c>
    </row>
    <row r="832">
      <c r="F832" s="7">
        <f>IF($A832="","",E832*L832/100)</f>
        <v/>
      </c>
      <c r="J832" s="7" t="n"/>
      <c r="K832" s="7">
        <f>IF($A832="","",N832*U832/100)</f>
        <v/>
      </c>
      <c r="L832" s="7">
        <f>IF($A832="","",N832-K832)</f>
        <v/>
      </c>
      <c r="M832" s="7">
        <f>IF($A832="","",L832-F832)</f>
        <v/>
      </c>
      <c r="N832" s="7" t="n"/>
      <c r="O832" s="7" t="n"/>
      <c r="P832" s="7" t="n"/>
      <c r="R832" s="14" t="n"/>
      <c r="V832">
        <f>IF($A832="","",IF(COUNTIF($A$2:$A832,$A832)=1,1,0))</f>
        <v/>
      </c>
      <c r="W832">
        <f>IF($V832=1,SUMPRODUCT(--($Y$2:$Y$1501&lt;$Y832))+1,"")</f>
        <v/>
      </c>
      <c r="X832">
        <f>IF($A832="","",IF(OR($T832=TRUE(),$T832="TRUE"),1,0))</f>
        <v/>
      </c>
      <c r="Y832">
        <f>IF($V832=1,IFERROR(IF(VALUE($A832)&lt;100000000,VALUE($A832),1000000000),IFERROR(IF(VALUE(MID($A832,2,20))&lt;100000000,VALUE(MID($A832,2,20)),1000000000),1000000000))+ROW()/100000,"")</f>
        <v/>
      </c>
    </row>
    <row r="833">
      <c r="F833" s="7">
        <f>IF($A833="","",E833*L833/100)</f>
        <v/>
      </c>
      <c r="J833" s="7" t="n"/>
      <c r="K833" s="7">
        <f>IF($A833="","",N833*U833/100)</f>
        <v/>
      </c>
      <c r="L833" s="7">
        <f>IF($A833="","",N833-K833)</f>
        <v/>
      </c>
      <c r="M833" s="7">
        <f>IF($A833="","",L833-F833)</f>
        <v/>
      </c>
      <c r="N833" s="7" t="n"/>
      <c r="O833" s="7" t="n"/>
      <c r="P833" s="7" t="n"/>
      <c r="R833" s="14" t="n"/>
      <c r="V833">
        <f>IF($A833="","",IF(COUNTIF($A$2:$A833,$A833)=1,1,0))</f>
        <v/>
      </c>
      <c r="W833">
        <f>IF($V833=1,SUMPRODUCT(--($Y$2:$Y$1501&lt;$Y833))+1,"")</f>
        <v/>
      </c>
      <c r="X833">
        <f>IF($A833="","",IF(OR($T833=TRUE(),$T833="TRUE"),1,0))</f>
        <v/>
      </c>
      <c r="Y833">
        <f>IF($V833=1,IFERROR(IF(VALUE($A833)&lt;100000000,VALUE($A833),1000000000),IFERROR(IF(VALUE(MID($A833,2,20))&lt;100000000,VALUE(MID($A833,2,20)),1000000000),1000000000))+ROW()/100000,"")</f>
        <v/>
      </c>
    </row>
    <row r="834">
      <c r="F834" s="7">
        <f>IF($A834="","",E834*L834/100)</f>
        <v/>
      </c>
      <c r="J834" s="7" t="n"/>
      <c r="K834" s="7">
        <f>IF($A834="","",N834*U834/100)</f>
        <v/>
      </c>
      <c r="L834" s="7">
        <f>IF($A834="","",N834-K834)</f>
        <v/>
      </c>
      <c r="M834" s="7">
        <f>IF($A834="","",L834-F834)</f>
        <v/>
      </c>
      <c r="N834" s="7" t="n"/>
      <c r="O834" s="7" t="n"/>
      <c r="P834" s="7" t="n"/>
      <c r="R834" s="14" t="n"/>
      <c r="V834">
        <f>IF($A834="","",IF(COUNTIF($A$2:$A834,$A834)=1,1,0))</f>
        <v/>
      </c>
      <c r="W834">
        <f>IF($V834=1,SUMPRODUCT(--($Y$2:$Y$1501&lt;$Y834))+1,"")</f>
        <v/>
      </c>
      <c r="X834">
        <f>IF($A834="","",IF(OR($T834=TRUE(),$T834="TRUE"),1,0))</f>
        <v/>
      </c>
      <c r="Y834">
        <f>IF($V834=1,IFERROR(IF(VALUE($A834)&lt;100000000,VALUE($A834),1000000000),IFERROR(IF(VALUE(MID($A834,2,20))&lt;100000000,VALUE(MID($A834,2,20)),1000000000),1000000000))+ROW()/100000,"")</f>
        <v/>
      </c>
    </row>
    <row r="835">
      <c r="F835" s="7">
        <f>IF($A835="","",E835*L835/100)</f>
        <v/>
      </c>
      <c r="J835" s="7" t="n"/>
      <c r="K835" s="7">
        <f>IF($A835="","",N835*U835/100)</f>
        <v/>
      </c>
      <c r="L835" s="7">
        <f>IF($A835="","",N835-K835)</f>
        <v/>
      </c>
      <c r="M835" s="7">
        <f>IF($A835="","",L835-F835)</f>
        <v/>
      </c>
      <c r="N835" s="7" t="n"/>
      <c r="O835" s="7" t="n"/>
      <c r="P835" s="7" t="n"/>
      <c r="R835" s="14" t="n"/>
      <c r="V835">
        <f>IF($A835="","",IF(COUNTIF($A$2:$A835,$A835)=1,1,0))</f>
        <v/>
      </c>
      <c r="W835">
        <f>IF($V835=1,SUMPRODUCT(--($Y$2:$Y$1501&lt;$Y835))+1,"")</f>
        <v/>
      </c>
      <c r="X835">
        <f>IF($A835="","",IF(OR($T835=TRUE(),$T835="TRUE"),1,0))</f>
        <v/>
      </c>
      <c r="Y835">
        <f>IF($V835=1,IFERROR(IF(VALUE($A835)&lt;100000000,VALUE($A835),1000000000),IFERROR(IF(VALUE(MID($A835,2,20))&lt;100000000,VALUE(MID($A835,2,20)),1000000000),1000000000))+ROW()/100000,"")</f>
        <v/>
      </c>
    </row>
    <row r="836">
      <c r="F836" s="7">
        <f>IF($A836="","",E836*L836/100)</f>
        <v/>
      </c>
      <c r="J836" s="7" t="n"/>
      <c r="K836" s="7">
        <f>IF($A836="","",N836*U836/100)</f>
        <v/>
      </c>
      <c r="L836" s="7">
        <f>IF($A836="","",N836-K836)</f>
        <v/>
      </c>
      <c r="M836" s="7">
        <f>IF($A836="","",L836-F836)</f>
        <v/>
      </c>
      <c r="N836" s="7" t="n"/>
      <c r="O836" s="7" t="n"/>
      <c r="P836" s="7" t="n"/>
      <c r="R836" s="14" t="n"/>
      <c r="V836">
        <f>IF($A836="","",IF(COUNTIF($A$2:$A836,$A836)=1,1,0))</f>
        <v/>
      </c>
      <c r="W836">
        <f>IF($V836=1,SUMPRODUCT(--($Y$2:$Y$1501&lt;$Y836))+1,"")</f>
        <v/>
      </c>
      <c r="X836">
        <f>IF($A836="","",IF(OR($T836=TRUE(),$T836="TRUE"),1,0))</f>
        <v/>
      </c>
      <c r="Y836">
        <f>IF($V836=1,IFERROR(IF(VALUE($A836)&lt;100000000,VALUE($A836),1000000000),IFERROR(IF(VALUE(MID($A836,2,20))&lt;100000000,VALUE(MID($A836,2,20)),1000000000),1000000000))+ROW()/100000,"")</f>
        <v/>
      </c>
    </row>
    <row r="837">
      <c r="F837" s="7">
        <f>IF($A837="","",E837*L837/100)</f>
        <v/>
      </c>
      <c r="J837" s="7" t="n"/>
      <c r="K837" s="7">
        <f>IF($A837="","",N837*U837/100)</f>
        <v/>
      </c>
      <c r="L837" s="7">
        <f>IF($A837="","",N837-K837)</f>
        <v/>
      </c>
      <c r="M837" s="7">
        <f>IF($A837="","",L837-F837)</f>
        <v/>
      </c>
      <c r="N837" s="7" t="n"/>
      <c r="O837" s="7" t="n"/>
      <c r="P837" s="7" t="n"/>
      <c r="R837" s="14" t="n"/>
      <c r="V837">
        <f>IF($A837="","",IF(COUNTIF($A$2:$A837,$A837)=1,1,0))</f>
        <v/>
      </c>
      <c r="W837">
        <f>IF($V837=1,SUMPRODUCT(--($Y$2:$Y$1501&lt;$Y837))+1,"")</f>
        <v/>
      </c>
      <c r="X837">
        <f>IF($A837="","",IF(OR($T837=TRUE(),$T837="TRUE"),1,0))</f>
        <v/>
      </c>
      <c r="Y837">
        <f>IF($V837=1,IFERROR(IF(VALUE($A837)&lt;100000000,VALUE($A837),1000000000),IFERROR(IF(VALUE(MID($A837,2,20))&lt;100000000,VALUE(MID($A837,2,20)),1000000000),1000000000))+ROW()/100000,"")</f>
        <v/>
      </c>
    </row>
    <row r="838">
      <c r="F838" s="7">
        <f>IF($A838="","",E838*L838/100)</f>
        <v/>
      </c>
      <c r="J838" s="7" t="n"/>
      <c r="K838" s="7">
        <f>IF($A838="","",N838*U838/100)</f>
        <v/>
      </c>
      <c r="L838" s="7">
        <f>IF($A838="","",N838-K838)</f>
        <v/>
      </c>
      <c r="M838" s="7">
        <f>IF($A838="","",L838-F838)</f>
        <v/>
      </c>
      <c r="N838" s="7" t="n"/>
      <c r="O838" s="7" t="n"/>
      <c r="P838" s="7" t="n"/>
      <c r="R838" s="14" t="n"/>
      <c r="V838">
        <f>IF($A838="","",IF(COUNTIF($A$2:$A838,$A838)=1,1,0))</f>
        <v/>
      </c>
      <c r="W838">
        <f>IF($V838=1,SUMPRODUCT(--($Y$2:$Y$1501&lt;$Y838))+1,"")</f>
        <v/>
      </c>
      <c r="X838">
        <f>IF($A838="","",IF(OR($T838=TRUE(),$T838="TRUE"),1,0))</f>
        <v/>
      </c>
      <c r="Y838">
        <f>IF($V838=1,IFERROR(IF(VALUE($A838)&lt;100000000,VALUE($A838),1000000000),IFERROR(IF(VALUE(MID($A838,2,20))&lt;100000000,VALUE(MID($A838,2,20)),1000000000),1000000000))+ROW()/100000,"")</f>
        <v/>
      </c>
    </row>
    <row r="839">
      <c r="F839" s="7">
        <f>IF($A839="","",E839*L839/100)</f>
        <v/>
      </c>
      <c r="J839" s="7" t="n"/>
      <c r="K839" s="7">
        <f>IF($A839="","",N839*U839/100)</f>
        <v/>
      </c>
      <c r="L839" s="7">
        <f>IF($A839="","",N839-K839)</f>
        <v/>
      </c>
      <c r="M839" s="7">
        <f>IF($A839="","",L839-F839)</f>
        <v/>
      </c>
      <c r="N839" s="7" t="n"/>
      <c r="O839" s="7" t="n"/>
      <c r="P839" s="7" t="n"/>
      <c r="R839" s="14" t="n"/>
      <c r="V839">
        <f>IF($A839="","",IF(COUNTIF($A$2:$A839,$A839)=1,1,0))</f>
        <v/>
      </c>
      <c r="W839">
        <f>IF($V839=1,SUMPRODUCT(--($Y$2:$Y$1501&lt;$Y839))+1,"")</f>
        <v/>
      </c>
      <c r="X839">
        <f>IF($A839="","",IF(OR($T839=TRUE(),$T839="TRUE"),1,0))</f>
        <v/>
      </c>
      <c r="Y839">
        <f>IF($V839=1,IFERROR(IF(VALUE($A839)&lt;100000000,VALUE($A839),1000000000),IFERROR(IF(VALUE(MID($A839,2,20))&lt;100000000,VALUE(MID($A839,2,20)),1000000000),1000000000))+ROW()/100000,"")</f>
        <v/>
      </c>
    </row>
    <row r="840">
      <c r="F840" s="7">
        <f>IF($A840="","",E840*L840/100)</f>
        <v/>
      </c>
      <c r="J840" s="7" t="n"/>
      <c r="K840" s="7">
        <f>IF($A840="","",N840*U840/100)</f>
        <v/>
      </c>
      <c r="L840" s="7">
        <f>IF($A840="","",N840-K840)</f>
        <v/>
      </c>
      <c r="M840" s="7">
        <f>IF($A840="","",L840-F840)</f>
        <v/>
      </c>
      <c r="N840" s="7" t="n"/>
      <c r="O840" s="7" t="n"/>
      <c r="P840" s="7" t="n"/>
      <c r="R840" s="14" t="n"/>
      <c r="V840">
        <f>IF($A840="","",IF(COUNTIF($A$2:$A840,$A840)=1,1,0))</f>
        <v/>
      </c>
      <c r="W840">
        <f>IF($V840=1,SUMPRODUCT(--($Y$2:$Y$1501&lt;$Y840))+1,"")</f>
        <v/>
      </c>
      <c r="X840">
        <f>IF($A840="","",IF(OR($T840=TRUE(),$T840="TRUE"),1,0))</f>
        <v/>
      </c>
      <c r="Y840">
        <f>IF($V840=1,IFERROR(IF(VALUE($A840)&lt;100000000,VALUE($A840),1000000000),IFERROR(IF(VALUE(MID($A840,2,20))&lt;100000000,VALUE(MID($A840,2,20)),1000000000),1000000000))+ROW()/100000,"")</f>
        <v/>
      </c>
    </row>
    <row r="841">
      <c r="F841" s="7">
        <f>IF($A841="","",E841*L841/100)</f>
        <v/>
      </c>
      <c r="J841" s="7" t="n"/>
      <c r="K841" s="7">
        <f>IF($A841="","",N841*U841/100)</f>
        <v/>
      </c>
      <c r="L841" s="7">
        <f>IF($A841="","",N841-K841)</f>
        <v/>
      </c>
      <c r="M841" s="7">
        <f>IF($A841="","",L841-F841)</f>
        <v/>
      </c>
      <c r="N841" s="7" t="n"/>
      <c r="O841" s="7" t="n"/>
      <c r="P841" s="7" t="n"/>
      <c r="R841" s="14" t="n"/>
      <c r="V841">
        <f>IF($A841="","",IF(COUNTIF($A$2:$A841,$A841)=1,1,0))</f>
        <v/>
      </c>
      <c r="W841">
        <f>IF($V841=1,SUMPRODUCT(--($Y$2:$Y$1501&lt;$Y841))+1,"")</f>
        <v/>
      </c>
      <c r="X841">
        <f>IF($A841="","",IF(OR($T841=TRUE(),$T841="TRUE"),1,0))</f>
        <v/>
      </c>
      <c r="Y841">
        <f>IF($V841=1,IFERROR(IF(VALUE($A841)&lt;100000000,VALUE($A841),1000000000),IFERROR(IF(VALUE(MID($A841,2,20))&lt;100000000,VALUE(MID($A841,2,20)),1000000000),1000000000))+ROW()/100000,"")</f>
        <v/>
      </c>
    </row>
    <row r="842">
      <c r="F842" s="7">
        <f>IF($A842="","",E842*L842/100)</f>
        <v/>
      </c>
      <c r="J842" s="7" t="n"/>
      <c r="K842" s="7">
        <f>IF($A842="","",N842*U842/100)</f>
        <v/>
      </c>
      <c r="L842" s="7">
        <f>IF($A842="","",N842-K842)</f>
        <v/>
      </c>
      <c r="M842" s="7">
        <f>IF($A842="","",L842-F842)</f>
        <v/>
      </c>
      <c r="N842" s="7" t="n"/>
      <c r="O842" s="7" t="n"/>
      <c r="P842" s="7" t="n"/>
      <c r="R842" s="14" t="n"/>
      <c r="V842">
        <f>IF($A842="","",IF(COUNTIF($A$2:$A842,$A842)=1,1,0))</f>
        <v/>
      </c>
      <c r="W842">
        <f>IF($V842=1,SUMPRODUCT(--($Y$2:$Y$1501&lt;$Y842))+1,"")</f>
        <v/>
      </c>
      <c r="X842">
        <f>IF($A842="","",IF(OR($T842=TRUE(),$T842="TRUE"),1,0))</f>
        <v/>
      </c>
      <c r="Y842">
        <f>IF($V842=1,IFERROR(IF(VALUE($A842)&lt;100000000,VALUE($A842),1000000000),IFERROR(IF(VALUE(MID($A842,2,20))&lt;100000000,VALUE(MID($A842,2,20)),1000000000),1000000000))+ROW()/100000,"")</f>
        <v/>
      </c>
    </row>
    <row r="843">
      <c r="F843" s="7">
        <f>IF($A843="","",E843*L843/100)</f>
        <v/>
      </c>
      <c r="J843" s="7" t="n"/>
      <c r="K843" s="7">
        <f>IF($A843="","",N843*U843/100)</f>
        <v/>
      </c>
      <c r="L843" s="7">
        <f>IF($A843="","",N843-K843)</f>
        <v/>
      </c>
      <c r="M843" s="7">
        <f>IF($A843="","",L843-F843)</f>
        <v/>
      </c>
      <c r="N843" s="7" t="n"/>
      <c r="O843" s="7" t="n"/>
      <c r="P843" s="7" t="n"/>
      <c r="R843" s="14" t="n"/>
      <c r="V843">
        <f>IF($A843="","",IF(COUNTIF($A$2:$A843,$A843)=1,1,0))</f>
        <v/>
      </c>
      <c r="W843">
        <f>IF($V843=1,SUMPRODUCT(--($Y$2:$Y$1501&lt;$Y843))+1,"")</f>
        <v/>
      </c>
      <c r="X843">
        <f>IF($A843="","",IF(OR($T843=TRUE(),$T843="TRUE"),1,0))</f>
        <v/>
      </c>
      <c r="Y843">
        <f>IF($V843=1,IFERROR(IF(VALUE($A843)&lt;100000000,VALUE($A843),1000000000),IFERROR(IF(VALUE(MID($A843,2,20))&lt;100000000,VALUE(MID($A843,2,20)),1000000000),1000000000))+ROW()/100000,"")</f>
        <v/>
      </c>
    </row>
    <row r="844">
      <c r="F844" s="7">
        <f>IF($A844="","",E844*L844/100)</f>
        <v/>
      </c>
      <c r="J844" s="7" t="n"/>
      <c r="K844" s="7">
        <f>IF($A844="","",N844*U844/100)</f>
        <v/>
      </c>
      <c r="L844" s="7">
        <f>IF($A844="","",N844-K844)</f>
        <v/>
      </c>
      <c r="M844" s="7">
        <f>IF($A844="","",L844-F844)</f>
        <v/>
      </c>
      <c r="N844" s="7" t="n"/>
      <c r="O844" s="7" t="n"/>
      <c r="P844" s="7" t="n"/>
      <c r="R844" s="14" t="n"/>
      <c r="V844">
        <f>IF($A844="","",IF(COUNTIF($A$2:$A844,$A844)=1,1,0))</f>
        <v/>
      </c>
      <c r="W844">
        <f>IF($V844=1,SUMPRODUCT(--($Y$2:$Y$1501&lt;$Y844))+1,"")</f>
        <v/>
      </c>
      <c r="X844">
        <f>IF($A844="","",IF(OR($T844=TRUE(),$T844="TRUE"),1,0))</f>
        <v/>
      </c>
      <c r="Y844">
        <f>IF($V844=1,IFERROR(IF(VALUE($A844)&lt;100000000,VALUE($A844),1000000000),IFERROR(IF(VALUE(MID($A844,2,20))&lt;100000000,VALUE(MID($A844,2,20)),1000000000),1000000000))+ROW()/100000,"")</f>
        <v/>
      </c>
    </row>
    <row r="845">
      <c r="F845" s="7">
        <f>IF($A845="","",E845*L845/100)</f>
        <v/>
      </c>
      <c r="J845" s="7" t="n"/>
      <c r="K845" s="7">
        <f>IF($A845="","",N845*U845/100)</f>
        <v/>
      </c>
      <c r="L845" s="7">
        <f>IF($A845="","",N845-K845)</f>
        <v/>
      </c>
      <c r="M845" s="7">
        <f>IF($A845="","",L845-F845)</f>
        <v/>
      </c>
      <c r="N845" s="7" t="n"/>
      <c r="O845" s="7" t="n"/>
      <c r="P845" s="7" t="n"/>
      <c r="R845" s="14" t="n"/>
      <c r="V845">
        <f>IF($A845="","",IF(COUNTIF($A$2:$A845,$A845)=1,1,0))</f>
        <v/>
      </c>
      <c r="W845">
        <f>IF($V845=1,SUMPRODUCT(--($Y$2:$Y$1501&lt;$Y845))+1,"")</f>
        <v/>
      </c>
      <c r="X845">
        <f>IF($A845="","",IF(OR($T845=TRUE(),$T845="TRUE"),1,0))</f>
        <v/>
      </c>
      <c r="Y845">
        <f>IF($V845=1,IFERROR(IF(VALUE($A845)&lt;100000000,VALUE($A845),1000000000),IFERROR(IF(VALUE(MID($A845,2,20))&lt;100000000,VALUE(MID($A845,2,20)),1000000000),1000000000))+ROW()/100000,"")</f>
        <v/>
      </c>
    </row>
    <row r="846">
      <c r="F846" s="7">
        <f>IF($A846="","",E846*L846/100)</f>
        <v/>
      </c>
      <c r="J846" s="7" t="n"/>
      <c r="K846" s="7">
        <f>IF($A846="","",N846*U846/100)</f>
        <v/>
      </c>
      <c r="L846" s="7">
        <f>IF($A846="","",N846-K846)</f>
        <v/>
      </c>
      <c r="M846" s="7">
        <f>IF($A846="","",L846-F846)</f>
        <v/>
      </c>
      <c r="N846" s="7" t="n"/>
      <c r="O846" s="7" t="n"/>
      <c r="P846" s="7" t="n"/>
      <c r="R846" s="14" t="n"/>
      <c r="V846">
        <f>IF($A846="","",IF(COUNTIF($A$2:$A846,$A846)=1,1,0))</f>
        <v/>
      </c>
      <c r="W846">
        <f>IF($V846=1,SUMPRODUCT(--($Y$2:$Y$1501&lt;$Y846))+1,"")</f>
        <v/>
      </c>
      <c r="X846">
        <f>IF($A846="","",IF(OR($T846=TRUE(),$T846="TRUE"),1,0))</f>
        <v/>
      </c>
      <c r="Y846">
        <f>IF($V846=1,IFERROR(IF(VALUE($A846)&lt;100000000,VALUE($A846),1000000000),IFERROR(IF(VALUE(MID($A846,2,20))&lt;100000000,VALUE(MID($A846,2,20)),1000000000),1000000000))+ROW()/100000,"")</f>
        <v/>
      </c>
    </row>
    <row r="847">
      <c r="F847" s="7">
        <f>IF($A847="","",E847*L847/100)</f>
        <v/>
      </c>
      <c r="J847" s="7" t="n"/>
      <c r="K847" s="7">
        <f>IF($A847="","",N847*U847/100)</f>
        <v/>
      </c>
      <c r="L847" s="7">
        <f>IF($A847="","",N847-K847)</f>
        <v/>
      </c>
      <c r="M847" s="7">
        <f>IF($A847="","",L847-F847)</f>
        <v/>
      </c>
      <c r="N847" s="7" t="n"/>
      <c r="O847" s="7" t="n"/>
      <c r="P847" s="7" t="n"/>
      <c r="R847" s="14" t="n"/>
      <c r="V847">
        <f>IF($A847="","",IF(COUNTIF($A$2:$A847,$A847)=1,1,0))</f>
        <v/>
      </c>
      <c r="W847">
        <f>IF($V847=1,SUMPRODUCT(--($Y$2:$Y$1501&lt;$Y847))+1,"")</f>
        <v/>
      </c>
      <c r="X847">
        <f>IF($A847="","",IF(OR($T847=TRUE(),$T847="TRUE"),1,0))</f>
        <v/>
      </c>
      <c r="Y847">
        <f>IF($V847=1,IFERROR(IF(VALUE($A847)&lt;100000000,VALUE($A847),1000000000),IFERROR(IF(VALUE(MID($A847,2,20))&lt;100000000,VALUE(MID($A847,2,20)),1000000000),1000000000))+ROW()/100000,"")</f>
        <v/>
      </c>
    </row>
    <row r="848">
      <c r="F848" s="7">
        <f>IF($A848="","",E848*L848/100)</f>
        <v/>
      </c>
      <c r="J848" s="7" t="n"/>
      <c r="K848" s="7">
        <f>IF($A848="","",N848*U848/100)</f>
        <v/>
      </c>
      <c r="L848" s="7">
        <f>IF($A848="","",N848-K848)</f>
        <v/>
      </c>
      <c r="M848" s="7">
        <f>IF($A848="","",L848-F848)</f>
        <v/>
      </c>
      <c r="N848" s="7" t="n"/>
      <c r="O848" s="7" t="n"/>
      <c r="P848" s="7" t="n"/>
      <c r="R848" s="14" t="n"/>
      <c r="V848">
        <f>IF($A848="","",IF(COUNTIF($A$2:$A848,$A848)=1,1,0))</f>
        <v/>
      </c>
      <c r="W848">
        <f>IF($V848=1,SUMPRODUCT(--($Y$2:$Y$1501&lt;$Y848))+1,"")</f>
        <v/>
      </c>
      <c r="X848">
        <f>IF($A848="","",IF(OR($T848=TRUE(),$T848="TRUE"),1,0))</f>
        <v/>
      </c>
      <c r="Y848">
        <f>IF($V848=1,IFERROR(IF(VALUE($A848)&lt;100000000,VALUE($A848),1000000000),IFERROR(IF(VALUE(MID($A848,2,20))&lt;100000000,VALUE(MID($A848,2,20)),1000000000),1000000000))+ROW()/100000,"")</f>
        <v/>
      </c>
    </row>
    <row r="849">
      <c r="F849" s="7">
        <f>IF($A849="","",E849*L849/100)</f>
        <v/>
      </c>
      <c r="J849" s="7" t="n"/>
      <c r="K849" s="7">
        <f>IF($A849="","",N849*U849/100)</f>
        <v/>
      </c>
      <c r="L849" s="7">
        <f>IF($A849="","",N849-K849)</f>
        <v/>
      </c>
      <c r="M849" s="7">
        <f>IF($A849="","",L849-F849)</f>
        <v/>
      </c>
      <c r="N849" s="7" t="n"/>
      <c r="O849" s="7" t="n"/>
      <c r="P849" s="7" t="n"/>
      <c r="R849" s="14" t="n"/>
      <c r="V849">
        <f>IF($A849="","",IF(COUNTIF($A$2:$A849,$A849)=1,1,0))</f>
        <v/>
      </c>
      <c r="W849">
        <f>IF($V849=1,SUMPRODUCT(--($Y$2:$Y$1501&lt;$Y849))+1,"")</f>
        <v/>
      </c>
      <c r="X849">
        <f>IF($A849="","",IF(OR($T849=TRUE(),$T849="TRUE"),1,0))</f>
        <v/>
      </c>
      <c r="Y849">
        <f>IF($V849=1,IFERROR(IF(VALUE($A849)&lt;100000000,VALUE($A849),1000000000),IFERROR(IF(VALUE(MID($A849,2,20))&lt;100000000,VALUE(MID($A849,2,20)),1000000000),1000000000))+ROW()/100000,"")</f>
        <v/>
      </c>
    </row>
    <row r="850">
      <c r="F850" s="7">
        <f>IF($A850="","",E850*L850/100)</f>
        <v/>
      </c>
      <c r="J850" s="7" t="n"/>
      <c r="K850" s="7">
        <f>IF($A850="","",N850*U850/100)</f>
        <v/>
      </c>
      <c r="L850" s="7">
        <f>IF($A850="","",N850-K850)</f>
        <v/>
      </c>
      <c r="M850" s="7">
        <f>IF($A850="","",L850-F850)</f>
        <v/>
      </c>
      <c r="N850" s="7" t="n"/>
      <c r="O850" s="7" t="n"/>
      <c r="P850" s="7" t="n"/>
      <c r="R850" s="14" t="n"/>
      <c r="V850">
        <f>IF($A850="","",IF(COUNTIF($A$2:$A850,$A850)=1,1,0))</f>
        <v/>
      </c>
      <c r="W850">
        <f>IF($V850=1,SUMPRODUCT(--($Y$2:$Y$1501&lt;$Y850))+1,"")</f>
        <v/>
      </c>
      <c r="X850">
        <f>IF($A850="","",IF(OR($T850=TRUE(),$T850="TRUE"),1,0))</f>
        <v/>
      </c>
      <c r="Y850">
        <f>IF($V850=1,IFERROR(IF(VALUE($A850)&lt;100000000,VALUE($A850),1000000000),IFERROR(IF(VALUE(MID($A850,2,20))&lt;100000000,VALUE(MID($A850,2,20)),1000000000),1000000000))+ROW()/100000,"")</f>
        <v/>
      </c>
    </row>
    <row r="851">
      <c r="F851" s="7">
        <f>IF($A851="","",E851*L851/100)</f>
        <v/>
      </c>
      <c r="J851" s="7" t="n"/>
      <c r="K851" s="7">
        <f>IF($A851="","",N851*U851/100)</f>
        <v/>
      </c>
      <c r="L851" s="7">
        <f>IF($A851="","",N851-K851)</f>
        <v/>
      </c>
      <c r="M851" s="7">
        <f>IF($A851="","",L851-F851)</f>
        <v/>
      </c>
      <c r="N851" s="7" t="n"/>
      <c r="O851" s="7" t="n"/>
      <c r="P851" s="7" t="n"/>
      <c r="R851" s="14" t="n"/>
      <c r="V851">
        <f>IF($A851="","",IF(COUNTIF($A$2:$A851,$A851)=1,1,0))</f>
        <v/>
      </c>
      <c r="W851">
        <f>IF($V851=1,SUMPRODUCT(--($Y$2:$Y$1501&lt;$Y851))+1,"")</f>
        <v/>
      </c>
      <c r="X851">
        <f>IF($A851="","",IF(OR($T851=TRUE(),$T851="TRUE"),1,0))</f>
        <v/>
      </c>
      <c r="Y851">
        <f>IF($V851=1,IFERROR(IF(VALUE($A851)&lt;100000000,VALUE($A851),1000000000),IFERROR(IF(VALUE(MID($A851,2,20))&lt;100000000,VALUE(MID($A851,2,20)),1000000000),1000000000))+ROW()/100000,"")</f>
        <v/>
      </c>
    </row>
    <row r="852">
      <c r="F852" s="7">
        <f>IF($A852="","",E852*L852/100)</f>
        <v/>
      </c>
      <c r="J852" s="7" t="n"/>
      <c r="K852" s="7">
        <f>IF($A852="","",N852*U852/100)</f>
        <v/>
      </c>
      <c r="L852" s="7">
        <f>IF($A852="","",N852-K852)</f>
        <v/>
      </c>
      <c r="M852" s="7">
        <f>IF($A852="","",L852-F852)</f>
        <v/>
      </c>
      <c r="N852" s="7" t="n"/>
      <c r="O852" s="7" t="n"/>
      <c r="P852" s="7" t="n"/>
      <c r="R852" s="14" t="n"/>
      <c r="V852">
        <f>IF($A852="","",IF(COUNTIF($A$2:$A852,$A852)=1,1,0))</f>
        <v/>
      </c>
      <c r="W852">
        <f>IF($V852=1,SUMPRODUCT(--($Y$2:$Y$1501&lt;$Y852))+1,"")</f>
        <v/>
      </c>
      <c r="X852">
        <f>IF($A852="","",IF(OR($T852=TRUE(),$T852="TRUE"),1,0))</f>
        <v/>
      </c>
      <c r="Y852">
        <f>IF($V852=1,IFERROR(IF(VALUE($A852)&lt;100000000,VALUE($A852),1000000000),IFERROR(IF(VALUE(MID($A852,2,20))&lt;100000000,VALUE(MID($A852,2,20)),1000000000),1000000000))+ROW()/100000,"")</f>
        <v/>
      </c>
    </row>
    <row r="853">
      <c r="F853" s="7">
        <f>IF($A853="","",E853*L853/100)</f>
        <v/>
      </c>
      <c r="J853" s="7" t="n"/>
      <c r="K853" s="7">
        <f>IF($A853="","",N853*U853/100)</f>
        <v/>
      </c>
      <c r="L853" s="7">
        <f>IF($A853="","",N853-K853)</f>
        <v/>
      </c>
      <c r="M853" s="7">
        <f>IF($A853="","",L853-F853)</f>
        <v/>
      </c>
      <c r="N853" s="7" t="n"/>
      <c r="O853" s="7" t="n"/>
      <c r="P853" s="7" t="n"/>
      <c r="R853" s="14" t="n"/>
      <c r="V853">
        <f>IF($A853="","",IF(COUNTIF($A$2:$A853,$A853)=1,1,0))</f>
        <v/>
      </c>
      <c r="W853">
        <f>IF($V853=1,SUMPRODUCT(--($Y$2:$Y$1501&lt;$Y853))+1,"")</f>
        <v/>
      </c>
      <c r="X853">
        <f>IF($A853="","",IF(OR($T853=TRUE(),$T853="TRUE"),1,0))</f>
        <v/>
      </c>
      <c r="Y853">
        <f>IF($V853=1,IFERROR(IF(VALUE($A853)&lt;100000000,VALUE($A853),1000000000),IFERROR(IF(VALUE(MID($A853,2,20))&lt;100000000,VALUE(MID($A853,2,20)),1000000000),1000000000))+ROW()/100000,"")</f>
        <v/>
      </c>
    </row>
    <row r="854">
      <c r="F854" s="7">
        <f>IF($A854="","",E854*L854/100)</f>
        <v/>
      </c>
      <c r="J854" s="7" t="n"/>
      <c r="K854" s="7">
        <f>IF($A854="","",N854*U854/100)</f>
        <v/>
      </c>
      <c r="L854" s="7">
        <f>IF($A854="","",N854-K854)</f>
        <v/>
      </c>
      <c r="M854" s="7">
        <f>IF($A854="","",L854-F854)</f>
        <v/>
      </c>
      <c r="N854" s="7" t="n"/>
      <c r="O854" s="7" t="n"/>
      <c r="P854" s="7" t="n"/>
      <c r="R854" s="14" t="n"/>
      <c r="V854">
        <f>IF($A854="","",IF(COUNTIF($A$2:$A854,$A854)=1,1,0))</f>
        <v/>
      </c>
      <c r="W854">
        <f>IF($V854=1,SUMPRODUCT(--($Y$2:$Y$1501&lt;$Y854))+1,"")</f>
        <v/>
      </c>
      <c r="X854">
        <f>IF($A854="","",IF(OR($T854=TRUE(),$T854="TRUE"),1,0))</f>
        <v/>
      </c>
      <c r="Y854">
        <f>IF($V854=1,IFERROR(IF(VALUE($A854)&lt;100000000,VALUE($A854),1000000000),IFERROR(IF(VALUE(MID($A854,2,20))&lt;100000000,VALUE(MID($A854,2,20)),1000000000),1000000000))+ROW()/100000,"")</f>
        <v/>
      </c>
    </row>
    <row r="855">
      <c r="F855" s="7">
        <f>IF($A855="","",E855*L855/100)</f>
        <v/>
      </c>
      <c r="J855" s="7" t="n"/>
      <c r="K855" s="7">
        <f>IF($A855="","",N855*U855/100)</f>
        <v/>
      </c>
      <c r="L855" s="7">
        <f>IF($A855="","",N855-K855)</f>
        <v/>
      </c>
      <c r="M855" s="7">
        <f>IF($A855="","",L855-F855)</f>
        <v/>
      </c>
      <c r="N855" s="7" t="n"/>
      <c r="O855" s="7" t="n"/>
      <c r="P855" s="7" t="n"/>
      <c r="R855" s="14" t="n"/>
      <c r="V855">
        <f>IF($A855="","",IF(COUNTIF($A$2:$A855,$A855)=1,1,0))</f>
        <v/>
      </c>
      <c r="W855">
        <f>IF($V855=1,SUMPRODUCT(--($Y$2:$Y$1501&lt;$Y855))+1,"")</f>
        <v/>
      </c>
      <c r="X855">
        <f>IF($A855="","",IF(OR($T855=TRUE(),$T855="TRUE"),1,0))</f>
        <v/>
      </c>
      <c r="Y855">
        <f>IF($V855=1,IFERROR(IF(VALUE($A855)&lt;100000000,VALUE($A855),1000000000),IFERROR(IF(VALUE(MID($A855,2,20))&lt;100000000,VALUE(MID($A855,2,20)),1000000000),1000000000))+ROW()/100000,"")</f>
        <v/>
      </c>
    </row>
    <row r="856">
      <c r="F856" s="7">
        <f>IF($A856="","",E856*L856/100)</f>
        <v/>
      </c>
      <c r="J856" s="7" t="n"/>
      <c r="K856" s="7">
        <f>IF($A856="","",N856*U856/100)</f>
        <v/>
      </c>
      <c r="L856" s="7">
        <f>IF($A856="","",N856-K856)</f>
        <v/>
      </c>
      <c r="M856" s="7">
        <f>IF($A856="","",L856-F856)</f>
        <v/>
      </c>
      <c r="N856" s="7" t="n"/>
      <c r="O856" s="7" t="n"/>
      <c r="P856" s="7" t="n"/>
      <c r="R856" s="14" t="n"/>
      <c r="V856">
        <f>IF($A856="","",IF(COUNTIF($A$2:$A856,$A856)=1,1,0))</f>
        <v/>
      </c>
      <c r="W856">
        <f>IF($V856=1,SUMPRODUCT(--($Y$2:$Y$1501&lt;$Y856))+1,"")</f>
        <v/>
      </c>
      <c r="X856">
        <f>IF($A856="","",IF(OR($T856=TRUE(),$T856="TRUE"),1,0))</f>
        <v/>
      </c>
      <c r="Y856">
        <f>IF($V856=1,IFERROR(IF(VALUE($A856)&lt;100000000,VALUE($A856),1000000000),IFERROR(IF(VALUE(MID($A856,2,20))&lt;100000000,VALUE(MID($A856,2,20)),1000000000),1000000000))+ROW()/100000,"")</f>
        <v/>
      </c>
    </row>
    <row r="857">
      <c r="F857" s="7">
        <f>IF($A857="","",E857*L857/100)</f>
        <v/>
      </c>
      <c r="J857" s="7" t="n"/>
      <c r="K857" s="7">
        <f>IF($A857="","",N857*U857/100)</f>
        <v/>
      </c>
      <c r="L857" s="7">
        <f>IF($A857="","",N857-K857)</f>
        <v/>
      </c>
      <c r="M857" s="7">
        <f>IF($A857="","",L857-F857)</f>
        <v/>
      </c>
      <c r="N857" s="7" t="n"/>
      <c r="O857" s="7" t="n"/>
      <c r="P857" s="7" t="n"/>
      <c r="R857" s="14" t="n"/>
      <c r="V857">
        <f>IF($A857="","",IF(COUNTIF($A$2:$A857,$A857)=1,1,0))</f>
        <v/>
      </c>
      <c r="W857">
        <f>IF($V857=1,SUMPRODUCT(--($Y$2:$Y$1501&lt;$Y857))+1,"")</f>
        <v/>
      </c>
      <c r="X857">
        <f>IF($A857="","",IF(OR($T857=TRUE(),$T857="TRUE"),1,0))</f>
        <v/>
      </c>
      <c r="Y857">
        <f>IF($V857=1,IFERROR(IF(VALUE($A857)&lt;100000000,VALUE($A857),1000000000),IFERROR(IF(VALUE(MID($A857,2,20))&lt;100000000,VALUE(MID($A857,2,20)),1000000000),1000000000))+ROW()/100000,"")</f>
        <v/>
      </c>
    </row>
    <row r="858">
      <c r="F858" s="7">
        <f>IF($A858="","",E858*L858/100)</f>
        <v/>
      </c>
      <c r="J858" s="7" t="n"/>
      <c r="K858" s="7">
        <f>IF($A858="","",N858*U858/100)</f>
        <v/>
      </c>
      <c r="L858" s="7">
        <f>IF($A858="","",N858-K858)</f>
        <v/>
      </c>
      <c r="M858" s="7">
        <f>IF($A858="","",L858-F858)</f>
        <v/>
      </c>
      <c r="N858" s="7" t="n"/>
      <c r="O858" s="7" t="n"/>
      <c r="P858" s="7" t="n"/>
      <c r="R858" s="14" t="n"/>
      <c r="V858">
        <f>IF($A858="","",IF(COUNTIF($A$2:$A858,$A858)=1,1,0))</f>
        <v/>
      </c>
      <c r="W858">
        <f>IF($V858=1,SUMPRODUCT(--($Y$2:$Y$1501&lt;$Y858))+1,"")</f>
        <v/>
      </c>
      <c r="X858">
        <f>IF($A858="","",IF(OR($T858=TRUE(),$T858="TRUE"),1,0))</f>
        <v/>
      </c>
      <c r="Y858">
        <f>IF($V858=1,IFERROR(IF(VALUE($A858)&lt;100000000,VALUE($A858),1000000000),IFERROR(IF(VALUE(MID($A858,2,20))&lt;100000000,VALUE(MID($A858,2,20)),1000000000),1000000000))+ROW()/100000,"")</f>
        <v/>
      </c>
    </row>
    <row r="859">
      <c r="F859" s="7">
        <f>IF($A859="","",E859*L859/100)</f>
        <v/>
      </c>
      <c r="J859" s="7" t="n"/>
      <c r="K859" s="7">
        <f>IF($A859="","",N859*U859/100)</f>
        <v/>
      </c>
      <c r="L859" s="7">
        <f>IF($A859="","",N859-K859)</f>
        <v/>
      </c>
      <c r="M859" s="7">
        <f>IF($A859="","",L859-F859)</f>
        <v/>
      </c>
      <c r="N859" s="7" t="n"/>
      <c r="O859" s="7" t="n"/>
      <c r="P859" s="7" t="n"/>
      <c r="R859" s="14" t="n"/>
      <c r="V859">
        <f>IF($A859="","",IF(COUNTIF($A$2:$A859,$A859)=1,1,0))</f>
        <v/>
      </c>
      <c r="W859">
        <f>IF($V859=1,SUMPRODUCT(--($Y$2:$Y$1501&lt;$Y859))+1,"")</f>
        <v/>
      </c>
      <c r="X859">
        <f>IF($A859="","",IF(OR($T859=TRUE(),$T859="TRUE"),1,0))</f>
        <v/>
      </c>
      <c r="Y859">
        <f>IF($V859=1,IFERROR(IF(VALUE($A859)&lt;100000000,VALUE($A859),1000000000),IFERROR(IF(VALUE(MID($A859,2,20))&lt;100000000,VALUE(MID($A859,2,20)),1000000000),1000000000))+ROW()/100000,"")</f>
        <v/>
      </c>
    </row>
    <row r="860">
      <c r="F860" s="7">
        <f>IF($A860="","",E860*L860/100)</f>
        <v/>
      </c>
      <c r="J860" s="7" t="n"/>
      <c r="K860" s="7">
        <f>IF($A860="","",N860*U860/100)</f>
        <v/>
      </c>
      <c r="L860" s="7">
        <f>IF($A860="","",N860-K860)</f>
        <v/>
      </c>
      <c r="M860" s="7">
        <f>IF($A860="","",L860-F860)</f>
        <v/>
      </c>
      <c r="N860" s="7" t="n"/>
      <c r="O860" s="7" t="n"/>
      <c r="P860" s="7" t="n"/>
      <c r="R860" s="14" t="n"/>
      <c r="V860">
        <f>IF($A860="","",IF(COUNTIF($A$2:$A860,$A860)=1,1,0))</f>
        <v/>
      </c>
      <c r="W860">
        <f>IF($V860=1,SUMPRODUCT(--($Y$2:$Y$1501&lt;$Y860))+1,"")</f>
        <v/>
      </c>
      <c r="X860">
        <f>IF($A860="","",IF(OR($T860=TRUE(),$T860="TRUE"),1,0))</f>
        <v/>
      </c>
      <c r="Y860">
        <f>IF($V860=1,IFERROR(IF(VALUE($A860)&lt;100000000,VALUE($A860),1000000000),IFERROR(IF(VALUE(MID($A860,2,20))&lt;100000000,VALUE(MID($A860,2,20)),1000000000),1000000000))+ROW()/100000,"")</f>
        <v/>
      </c>
    </row>
    <row r="861">
      <c r="F861" s="7">
        <f>IF($A861="","",E861*L861/100)</f>
        <v/>
      </c>
      <c r="J861" s="7" t="n"/>
      <c r="K861" s="7">
        <f>IF($A861="","",N861*U861/100)</f>
        <v/>
      </c>
      <c r="L861" s="7">
        <f>IF($A861="","",N861-K861)</f>
        <v/>
      </c>
      <c r="M861" s="7">
        <f>IF($A861="","",L861-F861)</f>
        <v/>
      </c>
      <c r="N861" s="7" t="n"/>
      <c r="O861" s="7" t="n"/>
      <c r="P861" s="7" t="n"/>
      <c r="R861" s="14" t="n"/>
      <c r="V861">
        <f>IF($A861="","",IF(COUNTIF($A$2:$A861,$A861)=1,1,0))</f>
        <v/>
      </c>
      <c r="W861">
        <f>IF($V861=1,SUMPRODUCT(--($Y$2:$Y$1501&lt;$Y861))+1,"")</f>
        <v/>
      </c>
      <c r="X861">
        <f>IF($A861="","",IF(OR($T861=TRUE(),$T861="TRUE"),1,0))</f>
        <v/>
      </c>
      <c r="Y861">
        <f>IF($V861=1,IFERROR(IF(VALUE($A861)&lt;100000000,VALUE($A861),1000000000),IFERROR(IF(VALUE(MID($A861,2,20))&lt;100000000,VALUE(MID($A861,2,20)),1000000000),1000000000))+ROW()/100000,"")</f>
        <v/>
      </c>
    </row>
    <row r="862">
      <c r="F862" s="7">
        <f>IF($A862="","",E862*L862/100)</f>
        <v/>
      </c>
      <c r="J862" s="7" t="n"/>
      <c r="K862" s="7">
        <f>IF($A862="","",N862*U862/100)</f>
        <v/>
      </c>
      <c r="L862" s="7">
        <f>IF($A862="","",N862-K862)</f>
        <v/>
      </c>
      <c r="M862" s="7">
        <f>IF($A862="","",L862-F862)</f>
        <v/>
      </c>
      <c r="N862" s="7" t="n"/>
      <c r="O862" s="7" t="n"/>
      <c r="P862" s="7" t="n"/>
      <c r="R862" s="14" t="n"/>
      <c r="V862">
        <f>IF($A862="","",IF(COUNTIF($A$2:$A862,$A862)=1,1,0))</f>
        <v/>
      </c>
      <c r="W862">
        <f>IF($V862=1,SUMPRODUCT(--($Y$2:$Y$1501&lt;$Y862))+1,"")</f>
        <v/>
      </c>
      <c r="X862">
        <f>IF($A862="","",IF(OR($T862=TRUE(),$T862="TRUE"),1,0))</f>
        <v/>
      </c>
      <c r="Y862">
        <f>IF($V862=1,IFERROR(IF(VALUE($A862)&lt;100000000,VALUE($A862),1000000000),IFERROR(IF(VALUE(MID($A862,2,20))&lt;100000000,VALUE(MID($A862,2,20)),1000000000),1000000000))+ROW()/100000,"")</f>
        <v/>
      </c>
    </row>
    <row r="863">
      <c r="F863" s="7">
        <f>IF($A863="","",E863*L863/100)</f>
        <v/>
      </c>
      <c r="J863" s="7" t="n"/>
      <c r="K863" s="7">
        <f>IF($A863="","",N863*U863/100)</f>
        <v/>
      </c>
      <c r="L863" s="7">
        <f>IF($A863="","",N863-K863)</f>
        <v/>
      </c>
      <c r="M863" s="7">
        <f>IF($A863="","",L863-F863)</f>
        <v/>
      </c>
      <c r="N863" s="7" t="n"/>
      <c r="O863" s="7" t="n"/>
      <c r="P863" s="7" t="n"/>
      <c r="R863" s="14" t="n"/>
      <c r="V863">
        <f>IF($A863="","",IF(COUNTIF($A$2:$A863,$A863)=1,1,0))</f>
        <v/>
      </c>
      <c r="W863">
        <f>IF($V863=1,SUMPRODUCT(--($Y$2:$Y$1501&lt;$Y863))+1,"")</f>
        <v/>
      </c>
      <c r="X863">
        <f>IF($A863="","",IF(OR($T863=TRUE(),$T863="TRUE"),1,0))</f>
        <v/>
      </c>
      <c r="Y863">
        <f>IF($V863=1,IFERROR(IF(VALUE($A863)&lt;100000000,VALUE($A863),1000000000),IFERROR(IF(VALUE(MID($A863,2,20))&lt;100000000,VALUE(MID($A863,2,20)),1000000000),1000000000))+ROW()/100000,"")</f>
        <v/>
      </c>
    </row>
    <row r="864">
      <c r="F864" s="7">
        <f>IF($A864="","",E864*L864/100)</f>
        <v/>
      </c>
      <c r="J864" s="7" t="n"/>
      <c r="K864" s="7">
        <f>IF($A864="","",N864*U864/100)</f>
        <v/>
      </c>
      <c r="L864" s="7">
        <f>IF($A864="","",N864-K864)</f>
        <v/>
      </c>
      <c r="M864" s="7">
        <f>IF($A864="","",L864-F864)</f>
        <v/>
      </c>
      <c r="N864" s="7" t="n"/>
      <c r="O864" s="7" t="n"/>
      <c r="P864" s="7" t="n"/>
      <c r="R864" s="14" t="n"/>
      <c r="V864">
        <f>IF($A864="","",IF(COUNTIF($A$2:$A864,$A864)=1,1,0))</f>
        <v/>
      </c>
      <c r="W864">
        <f>IF($V864=1,SUMPRODUCT(--($Y$2:$Y$1501&lt;$Y864))+1,"")</f>
        <v/>
      </c>
      <c r="X864">
        <f>IF($A864="","",IF(OR($T864=TRUE(),$T864="TRUE"),1,0))</f>
        <v/>
      </c>
      <c r="Y864">
        <f>IF($V864=1,IFERROR(IF(VALUE($A864)&lt;100000000,VALUE($A864),1000000000),IFERROR(IF(VALUE(MID($A864,2,20))&lt;100000000,VALUE(MID($A864,2,20)),1000000000),1000000000))+ROW()/100000,"")</f>
        <v/>
      </c>
    </row>
    <row r="865">
      <c r="F865" s="7">
        <f>IF($A865="","",E865*L865/100)</f>
        <v/>
      </c>
      <c r="J865" s="7" t="n"/>
      <c r="K865" s="7">
        <f>IF($A865="","",N865*U865/100)</f>
        <v/>
      </c>
      <c r="L865" s="7">
        <f>IF($A865="","",N865-K865)</f>
        <v/>
      </c>
      <c r="M865" s="7">
        <f>IF($A865="","",L865-F865)</f>
        <v/>
      </c>
      <c r="N865" s="7" t="n"/>
      <c r="O865" s="7" t="n"/>
      <c r="P865" s="7" t="n"/>
      <c r="R865" s="14" t="n"/>
      <c r="V865">
        <f>IF($A865="","",IF(COUNTIF($A$2:$A865,$A865)=1,1,0))</f>
        <v/>
      </c>
      <c r="W865">
        <f>IF($V865=1,SUMPRODUCT(--($Y$2:$Y$1501&lt;$Y865))+1,"")</f>
        <v/>
      </c>
      <c r="X865">
        <f>IF($A865="","",IF(OR($T865=TRUE(),$T865="TRUE"),1,0))</f>
        <v/>
      </c>
      <c r="Y865">
        <f>IF($V865=1,IFERROR(IF(VALUE($A865)&lt;100000000,VALUE($A865),1000000000),IFERROR(IF(VALUE(MID($A865,2,20))&lt;100000000,VALUE(MID($A865,2,20)),1000000000),1000000000))+ROW()/100000,"")</f>
        <v/>
      </c>
    </row>
    <row r="866">
      <c r="F866" s="7">
        <f>IF($A866="","",E866*L866/100)</f>
        <v/>
      </c>
      <c r="J866" s="7" t="n"/>
      <c r="K866" s="7">
        <f>IF($A866="","",N866*U866/100)</f>
        <v/>
      </c>
      <c r="L866" s="7">
        <f>IF($A866="","",N866-K866)</f>
        <v/>
      </c>
      <c r="M866" s="7">
        <f>IF($A866="","",L866-F866)</f>
        <v/>
      </c>
      <c r="N866" s="7" t="n"/>
      <c r="O866" s="7" t="n"/>
      <c r="P866" s="7" t="n"/>
      <c r="R866" s="14" t="n"/>
      <c r="V866">
        <f>IF($A866="","",IF(COUNTIF($A$2:$A866,$A866)=1,1,0))</f>
        <v/>
      </c>
      <c r="W866">
        <f>IF($V866=1,SUMPRODUCT(--($Y$2:$Y$1501&lt;$Y866))+1,"")</f>
        <v/>
      </c>
      <c r="X866">
        <f>IF($A866="","",IF(OR($T866=TRUE(),$T866="TRUE"),1,0))</f>
        <v/>
      </c>
      <c r="Y866">
        <f>IF($V866=1,IFERROR(IF(VALUE($A866)&lt;100000000,VALUE($A866),1000000000),IFERROR(IF(VALUE(MID($A866,2,20))&lt;100000000,VALUE(MID($A866,2,20)),1000000000),1000000000))+ROW()/100000,"")</f>
        <v/>
      </c>
    </row>
    <row r="867">
      <c r="F867" s="7">
        <f>IF($A867="","",E867*L867/100)</f>
        <v/>
      </c>
      <c r="J867" s="7" t="n"/>
      <c r="K867" s="7">
        <f>IF($A867="","",N867*U867/100)</f>
        <v/>
      </c>
      <c r="L867" s="7">
        <f>IF($A867="","",N867-K867)</f>
        <v/>
      </c>
      <c r="M867" s="7">
        <f>IF($A867="","",L867-F867)</f>
        <v/>
      </c>
      <c r="N867" s="7" t="n"/>
      <c r="O867" s="7" t="n"/>
      <c r="P867" s="7" t="n"/>
      <c r="R867" s="14" t="n"/>
      <c r="V867">
        <f>IF($A867="","",IF(COUNTIF($A$2:$A867,$A867)=1,1,0))</f>
        <v/>
      </c>
      <c r="W867">
        <f>IF($V867=1,SUMPRODUCT(--($Y$2:$Y$1501&lt;$Y867))+1,"")</f>
        <v/>
      </c>
      <c r="X867">
        <f>IF($A867="","",IF(OR($T867=TRUE(),$T867="TRUE"),1,0))</f>
        <v/>
      </c>
      <c r="Y867">
        <f>IF($V867=1,IFERROR(IF(VALUE($A867)&lt;100000000,VALUE($A867),1000000000),IFERROR(IF(VALUE(MID($A867,2,20))&lt;100000000,VALUE(MID($A867,2,20)),1000000000),1000000000))+ROW()/100000,"")</f>
        <v/>
      </c>
    </row>
    <row r="868">
      <c r="F868" s="7">
        <f>IF($A868="","",E868*L868/100)</f>
        <v/>
      </c>
      <c r="J868" s="7" t="n"/>
      <c r="K868" s="7">
        <f>IF($A868="","",N868*U868/100)</f>
        <v/>
      </c>
      <c r="L868" s="7">
        <f>IF($A868="","",N868-K868)</f>
        <v/>
      </c>
      <c r="M868" s="7">
        <f>IF($A868="","",L868-F868)</f>
        <v/>
      </c>
      <c r="N868" s="7" t="n"/>
      <c r="O868" s="7" t="n"/>
      <c r="P868" s="7" t="n"/>
      <c r="R868" s="14" t="n"/>
      <c r="V868">
        <f>IF($A868="","",IF(COUNTIF($A$2:$A868,$A868)=1,1,0))</f>
        <v/>
      </c>
      <c r="W868">
        <f>IF($V868=1,SUMPRODUCT(--($Y$2:$Y$1501&lt;$Y868))+1,"")</f>
        <v/>
      </c>
      <c r="X868">
        <f>IF($A868="","",IF(OR($T868=TRUE(),$T868="TRUE"),1,0))</f>
        <v/>
      </c>
      <c r="Y868">
        <f>IF($V868=1,IFERROR(IF(VALUE($A868)&lt;100000000,VALUE($A868),1000000000),IFERROR(IF(VALUE(MID($A868,2,20))&lt;100000000,VALUE(MID($A868,2,20)),1000000000),1000000000))+ROW()/100000,"")</f>
        <v/>
      </c>
    </row>
    <row r="869">
      <c r="F869" s="7">
        <f>IF($A869="","",E869*L869/100)</f>
        <v/>
      </c>
      <c r="J869" s="7" t="n"/>
      <c r="K869" s="7">
        <f>IF($A869="","",N869*U869/100)</f>
        <v/>
      </c>
      <c r="L869" s="7">
        <f>IF($A869="","",N869-K869)</f>
        <v/>
      </c>
      <c r="M869" s="7">
        <f>IF($A869="","",L869-F869)</f>
        <v/>
      </c>
      <c r="N869" s="7" t="n"/>
      <c r="O869" s="7" t="n"/>
      <c r="P869" s="7" t="n"/>
      <c r="R869" s="14" t="n"/>
      <c r="V869">
        <f>IF($A869="","",IF(COUNTIF($A$2:$A869,$A869)=1,1,0))</f>
        <v/>
      </c>
      <c r="W869">
        <f>IF($V869=1,SUMPRODUCT(--($Y$2:$Y$1501&lt;$Y869))+1,"")</f>
        <v/>
      </c>
      <c r="X869">
        <f>IF($A869="","",IF(OR($T869=TRUE(),$T869="TRUE"),1,0))</f>
        <v/>
      </c>
      <c r="Y869">
        <f>IF($V869=1,IFERROR(IF(VALUE($A869)&lt;100000000,VALUE($A869),1000000000),IFERROR(IF(VALUE(MID($A869,2,20))&lt;100000000,VALUE(MID($A869,2,20)),1000000000),1000000000))+ROW()/100000,"")</f>
        <v/>
      </c>
    </row>
    <row r="870">
      <c r="F870" s="7">
        <f>IF($A870="","",E870*L870/100)</f>
        <v/>
      </c>
      <c r="J870" s="7" t="n"/>
      <c r="K870" s="7">
        <f>IF($A870="","",N870*U870/100)</f>
        <v/>
      </c>
      <c r="L870" s="7">
        <f>IF($A870="","",N870-K870)</f>
        <v/>
      </c>
      <c r="M870" s="7">
        <f>IF($A870="","",L870-F870)</f>
        <v/>
      </c>
      <c r="N870" s="7" t="n"/>
      <c r="O870" s="7" t="n"/>
      <c r="P870" s="7" t="n"/>
      <c r="R870" s="14" t="n"/>
      <c r="V870">
        <f>IF($A870="","",IF(COUNTIF($A$2:$A870,$A870)=1,1,0))</f>
        <v/>
      </c>
      <c r="W870">
        <f>IF($V870=1,SUMPRODUCT(--($Y$2:$Y$1501&lt;$Y870))+1,"")</f>
        <v/>
      </c>
      <c r="X870">
        <f>IF($A870="","",IF(OR($T870=TRUE(),$T870="TRUE"),1,0))</f>
        <v/>
      </c>
      <c r="Y870">
        <f>IF($V870=1,IFERROR(IF(VALUE($A870)&lt;100000000,VALUE($A870),1000000000),IFERROR(IF(VALUE(MID($A870,2,20))&lt;100000000,VALUE(MID($A870,2,20)),1000000000),1000000000))+ROW()/100000,"")</f>
        <v/>
      </c>
    </row>
    <row r="871">
      <c r="F871" s="7">
        <f>IF($A871="","",E871*L871/100)</f>
        <v/>
      </c>
      <c r="J871" s="7" t="n"/>
      <c r="K871" s="7">
        <f>IF($A871="","",N871*U871/100)</f>
        <v/>
      </c>
      <c r="L871" s="7">
        <f>IF($A871="","",N871-K871)</f>
        <v/>
      </c>
      <c r="M871" s="7">
        <f>IF($A871="","",L871-F871)</f>
        <v/>
      </c>
      <c r="N871" s="7" t="n"/>
      <c r="O871" s="7" t="n"/>
      <c r="P871" s="7" t="n"/>
      <c r="R871" s="14" t="n"/>
      <c r="V871">
        <f>IF($A871="","",IF(COUNTIF($A$2:$A871,$A871)=1,1,0))</f>
        <v/>
      </c>
      <c r="W871">
        <f>IF($V871=1,SUMPRODUCT(--($Y$2:$Y$1501&lt;$Y871))+1,"")</f>
        <v/>
      </c>
      <c r="X871">
        <f>IF($A871="","",IF(OR($T871=TRUE(),$T871="TRUE"),1,0))</f>
        <v/>
      </c>
      <c r="Y871">
        <f>IF($V871=1,IFERROR(IF(VALUE($A871)&lt;100000000,VALUE($A871),1000000000),IFERROR(IF(VALUE(MID($A871,2,20))&lt;100000000,VALUE(MID($A871,2,20)),1000000000),1000000000))+ROW()/100000,"")</f>
        <v/>
      </c>
    </row>
    <row r="872">
      <c r="F872" s="7">
        <f>IF($A872="","",E872*L872/100)</f>
        <v/>
      </c>
      <c r="J872" s="7" t="n"/>
      <c r="K872" s="7">
        <f>IF($A872="","",N872*U872/100)</f>
        <v/>
      </c>
      <c r="L872" s="7">
        <f>IF($A872="","",N872-K872)</f>
        <v/>
      </c>
      <c r="M872" s="7">
        <f>IF($A872="","",L872-F872)</f>
        <v/>
      </c>
      <c r="N872" s="7" t="n"/>
      <c r="O872" s="7" t="n"/>
      <c r="P872" s="7" t="n"/>
      <c r="R872" s="14" t="n"/>
      <c r="V872">
        <f>IF($A872="","",IF(COUNTIF($A$2:$A872,$A872)=1,1,0))</f>
        <v/>
      </c>
      <c r="W872">
        <f>IF($V872=1,SUMPRODUCT(--($Y$2:$Y$1501&lt;$Y872))+1,"")</f>
        <v/>
      </c>
      <c r="X872">
        <f>IF($A872="","",IF(OR($T872=TRUE(),$T872="TRUE"),1,0))</f>
        <v/>
      </c>
      <c r="Y872">
        <f>IF($V872=1,IFERROR(IF(VALUE($A872)&lt;100000000,VALUE($A872),1000000000),IFERROR(IF(VALUE(MID($A872,2,20))&lt;100000000,VALUE(MID($A872,2,20)),1000000000),1000000000))+ROW()/100000,"")</f>
        <v/>
      </c>
    </row>
    <row r="873">
      <c r="F873" s="7">
        <f>IF($A873="","",E873*L873/100)</f>
        <v/>
      </c>
      <c r="J873" s="7" t="n"/>
      <c r="K873" s="7">
        <f>IF($A873="","",N873*U873/100)</f>
        <v/>
      </c>
      <c r="L873" s="7">
        <f>IF($A873="","",N873-K873)</f>
        <v/>
      </c>
      <c r="M873" s="7">
        <f>IF($A873="","",L873-F873)</f>
        <v/>
      </c>
      <c r="N873" s="7" t="n"/>
      <c r="O873" s="7" t="n"/>
      <c r="P873" s="7" t="n"/>
      <c r="R873" s="14" t="n"/>
      <c r="V873">
        <f>IF($A873="","",IF(COUNTIF($A$2:$A873,$A873)=1,1,0))</f>
        <v/>
      </c>
      <c r="W873">
        <f>IF($V873=1,SUMPRODUCT(--($Y$2:$Y$1501&lt;$Y873))+1,"")</f>
        <v/>
      </c>
      <c r="X873">
        <f>IF($A873="","",IF(OR($T873=TRUE(),$T873="TRUE"),1,0))</f>
        <v/>
      </c>
      <c r="Y873">
        <f>IF($V873=1,IFERROR(IF(VALUE($A873)&lt;100000000,VALUE($A873),1000000000),IFERROR(IF(VALUE(MID($A873,2,20))&lt;100000000,VALUE(MID($A873,2,20)),1000000000),1000000000))+ROW()/100000,"")</f>
        <v/>
      </c>
    </row>
    <row r="874">
      <c r="F874" s="7">
        <f>IF($A874="","",E874*L874/100)</f>
        <v/>
      </c>
      <c r="J874" s="7" t="n"/>
      <c r="K874" s="7">
        <f>IF($A874="","",N874*U874/100)</f>
        <v/>
      </c>
      <c r="L874" s="7">
        <f>IF($A874="","",N874-K874)</f>
        <v/>
      </c>
      <c r="M874" s="7">
        <f>IF($A874="","",L874-F874)</f>
        <v/>
      </c>
      <c r="N874" s="7" t="n"/>
      <c r="O874" s="7" t="n"/>
      <c r="P874" s="7" t="n"/>
      <c r="R874" s="14" t="n"/>
      <c r="V874">
        <f>IF($A874="","",IF(COUNTIF($A$2:$A874,$A874)=1,1,0))</f>
        <v/>
      </c>
      <c r="W874">
        <f>IF($V874=1,SUMPRODUCT(--($Y$2:$Y$1501&lt;$Y874))+1,"")</f>
        <v/>
      </c>
      <c r="X874">
        <f>IF($A874="","",IF(OR($T874=TRUE(),$T874="TRUE"),1,0))</f>
        <v/>
      </c>
      <c r="Y874">
        <f>IF($V874=1,IFERROR(IF(VALUE($A874)&lt;100000000,VALUE($A874),1000000000),IFERROR(IF(VALUE(MID($A874,2,20))&lt;100000000,VALUE(MID($A874,2,20)),1000000000),1000000000))+ROW()/100000,"")</f>
        <v/>
      </c>
    </row>
    <row r="875">
      <c r="F875" s="7">
        <f>IF($A875="","",E875*L875/100)</f>
        <v/>
      </c>
      <c r="J875" s="7" t="n"/>
      <c r="K875" s="7">
        <f>IF($A875="","",N875*U875/100)</f>
        <v/>
      </c>
      <c r="L875" s="7">
        <f>IF($A875="","",N875-K875)</f>
        <v/>
      </c>
      <c r="M875" s="7">
        <f>IF($A875="","",L875-F875)</f>
        <v/>
      </c>
      <c r="N875" s="7" t="n"/>
      <c r="O875" s="7" t="n"/>
      <c r="P875" s="7" t="n"/>
      <c r="R875" s="14" t="n"/>
      <c r="V875">
        <f>IF($A875="","",IF(COUNTIF($A$2:$A875,$A875)=1,1,0))</f>
        <v/>
      </c>
      <c r="W875">
        <f>IF($V875=1,SUMPRODUCT(--($Y$2:$Y$1501&lt;$Y875))+1,"")</f>
        <v/>
      </c>
      <c r="X875">
        <f>IF($A875="","",IF(OR($T875=TRUE(),$T875="TRUE"),1,0))</f>
        <v/>
      </c>
      <c r="Y875">
        <f>IF($V875=1,IFERROR(IF(VALUE($A875)&lt;100000000,VALUE($A875),1000000000),IFERROR(IF(VALUE(MID($A875,2,20))&lt;100000000,VALUE(MID($A875,2,20)),1000000000),1000000000))+ROW()/100000,"")</f>
        <v/>
      </c>
    </row>
    <row r="876">
      <c r="F876" s="7">
        <f>IF($A876="","",E876*L876/100)</f>
        <v/>
      </c>
      <c r="J876" s="7" t="n"/>
      <c r="K876" s="7">
        <f>IF($A876="","",N876*U876/100)</f>
        <v/>
      </c>
      <c r="L876" s="7">
        <f>IF($A876="","",N876-K876)</f>
        <v/>
      </c>
      <c r="M876" s="7">
        <f>IF($A876="","",L876-F876)</f>
        <v/>
      </c>
      <c r="N876" s="7" t="n"/>
      <c r="O876" s="7" t="n"/>
      <c r="P876" s="7" t="n"/>
      <c r="R876" s="14" t="n"/>
      <c r="V876">
        <f>IF($A876="","",IF(COUNTIF($A$2:$A876,$A876)=1,1,0))</f>
        <v/>
      </c>
      <c r="W876">
        <f>IF($V876=1,SUMPRODUCT(--($Y$2:$Y$1501&lt;$Y876))+1,"")</f>
        <v/>
      </c>
      <c r="X876">
        <f>IF($A876="","",IF(OR($T876=TRUE(),$T876="TRUE"),1,0))</f>
        <v/>
      </c>
      <c r="Y876">
        <f>IF($V876=1,IFERROR(IF(VALUE($A876)&lt;100000000,VALUE($A876),1000000000),IFERROR(IF(VALUE(MID($A876,2,20))&lt;100000000,VALUE(MID($A876,2,20)),1000000000),1000000000))+ROW()/100000,"")</f>
        <v/>
      </c>
    </row>
    <row r="877">
      <c r="F877" s="7">
        <f>IF($A877="","",E877*L877/100)</f>
        <v/>
      </c>
      <c r="J877" s="7" t="n"/>
      <c r="K877" s="7">
        <f>IF($A877="","",N877*U877/100)</f>
        <v/>
      </c>
      <c r="L877" s="7">
        <f>IF($A877="","",N877-K877)</f>
        <v/>
      </c>
      <c r="M877" s="7">
        <f>IF($A877="","",L877-F877)</f>
        <v/>
      </c>
      <c r="N877" s="7" t="n"/>
      <c r="O877" s="7" t="n"/>
      <c r="P877" s="7" t="n"/>
      <c r="R877" s="14" t="n"/>
      <c r="V877">
        <f>IF($A877="","",IF(COUNTIF($A$2:$A877,$A877)=1,1,0))</f>
        <v/>
      </c>
      <c r="W877">
        <f>IF($V877=1,SUMPRODUCT(--($Y$2:$Y$1501&lt;$Y877))+1,"")</f>
        <v/>
      </c>
      <c r="X877">
        <f>IF($A877="","",IF(OR($T877=TRUE(),$T877="TRUE"),1,0))</f>
        <v/>
      </c>
      <c r="Y877">
        <f>IF($V877=1,IFERROR(IF(VALUE($A877)&lt;100000000,VALUE($A877),1000000000),IFERROR(IF(VALUE(MID($A877,2,20))&lt;100000000,VALUE(MID($A877,2,20)),1000000000),1000000000))+ROW()/100000,"")</f>
        <v/>
      </c>
    </row>
    <row r="878">
      <c r="F878" s="7">
        <f>IF($A878="","",E878*L878/100)</f>
        <v/>
      </c>
      <c r="J878" s="7" t="n"/>
      <c r="K878" s="7">
        <f>IF($A878="","",N878*U878/100)</f>
        <v/>
      </c>
      <c r="L878" s="7">
        <f>IF($A878="","",N878-K878)</f>
        <v/>
      </c>
      <c r="M878" s="7">
        <f>IF($A878="","",L878-F878)</f>
        <v/>
      </c>
      <c r="N878" s="7" t="n"/>
      <c r="O878" s="7" t="n"/>
      <c r="P878" s="7" t="n"/>
      <c r="R878" s="14" t="n"/>
      <c r="V878">
        <f>IF($A878="","",IF(COUNTIF($A$2:$A878,$A878)=1,1,0))</f>
        <v/>
      </c>
      <c r="W878">
        <f>IF($V878=1,SUMPRODUCT(--($Y$2:$Y$1501&lt;$Y878))+1,"")</f>
        <v/>
      </c>
      <c r="X878">
        <f>IF($A878="","",IF(OR($T878=TRUE(),$T878="TRUE"),1,0))</f>
        <v/>
      </c>
      <c r="Y878">
        <f>IF($V878=1,IFERROR(IF(VALUE($A878)&lt;100000000,VALUE($A878),1000000000),IFERROR(IF(VALUE(MID($A878,2,20))&lt;100000000,VALUE(MID($A878,2,20)),1000000000),1000000000))+ROW()/100000,"")</f>
        <v/>
      </c>
    </row>
    <row r="879">
      <c r="F879" s="7">
        <f>IF($A879="","",E879*L879/100)</f>
        <v/>
      </c>
      <c r="J879" s="7" t="n"/>
      <c r="K879" s="7">
        <f>IF($A879="","",N879*U879/100)</f>
        <v/>
      </c>
      <c r="L879" s="7">
        <f>IF($A879="","",N879-K879)</f>
        <v/>
      </c>
      <c r="M879" s="7">
        <f>IF($A879="","",L879-F879)</f>
        <v/>
      </c>
      <c r="N879" s="7" t="n"/>
      <c r="O879" s="7" t="n"/>
      <c r="P879" s="7" t="n"/>
      <c r="R879" s="14" t="n"/>
      <c r="V879">
        <f>IF($A879="","",IF(COUNTIF($A$2:$A879,$A879)=1,1,0))</f>
        <v/>
      </c>
      <c r="W879">
        <f>IF($V879=1,SUMPRODUCT(--($Y$2:$Y$1501&lt;$Y879))+1,"")</f>
        <v/>
      </c>
      <c r="X879">
        <f>IF($A879="","",IF(OR($T879=TRUE(),$T879="TRUE"),1,0))</f>
        <v/>
      </c>
      <c r="Y879">
        <f>IF($V879=1,IFERROR(IF(VALUE($A879)&lt;100000000,VALUE($A879),1000000000),IFERROR(IF(VALUE(MID($A879,2,20))&lt;100000000,VALUE(MID($A879,2,20)),1000000000),1000000000))+ROW()/100000,"")</f>
        <v/>
      </c>
    </row>
    <row r="880">
      <c r="F880" s="7">
        <f>IF($A880="","",E880*L880/100)</f>
        <v/>
      </c>
      <c r="J880" s="7" t="n"/>
      <c r="K880" s="7">
        <f>IF($A880="","",N880*U880/100)</f>
        <v/>
      </c>
      <c r="L880" s="7">
        <f>IF($A880="","",N880-K880)</f>
        <v/>
      </c>
      <c r="M880" s="7">
        <f>IF($A880="","",L880-F880)</f>
        <v/>
      </c>
      <c r="N880" s="7" t="n"/>
      <c r="O880" s="7" t="n"/>
      <c r="P880" s="7" t="n"/>
      <c r="R880" s="14" t="n"/>
      <c r="V880">
        <f>IF($A880="","",IF(COUNTIF($A$2:$A880,$A880)=1,1,0))</f>
        <v/>
      </c>
      <c r="W880">
        <f>IF($V880=1,SUMPRODUCT(--($Y$2:$Y$1501&lt;$Y880))+1,"")</f>
        <v/>
      </c>
      <c r="X880">
        <f>IF($A880="","",IF(OR($T880=TRUE(),$T880="TRUE"),1,0))</f>
        <v/>
      </c>
      <c r="Y880">
        <f>IF($V880=1,IFERROR(IF(VALUE($A880)&lt;100000000,VALUE($A880),1000000000),IFERROR(IF(VALUE(MID($A880,2,20))&lt;100000000,VALUE(MID($A880,2,20)),1000000000),1000000000))+ROW()/100000,"")</f>
        <v/>
      </c>
    </row>
    <row r="881">
      <c r="F881" s="7">
        <f>IF($A881="","",E881*L881/100)</f>
        <v/>
      </c>
      <c r="J881" s="7" t="n"/>
      <c r="K881" s="7">
        <f>IF($A881="","",N881*U881/100)</f>
        <v/>
      </c>
      <c r="L881" s="7">
        <f>IF($A881="","",N881-K881)</f>
        <v/>
      </c>
      <c r="M881" s="7">
        <f>IF($A881="","",L881-F881)</f>
        <v/>
      </c>
      <c r="N881" s="7" t="n"/>
      <c r="O881" s="7" t="n"/>
      <c r="P881" s="7" t="n"/>
      <c r="R881" s="14" t="n"/>
      <c r="V881">
        <f>IF($A881="","",IF(COUNTIF($A$2:$A881,$A881)=1,1,0))</f>
        <v/>
      </c>
      <c r="W881">
        <f>IF($V881=1,SUMPRODUCT(--($Y$2:$Y$1501&lt;$Y881))+1,"")</f>
        <v/>
      </c>
      <c r="X881">
        <f>IF($A881="","",IF(OR($T881=TRUE(),$T881="TRUE"),1,0))</f>
        <v/>
      </c>
      <c r="Y881">
        <f>IF($V881=1,IFERROR(IF(VALUE($A881)&lt;100000000,VALUE($A881),1000000000),IFERROR(IF(VALUE(MID($A881,2,20))&lt;100000000,VALUE(MID($A881,2,20)),1000000000),1000000000))+ROW()/100000,"")</f>
        <v/>
      </c>
    </row>
    <row r="882">
      <c r="F882" s="7">
        <f>IF($A882="","",E882*L882/100)</f>
        <v/>
      </c>
      <c r="J882" s="7" t="n"/>
      <c r="K882" s="7">
        <f>IF($A882="","",N882*U882/100)</f>
        <v/>
      </c>
      <c r="L882" s="7">
        <f>IF($A882="","",N882-K882)</f>
        <v/>
      </c>
      <c r="M882" s="7">
        <f>IF($A882="","",L882-F882)</f>
        <v/>
      </c>
      <c r="N882" s="7" t="n"/>
      <c r="O882" s="7" t="n"/>
      <c r="P882" s="7" t="n"/>
      <c r="R882" s="14" t="n"/>
      <c r="V882">
        <f>IF($A882="","",IF(COUNTIF($A$2:$A882,$A882)=1,1,0))</f>
        <v/>
      </c>
      <c r="W882">
        <f>IF($V882=1,SUMPRODUCT(--($Y$2:$Y$1501&lt;$Y882))+1,"")</f>
        <v/>
      </c>
      <c r="X882">
        <f>IF($A882="","",IF(OR($T882=TRUE(),$T882="TRUE"),1,0))</f>
        <v/>
      </c>
      <c r="Y882">
        <f>IF($V882=1,IFERROR(IF(VALUE($A882)&lt;100000000,VALUE($A882),1000000000),IFERROR(IF(VALUE(MID($A882,2,20))&lt;100000000,VALUE(MID($A882,2,20)),1000000000),1000000000))+ROW()/100000,"")</f>
        <v/>
      </c>
    </row>
    <row r="883">
      <c r="F883" s="7">
        <f>IF($A883="","",E883*L883/100)</f>
        <v/>
      </c>
      <c r="J883" s="7" t="n"/>
      <c r="K883" s="7">
        <f>IF($A883="","",N883*U883/100)</f>
        <v/>
      </c>
      <c r="L883" s="7">
        <f>IF($A883="","",N883-K883)</f>
        <v/>
      </c>
      <c r="M883" s="7">
        <f>IF($A883="","",L883-F883)</f>
        <v/>
      </c>
      <c r="N883" s="7" t="n"/>
      <c r="O883" s="7" t="n"/>
      <c r="P883" s="7" t="n"/>
      <c r="R883" s="14" t="n"/>
      <c r="V883">
        <f>IF($A883="","",IF(COUNTIF($A$2:$A883,$A883)=1,1,0))</f>
        <v/>
      </c>
      <c r="W883">
        <f>IF($V883=1,SUMPRODUCT(--($Y$2:$Y$1501&lt;$Y883))+1,"")</f>
        <v/>
      </c>
      <c r="X883">
        <f>IF($A883="","",IF(OR($T883=TRUE(),$T883="TRUE"),1,0))</f>
        <v/>
      </c>
      <c r="Y883">
        <f>IF($V883=1,IFERROR(IF(VALUE($A883)&lt;100000000,VALUE($A883),1000000000),IFERROR(IF(VALUE(MID($A883,2,20))&lt;100000000,VALUE(MID($A883,2,20)),1000000000),1000000000))+ROW()/100000,"")</f>
        <v/>
      </c>
    </row>
    <row r="884">
      <c r="F884" s="7">
        <f>IF($A884="","",E884*L884/100)</f>
        <v/>
      </c>
      <c r="J884" s="7" t="n"/>
      <c r="K884" s="7">
        <f>IF($A884="","",N884*U884/100)</f>
        <v/>
      </c>
      <c r="L884" s="7">
        <f>IF($A884="","",N884-K884)</f>
        <v/>
      </c>
      <c r="M884" s="7">
        <f>IF($A884="","",L884-F884)</f>
        <v/>
      </c>
      <c r="N884" s="7" t="n"/>
      <c r="O884" s="7" t="n"/>
      <c r="P884" s="7" t="n"/>
      <c r="R884" s="14" t="n"/>
      <c r="V884">
        <f>IF($A884="","",IF(COUNTIF($A$2:$A884,$A884)=1,1,0))</f>
        <v/>
      </c>
      <c r="W884">
        <f>IF($V884=1,SUMPRODUCT(--($Y$2:$Y$1501&lt;$Y884))+1,"")</f>
        <v/>
      </c>
      <c r="X884">
        <f>IF($A884="","",IF(OR($T884=TRUE(),$T884="TRUE"),1,0))</f>
        <v/>
      </c>
      <c r="Y884">
        <f>IF($V884=1,IFERROR(IF(VALUE($A884)&lt;100000000,VALUE($A884),1000000000),IFERROR(IF(VALUE(MID($A884,2,20))&lt;100000000,VALUE(MID($A884,2,20)),1000000000),1000000000))+ROW()/100000,"")</f>
        <v/>
      </c>
    </row>
    <row r="885">
      <c r="F885" s="7">
        <f>IF($A885="","",E885*L885/100)</f>
        <v/>
      </c>
      <c r="J885" s="7" t="n"/>
      <c r="K885" s="7">
        <f>IF($A885="","",N885*U885/100)</f>
        <v/>
      </c>
      <c r="L885" s="7">
        <f>IF($A885="","",N885-K885)</f>
        <v/>
      </c>
      <c r="M885" s="7">
        <f>IF($A885="","",L885-F885)</f>
        <v/>
      </c>
      <c r="N885" s="7" t="n"/>
      <c r="O885" s="7" t="n"/>
      <c r="P885" s="7" t="n"/>
      <c r="R885" s="14" t="n"/>
      <c r="V885">
        <f>IF($A885="","",IF(COUNTIF($A$2:$A885,$A885)=1,1,0))</f>
        <v/>
      </c>
      <c r="W885">
        <f>IF($V885=1,SUMPRODUCT(--($Y$2:$Y$1501&lt;$Y885))+1,"")</f>
        <v/>
      </c>
      <c r="X885">
        <f>IF($A885="","",IF(OR($T885=TRUE(),$T885="TRUE"),1,0))</f>
        <v/>
      </c>
      <c r="Y885">
        <f>IF($V885=1,IFERROR(IF(VALUE($A885)&lt;100000000,VALUE($A885),1000000000),IFERROR(IF(VALUE(MID($A885,2,20))&lt;100000000,VALUE(MID($A885,2,20)),1000000000),1000000000))+ROW()/100000,"")</f>
        <v/>
      </c>
    </row>
    <row r="886">
      <c r="F886" s="7">
        <f>IF($A886="","",E886*L886/100)</f>
        <v/>
      </c>
      <c r="J886" s="7" t="n"/>
      <c r="K886" s="7">
        <f>IF($A886="","",N886*U886/100)</f>
        <v/>
      </c>
      <c r="L886" s="7">
        <f>IF($A886="","",N886-K886)</f>
        <v/>
      </c>
      <c r="M886" s="7">
        <f>IF($A886="","",L886-F886)</f>
        <v/>
      </c>
      <c r="N886" s="7" t="n"/>
      <c r="O886" s="7" t="n"/>
      <c r="P886" s="7" t="n"/>
      <c r="R886" s="14" t="n"/>
      <c r="V886">
        <f>IF($A886="","",IF(COUNTIF($A$2:$A886,$A886)=1,1,0))</f>
        <v/>
      </c>
      <c r="W886">
        <f>IF($V886=1,SUMPRODUCT(--($Y$2:$Y$1501&lt;$Y886))+1,"")</f>
        <v/>
      </c>
      <c r="X886">
        <f>IF($A886="","",IF(OR($T886=TRUE(),$T886="TRUE"),1,0))</f>
        <v/>
      </c>
      <c r="Y886">
        <f>IF($V886=1,IFERROR(IF(VALUE($A886)&lt;100000000,VALUE($A886),1000000000),IFERROR(IF(VALUE(MID($A886,2,20))&lt;100000000,VALUE(MID($A886,2,20)),1000000000),1000000000))+ROW()/100000,"")</f>
        <v/>
      </c>
    </row>
    <row r="887">
      <c r="F887" s="7">
        <f>IF($A887="","",E887*L887/100)</f>
        <v/>
      </c>
      <c r="J887" s="7" t="n"/>
      <c r="K887" s="7">
        <f>IF($A887="","",N887*U887/100)</f>
        <v/>
      </c>
      <c r="L887" s="7">
        <f>IF($A887="","",N887-K887)</f>
        <v/>
      </c>
      <c r="M887" s="7">
        <f>IF($A887="","",L887-F887)</f>
        <v/>
      </c>
      <c r="N887" s="7" t="n"/>
      <c r="O887" s="7" t="n"/>
      <c r="P887" s="7" t="n"/>
      <c r="R887" s="14" t="n"/>
      <c r="V887">
        <f>IF($A887="","",IF(COUNTIF($A$2:$A887,$A887)=1,1,0))</f>
        <v/>
      </c>
      <c r="W887">
        <f>IF($V887=1,SUMPRODUCT(--($Y$2:$Y$1501&lt;$Y887))+1,"")</f>
        <v/>
      </c>
      <c r="X887">
        <f>IF($A887="","",IF(OR($T887=TRUE(),$T887="TRUE"),1,0))</f>
        <v/>
      </c>
      <c r="Y887">
        <f>IF($V887=1,IFERROR(IF(VALUE($A887)&lt;100000000,VALUE($A887),1000000000),IFERROR(IF(VALUE(MID($A887,2,20))&lt;100000000,VALUE(MID($A887,2,20)),1000000000),1000000000))+ROW()/100000,"")</f>
        <v/>
      </c>
    </row>
    <row r="888">
      <c r="F888" s="7">
        <f>IF($A888="","",E888*L888/100)</f>
        <v/>
      </c>
      <c r="J888" s="7" t="n"/>
      <c r="K888" s="7">
        <f>IF($A888="","",N888*U888/100)</f>
        <v/>
      </c>
      <c r="L888" s="7">
        <f>IF($A888="","",N888-K888)</f>
        <v/>
      </c>
      <c r="M888" s="7">
        <f>IF($A888="","",L888-F888)</f>
        <v/>
      </c>
      <c r="N888" s="7" t="n"/>
      <c r="O888" s="7" t="n"/>
      <c r="P888" s="7" t="n"/>
      <c r="R888" s="14" t="n"/>
      <c r="V888">
        <f>IF($A888="","",IF(COUNTIF($A$2:$A888,$A888)=1,1,0))</f>
        <v/>
      </c>
      <c r="W888">
        <f>IF($V888=1,SUMPRODUCT(--($Y$2:$Y$1501&lt;$Y888))+1,"")</f>
        <v/>
      </c>
      <c r="X888">
        <f>IF($A888="","",IF(OR($T888=TRUE(),$T888="TRUE"),1,0))</f>
        <v/>
      </c>
      <c r="Y888">
        <f>IF($V888=1,IFERROR(IF(VALUE($A888)&lt;100000000,VALUE($A888),1000000000),IFERROR(IF(VALUE(MID($A888,2,20))&lt;100000000,VALUE(MID($A888,2,20)),1000000000),1000000000))+ROW()/100000,"")</f>
        <v/>
      </c>
    </row>
    <row r="889">
      <c r="F889" s="7">
        <f>IF($A889="","",E889*L889/100)</f>
        <v/>
      </c>
      <c r="J889" s="7" t="n"/>
      <c r="K889" s="7">
        <f>IF($A889="","",N889*U889/100)</f>
        <v/>
      </c>
      <c r="L889" s="7">
        <f>IF($A889="","",N889-K889)</f>
        <v/>
      </c>
      <c r="M889" s="7">
        <f>IF($A889="","",L889-F889)</f>
        <v/>
      </c>
      <c r="N889" s="7" t="n"/>
      <c r="O889" s="7" t="n"/>
      <c r="P889" s="7" t="n"/>
      <c r="R889" s="14" t="n"/>
      <c r="V889">
        <f>IF($A889="","",IF(COUNTIF($A$2:$A889,$A889)=1,1,0))</f>
        <v/>
      </c>
      <c r="W889">
        <f>IF($V889=1,SUMPRODUCT(--($Y$2:$Y$1501&lt;$Y889))+1,"")</f>
        <v/>
      </c>
      <c r="X889">
        <f>IF($A889="","",IF(OR($T889=TRUE(),$T889="TRUE"),1,0))</f>
        <v/>
      </c>
      <c r="Y889">
        <f>IF($V889=1,IFERROR(IF(VALUE($A889)&lt;100000000,VALUE($A889),1000000000),IFERROR(IF(VALUE(MID($A889,2,20))&lt;100000000,VALUE(MID($A889,2,20)),1000000000),1000000000))+ROW()/100000,"")</f>
        <v/>
      </c>
    </row>
    <row r="890">
      <c r="F890" s="7">
        <f>IF($A890="","",E890*L890/100)</f>
        <v/>
      </c>
      <c r="J890" s="7" t="n"/>
      <c r="K890" s="7">
        <f>IF($A890="","",N890*U890/100)</f>
        <v/>
      </c>
      <c r="L890" s="7">
        <f>IF($A890="","",N890-K890)</f>
        <v/>
      </c>
      <c r="M890" s="7">
        <f>IF($A890="","",L890-F890)</f>
        <v/>
      </c>
      <c r="N890" s="7" t="n"/>
      <c r="O890" s="7" t="n"/>
      <c r="P890" s="7" t="n"/>
      <c r="R890" s="14" t="n"/>
      <c r="V890">
        <f>IF($A890="","",IF(COUNTIF($A$2:$A890,$A890)=1,1,0))</f>
        <v/>
      </c>
      <c r="W890">
        <f>IF($V890=1,SUMPRODUCT(--($Y$2:$Y$1501&lt;$Y890))+1,"")</f>
        <v/>
      </c>
      <c r="X890">
        <f>IF($A890="","",IF(OR($T890=TRUE(),$T890="TRUE"),1,0))</f>
        <v/>
      </c>
      <c r="Y890">
        <f>IF($V890=1,IFERROR(IF(VALUE($A890)&lt;100000000,VALUE($A890),1000000000),IFERROR(IF(VALUE(MID($A890,2,20))&lt;100000000,VALUE(MID($A890,2,20)),1000000000),1000000000))+ROW()/100000,"")</f>
        <v/>
      </c>
    </row>
    <row r="891">
      <c r="F891" s="7">
        <f>IF($A891="","",E891*L891/100)</f>
        <v/>
      </c>
      <c r="J891" s="7" t="n"/>
      <c r="K891" s="7">
        <f>IF($A891="","",N891*U891/100)</f>
        <v/>
      </c>
      <c r="L891" s="7">
        <f>IF($A891="","",N891-K891)</f>
        <v/>
      </c>
      <c r="M891" s="7">
        <f>IF($A891="","",L891-F891)</f>
        <v/>
      </c>
      <c r="N891" s="7" t="n"/>
      <c r="O891" s="7" t="n"/>
      <c r="P891" s="7" t="n"/>
      <c r="R891" s="14" t="n"/>
      <c r="V891">
        <f>IF($A891="","",IF(COUNTIF($A$2:$A891,$A891)=1,1,0))</f>
        <v/>
      </c>
      <c r="W891">
        <f>IF($V891=1,SUMPRODUCT(--($Y$2:$Y$1501&lt;$Y891))+1,"")</f>
        <v/>
      </c>
      <c r="X891">
        <f>IF($A891="","",IF(OR($T891=TRUE(),$T891="TRUE"),1,0))</f>
        <v/>
      </c>
      <c r="Y891">
        <f>IF($V891=1,IFERROR(IF(VALUE($A891)&lt;100000000,VALUE($A891),1000000000),IFERROR(IF(VALUE(MID($A891,2,20))&lt;100000000,VALUE(MID($A891,2,20)),1000000000),1000000000))+ROW()/100000,"")</f>
        <v/>
      </c>
    </row>
    <row r="892">
      <c r="F892" s="7">
        <f>IF($A892="","",E892*L892/100)</f>
        <v/>
      </c>
      <c r="J892" s="7" t="n"/>
      <c r="K892" s="7">
        <f>IF($A892="","",N892*U892/100)</f>
        <v/>
      </c>
      <c r="L892" s="7">
        <f>IF($A892="","",N892-K892)</f>
        <v/>
      </c>
      <c r="M892" s="7">
        <f>IF($A892="","",L892-F892)</f>
        <v/>
      </c>
      <c r="N892" s="7" t="n"/>
      <c r="O892" s="7" t="n"/>
      <c r="P892" s="7" t="n"/>
      <c r="R892" s="14" t="n"/>
      <c r="V892">
        <f>IF($A892="","",IF(COUNTIF($A$2:$A892,$A892)=1,1,0))</f>
        <v/>
      </c>
      <c r="W892">
        <f>IF($V892=1,SUMPRODUCT(--($Y$2:$Y$1501&lt;$Y892))+1,"")</f>
        <v/>
      </c>
      <c r="X892">
        <f>IF($A892="","",IF(OR($T892=TRUE(),$T892="TRUE"),1,0))</f>
        <v/>
      </c>
      <c r="Y892">
        <f>IF($V892=1,IFERROR(IF(VALUE($A892)&lt;100000000,VALUE($A892),1000000000),IFERROR(IF(VALUE(MID($A892,2,20))&lt;100000000,VALUE(MID($A892,2,20)),1000000000),1000000000))+ROW()/100000,"")</f>
        <v/>
      </c>
    </row>
    <row r="893">
      <c r="F893" s="7">
        <f>IF($A893="","",E893*L893/100)</f>
        <v/>
      </c>
      <c r="J893" s="7" t="n"/>
      <c r="K893" s="7">
        <f>IF($A893="","",N893*U893/100)</f>
        <v/>
      </c>
      <c r="L893" s="7">
        <f>IF($A893="","",N893-K893)</f>
        <v/>
      </c>
      <c r="M893" s="7">
        <f>IF($A893="","",L893-F893)</f>
        <v/>
      </c>
      <c r="N893" s="7" t="n"/>
      <c r="O893" s="7" t="n"/>
      <c r="P893" s="7" t="n"/>
      <c r="R893" s="14" t="n"/>
      <c r="V893">
        <f>IF($A893="","",IF(COUNTIF($A$2:$A893,$A893)=1,1,0))</f>
        <v/>
      </c>
      <c r="W893">
        <f>IF($V893=1,SUMPRODUCT(--($Y$2:$Y$1501&lt;$Y893))+1,"")</f>
        <v/>
      </c>
      <c r="X893">
        <f>IF($A893="","",IF(OR($T893=TRUE(),$T893="TRUE"),1,0))</f>
        <v/>
      </c>
      <c r="Y893">
        <f>IF($V893=1,IFERROR(IF(VALUE($A893)&lt;100000000,VALUE($A893),1000000000),IFERROR(IF(VALUE(MID($A893,2,20))&lt;100000000,VALUE(MID($A893,2,20)),1000000000),1000000000))+ROW()/100000,"")</f>
        <v/>
      </c>
    </row>
    <row r="894">
      <c r="F894" s="7">
        <f>IF($A894="","",E894*L894/100)</f>
        <v/>
      </c>
      <c r="J894" s="7" t="n"/>
      <c r="K894" s="7">
        <f>IF($A894="","",N894*U894/100)</f>
        <v/>
      </c>
      <c r="L894" s="7">
        <f>IF($A894="","",N894-K894)</f>
        <v/>
      </c>
      <c r="M894" s="7">
        <f>IF($A894="","",L894-F894)</f>
        <v/>
      </c>
      <c r="N894" s="7" t="n"/>
      <c r="O894" s="7" t="n"/>
      <c r="P894" s="7" t="n"/>
      <c r="R894" s="14" t="n"/>
      <c r="V894">
        <f>IF($A894="","",IF(COUNTIF($A$2:$A894,$A894)=1,1,0))</f>
        <v/>
      </c>
      <c r="W894">
        <f>IF($V894=1,SUMPRODUCT(--($Y$2:$Y$1501&lt;$Y894))+1,"")</f>
        <v/>
      </c>
      <c r="X894">
        <f>IF($A894="","",IF(OR($T894=TRUE(),$T894="TRUE"),1,0))</f>
        <v/>
      </c>
      <c r="Y894">
        <f>IF($V894=1,IFERROR(IF(VALUE($A894)&lt;100000000,VALUE($A894),1000000000),IFERROR(IF(VALUE(MID($A894,2,20))&lt;100000000,VALUE(MID($A894,2,20)),1000000000),1000000000))+ROW()/100000,"")</f>
        <v/>
      </c>
    </row>
    <row r="895">
      <c r="F895" s="7">
        <f>IF($A895="","",E895*L895/100)</f>
        <v/>
      </c>
      <c r="J895" s="7" t="n"/>
      <c r="K895" s="7">
        <f>IF($A895="","",N895*U895/100)</f>
        <v/>
      </c>
      <c r="L895" s="7">
        <f>IF($A895="","",N895-K895)</f>
        <v/>
      </c>
      <c r="M895" s="7">
        <f>IF($A895="","",L895-F895)</f>
        <v/>
      </c>
      <c r="N895" s="7" t="n"/>
      <c r="O895" s="7" t="n"/>
      <c r="P895" s="7" t="n"/>
      <c r="R895" s="14" t="n"/>
      <c r="V895">
        <f>IF($A895="","",IF(COUNTIF($A$2:$A895,$A895)=1,1,0))</f>
        <v/>
      </c>
      <c r="W895">
        <f>IF($V895=1,SUMPRODUCT(--($Y$2:$Y$1501&lt;$Y895))+1,"")</f>
        <v/>
      </c>
      <c r="X895">
        <f>IF($A895="","",IF(OR($T895=TRUE(),$T895="TRUE"),1,0))</f>
        <v/>
      </c>
      <c r="Y895">
        <f>IF($V895=1,IFERROR(IF(VALUE($A895)&lt;100000000,VALUE($A895),1000000000),IFERROR(IF(VALUE(MID($A895,2,20))&lt;100000000,VALUE(MID($A895,2,20)),1000000000),1000000000))+ROW()/100000,"")</f>
        <v/>
      </c>
    </row>
    <row r="896">
      <c r="F896" s="7">
        <f>IF($A896="","",E896*L896/100)</f>
        <v/>
      </c>
      <c r="J896" s="7" t="n"/>
      <c r="K896" s="7">
        <f>IF($A896="","",N896*U896/100)</f>
        <v/>
      </c>
      <c r="L896" s="7">
        <f>IF($A896="","",N896-K896)</f>
        <v/>
      </c>
      <c r="M896" s="7">
        <f>IF($A896="","",L896-F896)</f>
        <v/>
      </c>
      <c r="N896" s="7" t="n"/>
      <c r="O896" s="7" t="n"/>
      <c r="P896" s="7" t="n"/>
      <c r="R896" s="14" t="n"/>
      <c r="V896">
        <f>IF($A896="","",IF(COUNTIF($A$2:$A896,$A896)=1,1,0))</f>
        <v/>
      </c>
      <c r="W896">
        <f>IF($V896=1,SUMPRODUCT(--($Y$2:$Y$1501&lt;$Y896))+1,"")</f>
        <v/>
      </c>
      <c r="X896">
        <f>IF($A896="","",IF(OR($T896=TRUE(),$T896="TRUE"),1,0))</f>
        <v/>
      </c>
      <c r="Y896">
        <f>IF($V896=1,IFERROR(IF(VALUE($A896)&lt;100000000,VALUE($A896),1000000000),IFERROR(IF(VALUE(MID($A896,2,20))&lt;100000000,VALUE(MID($A896,2,20)),1000000000),1000000000))+ROW()/100000,"")</f>
        <v/>
      </c>
    </row>
    <row r="897">
      <c r="F897" s="7">
        <f>IF($A897="","",E897*L897/100)</f>
        <v/>
      </c>
      <c r="J897" s="7" t="n"/>
      <c r="K897" s="7">
        <f>IF($A897="","",N897*U897/100)</f>
        <v/>
      </c>
      <c r="L897" s="7">
        <f>IF($A897="","",N897-K897)</f>
        <v/>
      </c>
      <c r="M897" s="7">
        <f>IF($A897="","",L897-F897)</f>
        <v/>
      </c>
      <c r="N897" s="7" t="n"/>
      <c r="O897" s="7" t="n"/>
      <c r="P897" s="7" t="n"/>
      <c r="R897" s="14" t="n"/>
      <c r="V897">
        <f>IF($A897="","",IF(COUNTIF($A$2:$A897,$A897)=1,1,0))</f>
        <v/>
      </c>
      <c r="W897">
        <f>IF($V897=1,SUMPRODUCT(--($Y$2:$Y$1501&lt;$Y897))+1,"")</f>
        <v/>
      </c>
      <c r="X897">
        <f>IF($A897="","",IF(OR($T897=TRUE(),$T897="TRUE"),1,0))</f>
        <v/>
      </c>
      <c r="Y897">
        <f>IF($V897=1,IFERROR(IF(VALUE($A897)&lt;100000000,VALUE($A897),1000000000),IFERROR(IF(VALUE(MID($A897,2,20))&lt;100000000,VALUE(MID($A897,2,20)),1000000000),1000000000))+ROW()/100000,"")</f>
        <v/>
      </c>
    </row>
    <row r="898">
      <c r="F898" s="7">
        <f>IF($A898="","",E898*L898/100)</f>
        <v/>
      </c>
      <c r="J898" s="7" t="n"/>
      <c r="K898" s="7">
        <f>IF($A898="","",N898*U898/100)</f>
        <v/>
      </c>
      <c r="L898" s="7">
        <f>IF($A898="","",N898-K898)</f>
        <v/>
      </c>
      <c r="M898" s="7">
        <f>IF($A898="","",L898-F898)</f>
        <v/>
      </c>
      <c r="N898" s="7" t="n"/>
      <c r="O898" s="7" t="n"/>
      <c r="P898" s="7" t="n"/>
      <c r="R898" s="14" t="n"/>
      <c r="V898">
        <f>IF($A898="","",IF(COUNTIF($A$2:$A898,$A898)=1,1,0))</f>
        <v/>
      </c>
      <c r="W898">
        <f>IF($V898=1,SUMPRODUCT(--($Y$2:$Y$1501&lt;$Y898))+1,"")</f>
        <v/>
      </c>
      <c r="X898">
        <f>IF($A898="","",IF(OR($T898=TRUE(),$T898="TRUE"),1,0))</f>
        <v/>
      </c>
      <c r="Y898">
        <f>IF($V898=1,IFERROR(IF(VALUE($A898)&lt;100000000,VALUE($A898),1000000000),IFERROR(IF(VALUE(MID($A898,2,20))&lt;100000000,VALUE(MID($A898,2,20)),1000000000),1000000000))+ROW()/100000,"")</f>
        <v/>
      </c>
    </row>
    <row r="899">
      <c r="F899" s="7">
        <f>IF($A899="","",E899*L899/100)</f>
        <v/>
      </c>
      <c r="J899" s="7" t="n"/>
      <c r="K899" s="7">
        <f>IF($A899="","",N899*U899/100)</f>
        <v/>
      </c>
      <c r="L899" s="7">
        <f>IF($A899="","",N899-K899)</f>
        <v/>
      </c>
      <c r="M899" s="7">
        <f>IF($A899="","",L899-F899)</f>
        <v/>
      </c>
      <c r="N899" s="7" t="n"/>
      <c r="O899" s="7" t="n"/>
      <c r="P899" s="7" t="n"/>
      <c r="R899" s="14" t="n"/>
      <c r="V899">
        <f>IF($A899="","",IF(COUNTIF($A$2:$A899,$A899)=1,1,0))</f>
        <v/>
      </c>
      <c r="W899">
        <f>IF($V899=1,SUMPRODUCT(--($Y$2:$Y$1501&lt;$Y899))+1,"")</f>
        <v/>
      </c>
      <c r="X899">
        <f>IF($A899="","",IF(OR($T899=TRUE(),$T899="TRUE"),1,0))</f>
        <v/>
      </c>
      <c r="Y899">
        <f>IF($V899=1,IFERROR(IF(VALUE($A899)&lt;100000000,VALUE($A899),1000000000),IFERROR(IF(VALUE(MID($A899,2,20))&lt;100000000,VALUE(MID($A899,2,20)),1000000000),1000000000))+ROW()/100000,"")</f>
        <v/>
      </c>
    </row>
    <row r="900">
      <c r="F900" s="7">
        <f>IF($A900="","",E900*L900/100)</f>
        <v/>
      </c>
      <c r="J900" s="7" t="n"/>
      <c r="K900" s="7">
        <f>IF($A900="","",N900*U900/100)</f>
        <v/>
      </c>
      <c r="L900" s="7">
        <f>IF($A900="","",N900-K900)</f>
        <v/>
      </c>
      <c r="M900" s="7">
        <f>IF($A900="","",L900-F900)</f>
        <v/>
      </c>
      <c r="N900" s="7" t="n"/>
      <c r="O900" s="7" t="n"/>
      <c r="P900" s="7" t="n"/>
      <c r="R900" s="14" t="n"/>
      <c r="V900">
        <f>IF($A900="","",IF(COUNTIF($A$2:$A900,$A900)=1,1,0))</f>
        <v/>
      </c>
      <c r="W900">
        <f>IF($V900=1,SUMPRODUCT(--($Y$2:$Y$1501&lt;$Y900))+1,"")</f>
        <v/>
      </c>
      <c r="X900">
        <f>IF($A900="","",IF(OR($T900=TRUE(),$T900="TRUE"),1,0))</f>
        <v/>
      </c>
      <c r="Y900">
        <f>IF($V900=1,IFERROR(IF(VALUE($A900)&lt;100000000,VALUE($A900),1000000000),IFERROR(IF(VALUE(MID($A900,2,20))&lt;100000000,VALUE(MID($A900,2,20)),1000000000),1000000000))+ROW()/100000,"")</f>
        <v/>
      </c>
    </row>
    <row r="901">
      <c r="F901" s="7">
        <f>IF($A901="","",E901*L901/100)</f>
        <v/>
      </c>
      <c r="J901" s="7" t="n"/>
      <c r="K901" s="7">
        <f>IF($A901="","",N901*U901/100)</f>
        <v/>
      </c>
      <c r="L901" s="7">
        <f>IF($A901="","",N901-K901)</f>
        <v/>
      </c>
      <c r="M901" s="7">
        <f>IF($A901="","",L901-F901)</f>
        <v/>
      </c>
      <c r="N901" s="7" t="n"/>
      <c r="O901" s="7" t="n"/>
      <c r="P901" s="7" t="n"/>
      <c r="R901" s="14" t="n"/>
      <c r="V901">
        <f>IF($A901="","",IF(COUNTIF($A$2:$A901,$A901)=1,1,0))</f>
        <v/>
      </c>
      <c r="W901">
        <f>IF($V901=1,SUMPRODUCT(--($Y$2:$Y$1501&lt;$Y901))+1,"")</f>
        <v/>
      </c>
      <c r="X901">
        <f>IF($A901="","",IF(OR($T901=TRUE(),$T901="TRUE"),1,0))</f>
        <v/>
      </c>
      <c r="Y901">
        <f>IF($V901=1,IFERROR(IF(VALUE($A901)&lt;100000000,VALUE($A901),1000000000),IFERROR(IF(VALUE(MID($A901,2,20))&lt;100000000,VALUE(MID($A901,2,20)),1000000000),1000000000))+ROW()/100000,"")</f>
        <v/>
      </c>
    </row>
    <row r="902">
      <c r="F902" s="7">
        <f>IF($A902="","",E902*L902/100)</f>
        <v/>
      </c>
      <c r="J902" s="7" t="n"/>
      <c r="K902" s="7">
        <f>IF($A902="","",N902*U902/100)</f>
        <v/>
      </c>
      <c r="L902" s="7">
        <f>IF($A902="","",N902-K902)</f>
        <v/>
      </c>
      <c r="M902" s="7">
        <f>IF($A902="","",L902-F902)</f>
        <v/>
      </c>
      <c r="N902" s="7" t="n"/>
      <c r="O902" s="7" t="n"/>
      <c r="P902" s="7" t="n"/>
      <c r="R902" s="14" t="n"/>
      <c r="V902">
        <f>IF($A902="","",IF(COUNTIF($A$2:$A902,$A902)=1,1,0))</f>
        <v/>
      </c>
      <c r="W902">
        <f>IF($V902=1,SUMPRODUCT(--($Y$2:$Y$1501&lt;$Y902))+1,"")</f>
        <v/>
      </c>
      <c r="X902">
        <f>IF($A902="","",IF(OR($T902=TRUE(),$T902="TRUE"),1,0))</f>
        <v/>
      </c>
      <c r="Y902">
        <f>IF($V902=1,IFERROR(IF(VALUE($A902)&lt;100000000,VALUE($A902),1000000000),IFERROR(IF(VALUE(MID($A902,2,20))&lt;100000000,VALUE(MID($A902,2,20)),1000000000),1000000000))+ROW()/100000,"")</f>
        <v/>
      </c>
    </row>
    <row r="903">
      <c r="F903" s="7">
        <f>IF($A903="","",E903*L903/100)</f>
        <v/>
      </c>
      <c r="J903" s="7" t="n"/>
      <c r="K903" s="7">
        <f>IF($A903="","",N903*U903/100)</f>
        <v/>
      </c>
      <c r="L903" s="7">
        <f>IF($A903="","",N903-K903)</f>
        <v/>
      </c>
      <c r="M903" s="7">
        <f>IF($A903="","",L903-F903)</f>
        <v/>
      </c>
      <c r="N903" s="7" t="n"/>
      <c r="O903" s="7" t="n"/>
      <c r="P903" s="7" t="n"/>
      <c r="R903" s="14" t="n"/>
      <c r="V903">
        <f>IF($A903="","",IF(COUNTIF($A$2:$A903,$A903)=1,1,0))</f>
        <v/>
      </c>
      <c r="W903">
        <f>IF($V903=1,SUMPRODUCT(--($Y$2:$Y$1501&lt;$Y903))+1,"")</f>
        <v/>
      </c>
      <c r="X903">
        <f>IF($A903="","",IF(OR($T903=TRUE(),$T903="TRUE"),1,0))</f>
        <v/>
      </c>
      <c r="Y903">
        <f>IF($V903=1,IFERROR(IF(VALUE($A903)&lt;100000000,VALUE($A903),1000000000),IFERROR(IF(VALUE(MID($A903,2,20))&lt;100000000,VALUE(MID($A903,2,20)),1000000000),1000000000))+ROW()/100000,"")</f>
        <v/>
      </c>
    </row>
    <row r="904">
      <c r="F904" s="7">
        <f>IF($A904="","",E904*L904/100)</f>
        <v/>
      </c>
      <c r="J904" s="7" t="n"/>
      <c r="K904" s="7">
        <f>IF($A904="","",N904*U904/100)</f>
        <v/>
      </c>
      <c r="L904" s="7">
        <f>IF($A904="","",N904-K904)</f>
        <v/>
      </c>
      <c r="M904" s="7">
        <f>IF($A904="","",L904-F904)</f>
        <v/>
      </c>
      <c r="N904" s="7" t="n"/>
      <c r="O904" s="7" t="n"/>
      <c r="P904" s="7" t="n"/>
      <c r="R904" s="14" t="n"/>
      <c r="V904">
        <f>IF($A904="","",IF(COUNTIF($A$2:$A904,$A904)=1,1,0))</f>
        <v/>
      </c>
      <c r="W904">
        <f>IF($V904=1,SUMPRODUCT(--($Y$2:$Y$1501&lt;$Y904))+1,"")</f>
        <v/>
      </c>
      <c r="X904">
        <f>IF($A904="","",IF(OR($T904=TRUE(),$T904="TRUE"),1,0))</f>
        <v/>
      </c>
      <c r="Y904">
        <f>IF($V904=1,IFERROR(IF(VALUE($A904)&lt;100000000,VALUE($A904),1000000000),IFERROR(IF(VALUE(MID($A904,2,20))&lt;100000000,VALUE(MID($A904,2,20)),1000000000),1000000000))+ROW()/100000,"")</f>
        <v/>
      </c>
    </row>
    <row r="905">
      <c r="F905" s="7">
        <f>IF($A905="","",E905*L905/100)</f>
        <v/>
      </c>
      <c r="J905" s="7" t="n"/>
      <c r="K905" s="7">
        <f>IF($A905="","",N905*U905/100)</f>
        <v/>
      </c>
      <c r="L905" s="7">
        <f>IF($A905="","",N905-K905)</f>
        <v/>
      </c>
      <c r="M905" s="7">
        <f>IF($A905="","",L905-F905)</f>
        <v/>
      </c>
      <c r="N905" s="7" t="n"/>
      <c r="O905" s="7" t="n"/>
      <c r="P905" s="7" t="n"/>
      <c r="R905" s="14" t="n"/>
      <c r="V905">
        <f>IF($A905="","",IF(COUNTIF($A$2:$A905,$A905)=1,1,0))</f>
        <v/>
      </c>
      <c r="W905">
        <f>IF($V905=1,SUMPRODUCT(--($Y$2:$Y$1501&lt;$Y905))+1,"")</f>
        <v/>
      </c>
      <c r="X905">
        <f>IF($A905="","",IF(OR($T905=TRUE(),$T905="TRUE"),1,0))</f>
        <v/>
      </c>
      <c r="Y905">
        <f>IF($V905=1,IFERROR(IF(VALUE($A905)&lt;100000000,VALUE($A905),1000000000),IFERROR(IF(VALUE(MID($A905,2,20))&lt;100000000,VALUE(MID($A905,2,20)),1000000000),1000000000))+ROW()/100000,"")</f>
        <v/>
      </c>
    </row>
    <row r="906">
      <c r="F906" s="7">
        <f>IF($A906="","",E906*L906/100)</f>
        <v/>
      </c>
      <c r="J906" s="7" t="n"/>
      <c r="K906" s="7">
        <f>IF($A906="","",N906*U906/100)</f>
        <v/>
      </c>
      <c r="L906" s="7">
        <f>IF($A906="","",N906-K906)</f>
        <v/>
      </c>
      <c r="M906" s="7">
        <f>IF($A906="","",L906-F906)</f>
        <v/>
      </c>
      <c r="N906" s="7" t="n"/>
      <c r="O906" s="7" t="n"/>
      <c r="P906" s="7" t="n"/>
      <c r="R906" s="14" t="n"/>
      <c r="V906">
        <f>IF($A906="","",IF(COUNTIF($A$2:$A906,$A906)=1,1,0))</f>
        <v/>
      </c>
      <c r="W906">
        <f>IF($V906=1,SUMPRODUCT(--($Y$2:$Y$1501&lt;$Y906))+1,"")</f>
        <v/>
      </c>
      <c r="X906">
        <f>IF($A906="","",IF(OR($T906=TRUE(),$T906="TRUE"),1,0))</f>
        <v/>
      </c>
      <c r="Y906">
        <f>IF($V906=1,IFERROR(IF(VALUE($A906)&lt;100000000,VALUE($A906),1000000000),IFERROR(IF(VALUE(MID($A906,2,20))&lt;100000000,VALUE(MID($A906,2,20)),1000000000),1000000000))+ROW()/100000,"")</f>
        <v/>
      </c>
    </row>
    <row r="907">
      <c r="F907" s="7">
        <f>IF($A907="","",E907*L907/100)</f>
        <v/>
      </c>
      <c r="J907" s="7" t="n"/>
      <c r="K907" s="7">
        <f>IF($A907="","",N907*U907/100)</f>
        <v/>
      </c>
      <c r="L907" s="7">
        <f>IF($A907="","",N907-K907)</f>
        <v/>
      </c>
      <c r="M907" s="7">
        <f>IF($A907="","",L907-F907)</f>
        <v/>
      </c>
      <c r="N907" s="7" t="n"/>
      <c r="O907" s="7" t="n"/>
      <c r="P907" s="7" t="n"/>
      <c r="R907" s="14" t="n"/>
      <c r="V907">
        <f>IF($A907="","",IF(COUNTIF($A$2:$A907,$A907)=1,1,0))</f>
        <v/>
      </c>
      <c r="W907">
        <f>IF($V907=1,SUMPRODUCT(--($Y$2:$Y$1501&lt;$Y907))+1,"")</f>
        <v/>
      </c>
      <c r="X907">
        <f>IF($A907="","",IF(OR($T907=TRUE(),$T907="TRUE"),1,0))</f>
        <v/>
      </c>
      <c r="Y907">
        <f>IF($V907=1,IFERROR(IF(VALUE($A907)&lt;100000000,VALUE($A907),1000000000),IFERROR(IF(VALUE(MID($A907,2,20))&lt;100000000,VALUE(MID($A907,2,20)),1000000000),1000000000))+ROW()/100000,"")</f>
        <v/>
      </c>
    </row>
    <row r="908">
      <c r="F908" s="7">
        <f>IF($A908="","",E908*L908/100)</f>
        <v/>
      </c>
      <c r="J908" s="7" t="n"/>
      <c r="K908" s="7">
        <f>IF($A908="","",N908*U908/100)</f>
        <v/>
      </c>
      <c r="L908" s="7">
        <f>IF($A908="","",N908-K908)</f>
        <v/>
      </c>
      <c r="M908" s="7">
        <f>IF($A908="","",L908-F908)</f>
        <v/>
      </c>
      <c r="N908" s="7" t="n"/>
      <c r="O908" s="7" t="n"/>
      <c r="P908" s="7" t="n"/>
      <c r="R908" s="14" t="n"/>
      <c r="V908">
        <f>IF($A908="","",IF(COUNTIF($A$2:$A908,$A908)=1,1,0))</f>
        <v/>
      </c>
      <c r="W908">
        <f>IF($V908=1,SUMPRODUCT(--($Y$2:$Y$1501&lt;$Y908))+1,"")</f>
        <v/>
      </c>
      <c r="X908">
        <f>IF($A908="","",IF(OR($T908=TRUE(),$T908="TRUE"),1,0))</f>
        <v/>
      </c>
      <c r="Y908">
        <f>IF($V908=1,IFERROR(IF(VALUE($A908)&lt;100000000,VALUE($A908),1000000000),IFERROR(IF(VALUE(MID($A908,2,20))&lt;100000000,VALUE(MID($A908,2,20)),1000000000),1000000000))+ROW()/100000,"")</f>
        <v/>
      </c>
    </row>
    <row r="909">
      <c r="F909" s="7">
        <f>IF($A909="","",E909*L909/100)</f>
        <v/>
      </c>
      <c r="J909" s="7" t="n"/>
      <c r="K909" s="7">
        <f>IF($A909="","",N909*U909/100)</f>
        <v/>
      </c>
      <c r="L909" s="7">
        <f>IF($A909="","",N909-K909)</f>
        <v/>
      </c>
      <c r="M909" s="7">
        <f>IF($A909="","",L909-F909)</f>
        <v/>
      </c>
      <c r="N909" s="7" t="n"/>
      <c r="O909" s="7" t="n"/>
      <c r="P909" s="7" t="n"/>
      <c r="R909" s="14" t="n"/>
      <c r="V909">
        <f>IF($A909="","",IF(COUNTIF($A$2:$A909,$A909)=1,1,0))</f>
        <v/>
      </c>
      <c r="W909">
        <f>IF($V909=1,SUMPRODUCT(--($Y$2:$Y$1501&lt;$Y909))+1,"")</f>
        <v/>
      </c>
      <c r="X909">
        <f>IF($A909="","",IF(OR($T909=TRUE(),$T909="TRUE"),1,0))</f>
        <v/>
      </c>
      <c r="Y909">
        <f>IF($V909=1,IFERROR(IF(VALUE($A909)&lt;100000000,VALUE($A909),1000000000),IFERROR(IF(VALUE(MID($A909,2,20))&lt;100000000,VALUE(MID($A909,2,20)),1000000000),1000000000))+ROW()/100000,"")</f>
        <v/>
      </c>
    </row>
    <row r="910">
      <c r="F910" s="7">
        <f>IF($A910="","",E910*L910/100)</f>
        <v/>
      </c>
      <c r="J910" s="7" t="n"/>
      <c r="K910" s="7">
        <f>IF($A910="","",N910*U910/100)</f>
        <v/>
      </c>
      <c r="L910" s="7">
        <f>IF($A910="","",N910-K910)</f>
        <v/>
      </c>
      <c r="M910" s="7">
        <f>IF($A910="","",L910-F910)</f>
        <v/>
      </c>
      <c r="N910" s="7" t="n"/>
      <c r="O910" s="7" t="n"/>
      <c r="P910" s="7" t="n"/>
      <c r="R910" s="14" t="n"/>
      <c r="V910">
        <f>IF($A910="","",IF(COUNTIF($A$2:$A910,$A910)=1,1,0))</f>
        <v/>
      </c>
      <c r="W910">
        <f>IF($V910=1,SUMPRODUCT(--($Y$2:$Y$1501&lt;$Y910))+1,"")</f>
        <v/>
      </c>
      <c r="X910">
        <f>IF($A910="","",IF(OR($T910=TRUE(),$T910="TRUE"),1,0))</f>
        <v/>
      </c>
      <c r="Y910">
        <f>IF($V910=1,IFERROR(IF(VALUE($A910)&lt;100000000,VALUE($A910),1000000000),IFERROR(IF(VALUE(MID($A910,2,20))&lt;100000000,VALUE(MID($A910,2,20)),1000000000),1000000000))+ROW()/100000,"")</f>
        <v/>
      </c>
    </row>
    <row r="911">
      <c r="F911" s="7">
        <f>IF($A911="","",E911*L911/100)</f>
        <v/>
      </c>
      <c r="J911" s="7" t="n"/>
      <c r="K911" s="7">
        <f>IF($A911="","",N911*U911/100)</f>
        <v/>
      </c>
      <c r="L911" s="7">
        <f>IF($A911="","",N911-K911)</f>
        <v/>
      </c>
      <c r="M911" s="7">
        <f>IF($A911="","",L911-F911)</f>
        <v/>
      </c>
      <c r="N911" s="7" t="n"/>
      <c r="O911" s="7" t="n"/>
      <c r="P911" s="7" t="n"/>
      <c r="R911" s="14" t="n"/>
      <c r="V911">
        <f>IF($A911="","",IF(COUNTIF($A$2:$A911,$A911)=1,1,0))</f>
        <v/>
      </c>
      <c r="W911">
        <f>IF($V911=1,SUMPRODUCT(--($Y$2:$Y$1501&lt;$Y911))+1,"")</f>
        <v/>
      </c>
      <c r="X911">
        <f>IF($A911="","",IF(OR($T911=TRUE(),$T911="TRUE"),1,0))</f>
        <v/>
      </c>
      <c r="Y911">
        <f>IF($V911=1,IFERROR(IF(VALUE($A911)&lt;100000000,VALUE($A911),1000000000),IFERROR(IF(VALUE(MID($A911,2,20))&lt;100000000,VALUE(MID($A911,2,20)),1000000000),1000000000))+ROW()/100000,"")</f>
        <v/>
      </c>
    </row>
    <row r="912">
      <c r="F912" s="7">
        <f>IF($A912="","",E912*L912/100)</f>
        <v/>
      </c>
      <c r="J912" s="7" t="n"/>
      <c r="K912" s="7">
        <f>IF($A912="","",N912*U912/100)</f>
        <v/>
      </c>
      <c r="L912" s="7">
        <f>IF($A912="","",N912-K912)</f>
        <v/>
      </c>
      <c r="M912" s="7">
        <f>IF($A912="","",L912-F912)</f>
        <v/>
      </c>
      <c r="N912" s="7" t="n"/>
      <c r="O912" s="7" t="n"/>
      <c r="P912" s="7" t="n"/>
      <c r="R912" s="14" t="n"/>
      <c r="V912">
        <f>IF($A912="","",IF(COUNTIF($A$2:$A912,$A912)=1,1,0))</f>
        <v/>
      </c>
      <c r="W912">
        <f>IF($V912=1,SUMPRODUCT(--($Y$2:$Y$1501&lt;$Y912))+1,"")</f>
        <v/>
      </c>
      <c r="X912">
        <f>IF($A912="","",IF(OR($T912=TRUE(),$T912="TRUE"),1,0))</f>
        <v/>
      </c>
      <c r="Y912">
        <f>IF($V912=1,IFERROR(IF(VALUE($A912)&lt;100000000,VALUE($A912),1000000000),IFERROR(IF(VALUE(MID($A912,2,20))&lt;100000000,VALUE(MID($A912,2,20)),1000000000),1000000000))+ROW()/100000,"")</f>
        <v/>
      </c>
    </row>
    <row r="913">
      <c r="F913" s="7">
        <f>IF($A913="","",E913*L913/100)</f>
        <v/>
      </c>
      <c r="J913" s="7" t="n"/>
      <c r="K913" s="7">
        <f>IF($A913="","",N913*U913/100)</f>
        <v/>
      </c>
      <c r="L913" s="7">
        <f>IF($A913="","",N913-K913)</f>
        <v/>
      </c>
      <c r="M913" s="7">
        <f>IF($A913="","",L913-F913)</f>
        <v/>
      </c>
      <c r="N913" s="7" t="n"/>
      <c r="O913" s="7" t="n"/>
      <c r="P913" s="7" t="n"/>
      <c r="R913" s="14" t="n"/>
      <c r="V913">
        <f>IF($A913="","",IF(COUNTIF($A$2:$A913,$A913)=1,1,0))</f>
        <v/>
      </c>
      <c r="W913">
        <f>IF($V913=1,SUMPRODUCT(--($Y$2:$Y$1501&lt;$Y913))+1,"")</f>
        <v/>
      </c>
      <c r="X913">
        <f>IF($A913="","",IF(OR($T913=TRUE(),$T913="TRUE"),1,0))</f>
        <v/>
      </c>
      <c r="Y913">
        <f>IF($V913=1,IFERROR(IF(VALUE($A913)&lt;100000000,VALUE($A913),1000000000),IFERROR(IF(VALUE(MID($A913,2,20))&lt;100000000,VALUE(MID($A913,2,20)),1000000000),1000000000))+ROW()/100000,"")</f>
        <v/>
      </c>
    </row>
    <row r="914">
      <c r="F914" s="7">
        <f>IF($A914="","",E914*L914/100)</f>
        <v/>
      </c>
      <c r="J914" s="7" t="n"/>
      <c r="K914" s="7">
        <f>IF($A914="","",N914*U914/100)</f>
        <v/>
      </c>
      <c r="L914" s="7">
        <f>IF($A914="","",N914-K914)</f>
        <v/>
      </c>
      <c r="M914" s="7">
        <f>IF($A914="","",L914-F914)</f>
        <v/>
      </c>
      <c r="N914" s="7" t="n"/>
      <c r="O914" s="7" t="n"/>
      <c r="P914" s="7" t="n"/>
      <c r="R914" s="14" t="n"/>
      <c r="V914">
        <f>IF($A914="","",IF(COUNTIF($A$2:$A914,$A914)=1,1,0))</f>
        <v/>
      </c>
      <c r="W914">
        <f>IF($V914=1,SUMPRODUCT(--($Y$2:$Y$1501&lt;$Y914))+1,"")</f>
        <v/>
      </c>
      <c r="X914">
        <f>IF($A914="","",IF(OR($T914=TRUE(),$T914="TRUE"),1,0))</f>
        <v/>
      </c>
      <c r="Y914">
        <f>IF($V914=1,IFERROR(IF(VALUE($A914)&lt;100000000,VALUE($A914),1000000000),IFERROR(IF(VALUE(MID($A914,2,20))&lt;100000000,VALUE(MID($A914,2,20)),1000000000),1000000000))+ROW()/100000,"")</f>
        <v/>
      </c>
    </row>
    <row r="915">
      <c r="F915" s="7">
        <f>IF($A915="","",E915*L915/100)</f>
        <v/>
      </c>
      <c r="J915" s="7" t="n"/>
      <c r="K915" s="7">
        <f>IF($A915="","",N915*U915/100)</f>
        <v/>
      </c>
      <c r="L915" s="7">
        <f>IF($A915="","",N915-K915)</f>
        <v/>
      </c>
      <c r="M915" s="7">
        <f>IF($A915="","",L915-F915)</f>
        <v/>
      </c>
      <c r="N915" s="7" t="n"/>
      <c r="O915" s="7" t="n"/>
      <c r="P915" s="7" t="n"/>
      <c r="R915" s="14" t="n"/>
      <c r="V915">
        <f>IF($A915="","",IF(COUNTIF($A$2:$A915,$A915)=1,1,0))</f>
        <v/>
      </c>
      <c r="W915">
        <f>IF($V915=1,SUMPRODUCT(--($Y$2:$Y$1501&lt;$Y915))+1,"")</f>
        <v/>
      </c>
      <c r="X915">
        <f>IF($A915="","",IF(OR($T915=TRUE(),$T915="TRUE"),1,0))</f>
        <v/>
      </c>
      <c r="Y915">
        <f>IF($V915=1,IFERROR(IF(VALUE($A915)&lt;100000000,VALUE($A915),1000000000),IFERROR(IF(VALUE(MID($A915,2,20))&lt;100000000,VALUE(MID($A915,2,20)),1000000000),1000000000))+ROW()/100000,"")</f>
        <v/>
      </c>
    </row>
    <row r="916">
      <c r="F916" s="7">
        <f>IF($A916="","",E916*L916/100)</f>
        <v/>
      </c>
      <c r="J916" s="7" t="n"/>
      <c r="K916" s="7">
        <f>IF($A916="","",N916*U916/100)</f>
        <v/>
      </c>
      <c r="L916" s="7">
        <f>IF($A916="","",N916-K916)</f>
        <v/>
      </c>
      <c r="M916" s="7">
        <f>IF($A916="","",L916-F916)</f>
        <v/>
      </c>
      <c r="N916" s="7" t="n"/>
      <c r="O916" s="7" t="n"/>
      <c r="P916" s="7" t="n"/>
      <c r="R916" s="14" t="n"/>
      <c r="V916">
        <f>IF($A916="","",IF(COUNTIF($A$2:$A916,$A916)=1,1,0))</f>
        <v/>
      </c>
      <c r="W916">
        <f>IF($V916=1,SUMPRODUCT(--($Y$2:$Y$1501&lt;$Y916))+1,"")</f>
        <v/>
      </c>
      <c r="X916">
        <f>IF($A916="","",IF(OR($T916=TRUE(),$T916="TRUE"),1,0))</f>
        <v/>
      </c>
      <c r="Y916">
        <f>IF($V916=1,IFERROR(IF(VALUE($A916)&lt;100000000,VALUE($A916),1000000000),IFERROR(IF(VALUE(MID($A916,2,20))&lt;100000000,VALUE(MID($A916,2,20)),1000000000),1000000000))+ROW()/100000,"")</f>
        <v/>
      </c>
    </row>
    <row r="917">
      <c r="F917" s="7">
        <f>IF($A917="","",E917*L917/100)</f>
        <v/>
      </c>
      <c r="J917" s="7" t="n"/>
      <c r="K917" s="7">
        <f>IF($A917="","",N917*U917/100)</f>
        <v/>
      </c>
      <c r="L917" s="7">
        <f>IF($A917="","",N917-K917)</f>
        <v/>
      </c>
      <c r="M917" s="7">
        <f>IF($A917="","",L917-F917)</f>
        <v/>
      </c>
      <c r="N917" s="7" t="n"/>
      <c r="O917" s="7" t="n"/>
      <c r="P917" s="7" t="n"/>
      <c r="R917" s="14" t="n"/>
      <c r="V917">
        <f>IF($A917="","",IF(COUNTIF($A$2:$A917,$A917)=1,1,0))</f>
        <v/>
      </c>
      <c r="W917">
        <f>IF($V917=1,SUMPRODUCT(--($Y$2:$Y$1501&lt;$Y917))+1,"")</f>
        <v/>
      </c>
      <c r="X917">
        <f>IF($A917="","",IF(OR($T917=TRUE(),$T917="TRUE"),1,0))</f>
        <v/>
      </c>
      <c r="Y917">
        <f>IF($V917=1,IFERROR(IF(VALUE($A917)&lt;100000000,VALUE($A917),1000000000),IFERROR(IF(VALUE(MID($A917,2,20))&lt;100000000,VALUE(MID($A917,2,20)),1000000000),1000000000))+ROW()/100000,"")</f>
        <v/>
      </c>
    </row>
    <row r="918">
      <c r="F918" s="7">
        <f>IF($A918="","",E918*L918/100)</f>
        <v/>
      </c>
      <c r="J918" s="7" t="n"/>
      <c r="K918" s="7">
        <f>IF($A918="","",N918*U918/100)</f>
        <v/>
      </c>
      <c r="L918" s="7">
        <f>IF($A918="","",N918-K918)</f>
        <v/>
      </c>
      <c r="M918" s="7">
        <f>IF($A918="","",L918-F918)</f>
        <v/>
      </c>
      <c r="N918" s="7" t="n"/>
      <c r="O918" s="7" t="n"/>
      <c r="P918" s="7" t="n"/>
      <c r="R918" s="14" t="n"/>
      <c r="V918">
        <f>IF($A918="","",IF(COUNTIF($A$2:$A918,$A918)=1,1,0))</f>
        <v/>
      </c>
      <c r="W918">
        <f>IF($V918=1,SUMPRODUCT(--($Y$2:$Y$1501&lt;$Y918))+1,"")</f>
        <v/>
      </c>
      <c r="X918">
        <f>IF($A918="","",IF(OR($T918=TRUE(),$T918="TRUE"),1,0))</f>
        <v/>
      </c>
      <c r="Y918">
        <f>IF($V918=1,IFERROR(IF(VALUE($A918)&lt;100000000,VALUE($A918),1000000000),IFERROR(IF(VALUE(MID($A918,2,20))&lt;100000000,VALUE(MID($A918,2,20)),1000000000),1000000000))+ROW()/100000,"")</f>
        <v/>
      </c>
    </row>
    <row r="919">
      <c r="F919" s="7">
        <f>IF($A919="","",E919*L919/100)</f>
        <v/>
      </c>
      <c r="J919" s="7" t="n"/>
      <c r="K919" s="7">
        <f>IF($A919="","",N919*U919/100)</f>
        <v/>
      </c>
      <c r="L919" s="7">
        <f>IF($A919="","",N919-K919)</f>
        <v/>
      </c>
      <c r="M919" s="7">
        <f>IF($A919="","",L919-F919)</f>
        <v/>
      </c>
      <c r="N919" s="7" t="n"/>
      <c r="O919" s="7" t="n"/>
      <c r="P919" s="7" t="n"/>
      <c r="R919" s="14" t="n"/>
      <c r="V919">
        <f>IF($A919="","",IF(COUNTIF($A$2:$A919,$A919)=1,1,0))</f>
        <v/>
      </c>
      <c r="W919">
        <f>IF($V919=1,SUMPRODUCT(--($Y$2:$Y$1501&lt;$Y919))+1,"")</f>
        <v/>
      </c>
      <c r="X919">
        <f>IF($A919="","",IF(OR($T919=TRUE(),$T919="TRUE"),1,0))</f>
        <v/>
      </c>
      <c r="Y919">
        <f>IF($V919=1,IFERROR(IF(VALUE($A919)&lt;100000000,VALUE($A919),1000000000),IFERROR(IF(VALUE(MID($A919,2,20))&lt;100000000,VALUE(MID($A919,2,20)),1000000000),1000000000))+ROW()/100000,"")</f>
        <v/>
      </c>
    </row>
    <row r="920">
      <c r="F920" s="7">
        <f>IF($A920="","",E920*L920/100)</f>
        <v/>
      </c>
      <c r="J920" s="7" t="n"/>
      <c r="K920" s="7">
        <f>IF($A920="","",N920*U920/100)</f>
        <v/>
      </c>
      <c r="L920" s="7">
        <f>IF($A920="","",N920-K920)</f>
        <v/>
      </c>
      <c r="M920" s="7">
        <f>IF($A920="","",L920-F920)</f>
        <v/>
      </c>
      <c r="N920" s="7" t="n"/>
      <c r="O920" s="7" t="n"/>
      <c r="P920" s="7" t="n"/>
      <c r="R920" s="14" t="n"/>
      <c r="V920">
        <f>IF($A920="","",IF(COUNTIF($A$2:$A920,$A920)=1,1,0))</f>
        <v/>
      </c>
      <c r="W920">
        <f>IF($V920=1,SUMPRODUCT(--($Y$2:$Y$1501&lt;$Y920))+1,"")</f>
        <v/>
      </c>
      <c r="X920">
        <f>IF($A920="","",IF(OR($T920=TRUE(),$T920="TRUE"),1,0))</f>
        <v/>
      </c>
      <c r="Y920">
        <f>IF($V920=1,IFERROR(IF(VALUE($A920)&lt;100000000,VALUE($A920),1000000000),IFERROR(IF(VALUE(MID($A920,2,20))&lt;100000000,VALUE(MID($A920,2,20)),1000000000),1000000000))+ROW()/100000,"")</f>
        <v/>
      </c>
    </row>
    <row r="921">
      <c r="F921" s="7">
        <f>IF($A921="","",E921*L921/100)</f>
        <v/>
      </c>
      <c r="J921" s="7" t="n"/>
      <c r="K921" s="7">
        <f>IF($A921="","",N921*U921/100)</f>
        <v/>
      </c>
      <c r="L921" s="7">
        <f>IF($A921="","",N921-K921)</f>
        <v/>
      </c>
      <c r="M921" s="7">
        <f>IF($A921="","",L921-F921)</f>
        <v/>
      </c>
      <c r="N921" s="7" t="n"/>
      <c r="O921" s="7" t="n"/>
      <c r="P921" s="7" t="n"/>
      <c r="R921" s="14" t="n"/>
      <c r="V921">
        <f>IF($A921="","",IF(COUNTIF($A$2:$A921,$A921)=1,1,0))</f>
        <v/>
      </c>
      <c r="W921">
        <f>IF($V921=1,SUMPRODUCT(--($Y$2:$Y$1501&lt;$Y921))+1,"")</f>
        <v/>
      </c>
      <c r="X921">
        <f>IF($A921="","",IF(OR($T921=TRUE(),$T921="TRUE"),1,0))</f>
        <v/>
      </c>
      <c r="Y921">
        <f>IF($V921=1,IFERROR(IF(VALUE($A921)&lt;100000000,VALUE($A921),1000000000),IFERROR(IF(VALUE(MID($A921,2,20))&lt;100000000,VALUE(MID($A921,2,20)),1000000000),1000000000))+ROW()/100000,"")</f>
        <v/>
      </c>
    </row>
    <row r="922">
      <c r="F922" s="7">
        <f>IF($A922="","",E922*L922/100)</f>
        <v/>
      </c>
      <c r="J922" s="7" t="n"/>
      <c r="K922" s="7">
        <f>IF($A922="","",N922*U922/100)</f>
        <v/>
      </c>
      <c r="L922" s="7">
        <f>IF($A922="","",N922-K922)</f>
        <v/>
      </c>
      <c r="M922" s="7">
        <f>IF($A922="","",L922-F922)</f>
        <v/>
      </c>
      <c r="N922" s="7" t="n"/>
      <c r="O922" s="7" t="n"/>
      <c r="P922" s="7" t="n"/>
      <c r="R922" s="14" t="n"/>
      <c r="V922">
        <f>IF($A922="","",IF(COUNTIF($A$2:$A922,$A922)=1,1,0))</f>
        <v/>
      </c>
      <c r="W922">
        <f>IF($V922=1,SUMPRODUCT(--($Y$2:$Y$1501&lt;$Y922))+1,"")</f>
        <v/>
      </c>
      <c r="X922">
        <f>IF($A922="","",IF(OR($T922=TRUE(),$T922="TRUE"),1,0))</f>
        <v/>
      </c>
      <c r="Y922">
        <f>IF($V922=1,IFERROR(IF(VALUE($A922)&lt;100000000,VALUE($A922),1000000000),IFERROR(IF(VALUE(MID($A922,2,20))&lt;100000000,VALUE(MID($A922,2,20)),1000000000),1000000000))+ROW()/100000,"")</f>
        <v/>
      </c>
    </row>
    <row r="923">
      <c r="F923" s="7">
        <f>IF($A923="","",E923*L923/100)</f>
        <v/>
      </c>
      <c r="J923" s="7" t="n"/>
      <c r="K923" s="7">
        <f>IF($A923="","",N923*U923/100)</f>
        <v/>
      </c>
      <c r="L923" s="7">
        <f>IF($A923="","",N923-K923)</f>
        <v/>
      </c>
      <c r="M923" s="7">
        <f>IF($A923="","",L923-F923)</f>
        <v/>
      </c>
      <c r="N923" s="7" t="n"/>
      <c r="O923" s="7" t="n"/>
      <c r="P923" s="7" t="n"/>
      <c r="R923" s="14" t="n"/>
      <c r="V923">
        <f>IF($A923="","",IF(COUNTIF($A$2:$A923,$A923)=1,1,0))</f>
        <v/>
      </c>
      <c r="W923">
        <f>IF($V923=1,SUMPRODUCT(--($Y$2:$Y$1501&lt;$Y923))+1,"")</f>
        <v/>
      </c>
      <c r="X923">
        <f>IF($A923="","",IF(OR($T923=TRUE(),$T923="TRUE"),1,0))</f>
        <v/>
      </c>
      <c r="Y923">
        <f>IF($V923=1,IFERROR(IF(VALUE($A923)&lt;100000000,VALUE($A923),1000000000),IFERROR(IF(VALUE(MID($A923,2,20))&lt;100000000,VALUE(MID($A923,2,20)),1000000000),1000000000))+ROW()/100000,"")</f>
        <v/>
      </c>
    </row>
    <row r="924">
      <c r="F924" s="7">
        <f>IF($A924="","",E924*L924/100)</f>
        <v/>
      </c>
      <c r="J924" s="7" t="n"/>
      <c r="K924" s="7">
        <f>IF($A924="","",N924*U924/100)</f>
        <v/>
      </c>
      <c r="L924" s="7">
        <f>IF($A924="","",N924-K924)</f>
        <v/>
      </c>
      <c r="M924" s="7">
        <f>IF($A924="","",L924-F924)</f>
        <v/>
      </c>
      <c r="N924" s="7" t="n"/>
      <c r="O924" s="7" t="n"/>
      <c r="P924" s="7" t="n"/>
      <c r="R924" s="14" t="n"/>
      <c r="V924">
        <f>IF($A924="","",IF(COUNTIF($A$2:$A924,$A924)=1,1,0))</f>
        <v/>
      </c>
      <c r="W924">
        <f>IF($V924=1,SUMPRODUCT(--($Y$2:$Y$1501&lt;$Y924))+1,"")</f>
        <v/>
      </c>
      <c r="X924">
        <f>IF($A924="","",IF(OR($T924=TRUE(),$T924="TRUE"),1,0))</f>
        <v/>
      </c>
      <c r="Y924">
        <f>IF($V924=1,IFERROR(IF(VALUE($A924)&lt;100000000,VALUE($A924),1000000000),IFERROR(IF(VALUE(MID($A924,2,20))&lt;100000000,VALUE(MID($A924,2,20)),1000000000),1000000000))+ROW()/100000,"")</f>
        <v/>
      </c>
    </row>
    <row r="925">
      <c r="F925" s="7">
        <f>IF($A925="","",E925*L925/100)</f>
        <v/>
      </c>
      <c r="J925" s="7" t="n"/>
      <c r="K925" s="7">
        <f>IF($A925="","",N925*U925/100)</f>
        <v/>
      </c>
      <c r="L925" s="7">
        <f>IF($A925="","",N925-K925)</f>
        <v/>
      </c>
      <c r="M925" s="7">
        <f>IF($A925="","",L925-F925)</f>
        <v/>
      </c>
      <c r="N925" s="7" t="n"/>
      <c r="O925" s="7" t="n"/>
      <c r="P925" s="7" t="n"/>
      <c r="R925" s="14" t="n"/>
      <c r="V925">
        <f>IF($A925="","",IF(COUNTIF($A$2:$A925,$A925)=1,1,0))</f>
        <v/>
      </c>
      <c r="W925">
        <f>IF($V925=1,SUMPRODUCT(--($Y$2:$Y$1501&lt;$Y925))+1,"")</f>
        <v/>
      </c>
      <c r="X925">
        <f>IF($A925="","",IF(OR($T925=TRUE(),$T925="TRUE"),1,0))</f>
        <v/>
      </c>
      <c r="Y925">
        <f>IF($V925=1,IFERROR(IF(VALUE($A925)&lt;100000000,VALUE($A925),1000000000),IFERROR(IF(VALUE(MID($A925,2,20))&lt;100000000,VALUE(MID($A925,2,20)),1000000000),1000000000))+ROW()/100000,"")</f>
        <v/>
      </c>
    </row>
    <row r="926">
      <c r="F926" s="7">
        <f>IF($A926="","",E926*L926/100)</f>
        <v/>
      </c>
      <c r="J926" s="7" t="n"/>
      <c r="K926" s="7">
        <f>IF($A926="","",N926*U926/100)</f>
        <v/>
      </c>
      <c r="L926" s="7">
        <f>IF($A926="","",N926-K926)</f>
        <v/>
      </c>
      <c r="M926" s="7">
        <f>IF($A926="","",L926-F926)</f>
        <v/>
      </c>
      <c r="N926" s="7" t="n"/>
      <c r="O926" s="7" t="n"/>
      <c r="P926" s="7" t="n"/>
      <c r="R926" s="14" t="n"/>
      <c r="V926">
        <f>IF($A926="","",IF(COUNTIF($A$2:$A926,$A926)=1,1,0))</f>
        <v/>
      </c>
      <c r="W926">
        <f>IF($V926=1,SUMPRODUCT(--($Y$2:$Y$1501&lt;$Y926))+1,"")</f>
        <v/>
      </c>
      <c r="X926">
        <f>IF($A926="","",IF(OR($T926=TRUE(),$T926="TRUE"),1,0))</f>
        <v/>
      </c>
      <c r="Y926">
        <f>IF($V926=1,IFERROR(IF(VALUE($A926)&lt;100000000,VALUE($A926),1000000000),IFERROR(IF(VALUE(MID($A926,2,20))&lt;100000000,VALUE(MID($A926,2,20)),1000000000),1000000000))+ROW()/100000,"")</f>
        <v/>
      </c>
    </row>
    <row r="927">
      <c r="F927" s="7">
        <f>IF($A927="","",E927*L927/100)</f>
        <v/>
      </c>
      <c r="J927" s="7" t="n"/>
      <c r="K927" s="7">
        <f>IF($A927="","",N927*U927/100)</f>
        <v/>
      </c>
      <c r="L927" s="7">
        <f>IF($A927="","",N927-K927)</f>
        <v/>
      </c>
      <c r="M927" s="7">
        <f>IF($A927="","",L927-F927)</f>
        <v/>
      </c>
      <c r="N927" s="7" t="n"/>
      <c r="O927" s="7" t="n"/>
      <c r="P927" s="7" t="n"/>
      <c r="R927" s="14" t="n"/>
      <c r="V927">
        <f>IF($A927="","",IF(COUNTIF($A$2:$A927,$A927)=1,1,0))</f>
        <v/>
      </c>
      <c r="W927">
        <f>IF($V927=1,SUMPRODUCT(--($Y$2:$Y$1501&lt;$Y927))+1,"")</f>
        <v/>
      </c>
      <c r="X927">
        <f>IF($A927="","",IF(OR($T927=TRUE(),$T927="TRUE"),1,0))</f>
        <v/>
      </c>
      <c r="Y927">
        <f>IF($V927=1,IFERROR(IF(VALUE($A927)&lt;100000000,VALUE($A927),1000000000),IFERROR(IF(VALUE(MID($A927,2,20))&lt;100000000,VALUE(MID($A927,2,20)),1000000000),1000000000))+ROW()/100000,"")</f>
        <v/>
      </c>
    </row>
    <row r="928">
      <c r="F928" s="7">
        <f>IF($A928="","",E928*L928/100)</f>
        <v/>
      </c>
      <c r="J928" s="7" t="n"/>
      <c r="K928" s="7">
        <f>IF($A928="","",N928*U928/100)</f>
        <v/>
      </c>
      <c r="L928" s="7">
        <f>IF($A928="","",N928-K928)</f>
        <v/>
      </c>
      <c r="M928" s="7">
        <f>IF($A928="","",L928-F928)</f>
        <v/>
      </c>
      <c r="N928" s="7" t="n"/>
      <c r="O928" s="7" t="n"/>
      <c r="P928" s="7" t="n"/>
      <c r="R928" s="14" t="n"/>
      <c r="V928">
        <f>IF($A928="","",IF(COUNTIF($A$2:$A928,$A928)=1,1,0))</f>
        <v/>
      </c>
      <c r="W928">
        <f>IF($V928=1,SUMPRODUCT(--($Y$2:$Y$1501&lt;$Y928))+1,"")</f>
        <v/>
      </c>
      <c r="X928">
        <f>IF($A928="","",IF(OR($T928=TRUE(),$T928="TRUE"),1,0))</f>
        <v/>
      </c>
      <c r="Y928">
        <f>IF($V928=1,IFERROR(IF(VALUE($A928)&lt;100000000,VALUE($A928),1000000000),IFERROR(IF(VALUE(MID($A928,2,20))&lt;100000000,VALUE(MID($A928,2,20)),1000000000),1000000000))+ROW()/100000,"")</f>
        <v/>
      </c>
    </row>
    <row r="929">
      <c r="F929" s="7">
        <f>IF($A929="","",E929*L929/100)</f>
        <v/>
      </c>
      <c r="J929" s="7" t="n"/>
      <c r="K929" s="7">
        <f>IF($A929="","",N929*U929/100)</f>
        <v/>
      </c>
      <c r="L929" s="7">
        <f>IF($A929="","",N929-K929)</f>
        <v/>
      </c>
      <c r="M929" s="7">
        <f>IF($A929="","",L929-F929)</f>
        <v/>
      </c>
      <c r="N929" s="7" t="n"/>
      <c r="O929" s="7" t="n"/>
      <c r="P929" s="7" t="n"/>
      <c r="R929" s="14" t="n"/>
      <c r="V929">
        <f>IF($A929="","",IF(COUNTIF($A$2:$A929,$A929)=1,1,0))</f>
        <v/>
      </c>
      <c r="W929">
        <f>IF($V929=1,SUMPRODUCT(--($Y$2:$Y$1501&lt;$Y929))+1,"")</f>
        <v/>
      </c>
      <c r="X929">
        <f>IF($A929="","",IF(OR($T929=TRUE(),$T929="TRUE"),1,0))</f>
        <v/>
      </c>
      <c r="Y929">
        <f>IF($V929=1,IFERROR(IF(VALUE($A929)&lt;100000000,VALUE($A929),1000000000),IFERROR(IF(VALUE(MID($A929,2,20))&lt;100000000,VALUE(MID($A929,2,20)),1000000000),1000000000))+ROW()/100000,"")</f>
        <v/>
      </c>
    </row>
    <row r="930">
      <c r="F930" s="7">
        <f>IF($A930="","",E930*L930/100)</f>
        <v/>
      </c>
      <c r="J930" s="7" t="n"/>
      <c r="K930" s="7">
        <f>IF($A930="","",N930*U930/100)</f>
        <v/>
      </c>
      <c r="L930" s="7">
        <f>IF($A930="","",N930-K930)</f>
        <v/>
      </c>
      <c r="M930" s="7">
        <f>IF($A930="","",L930-F930)</f>
        <v/>
      </c>
      <c r="N930" s="7" t="n"/>
      <c r="O930" s="7" t="n"/>
      <c r="P930" s="7" t="n"/>
      <c r="R930" s="14" t="n"/>
      <c r="V930">
        <f>IF($A930="","",IF(COUNTIF($A$2:$A930,$A930)=1,1,0))</f>
        <v/>
      </c>
      <c r="W930">
        <f>IF($V930=1,SUMPRODUCT(--($Y$2:$Y$1501&lt;$Y930))+1,"")</f>
        <v/>
      </c>
      <c r="X930">
        <f>IF($A930="","",IF(OR($T930=TRUE(),$T930="TRUE"),1,0))</f>
        <v/>
      </c>
      <c r="Y930">
        <f>IF($V930=1,IFERROR(IF(VALUE($A930)&lt;100000000,VALUE($A930),1000000000),IFERROR(IF(VALUE(MID($A930,2,20))&lt;100000000,VALUE(MID($A930,2,20)),1000000000),1000000000))+ROW()/100000,"")</f>
        <v/>
      </c>
    </row>
    <row r="931">
      <c r="F931" s="7">
        <f>IF($A931="","",E931*L931/100)</f>
        <v/>
      </c>
      <c r="J931" s="7" t="n"/>
      <c r="K931" s="7">
        <f>IF($A931="","",N931*U931/100)</f>
        <v/>
      </c>
      <c r="L931" s="7">
        <f>IF($A931="","",N931-K931)</f>
        <v/>
      </c>
      <c r="M931" s="7">
        <f>IF($A931="","",L931-F931)</f>
        <v/>
      </c>
      <c r="N931" s="7" t="n"/>
      <c r="O931" s="7" t="n"/>
      <c r="P931" s="7" t="n"/>
      <c r="R931" s="14" t="n"/>
      <c r="V931">
        <f>IF($A931="","",IF(COUNTIF($A$2:$A931,$A931)=1,1,0))</f>
        <v/>
      </c>
      <c r="W931">
        <f>IF($V931=1,SUMPRODUCT(--($Y$2:$Y$1501&lt;$Y931))+1,"")</f>
        <v/>
      </c>
      <c r="X931">
        <f>IF($A931="","",IF(OR($T931=TRUE(),$T931="TRUE"),1,0))</f>
        <v/>
      </c>
      <c r="Y931">
        <f>IF($V931=1,IFERROR(IF(VALUE($A931)&lt;100000000,VALUE($A931),1000000000),IFERROR(IF(VALUE(MID($A931,2,20))&lt;100000000,VALUE(MID($A931,2,20)),1000000000),1000000000))+ROW()/100000,"")</f>
        <v/>
      </c>
    </row>
    <row r="932">
      <c r="F932" s="7">
        <f>IF($A932="","",E932*L932/100)</f>
        <v/>
      </c>
      <c r="J932" s="7" t="n"/>
      <c r="K932" s="7">
        <f>IF($A932="","",N932*U932/100)</f>
        <v/>
      </c>
      <c r="L932" s="7">
        <f>IF($A932="","",N932-K932)</f>
        <v/>
      </c>
      <c r="M932" s="7">
        <f>IF($A932="","",L932-F932)</f>
        <v/>
      </c>
      <c r="N932" s="7" t="n"/>
      <c r="O932" s="7" t="n"/>
      <c r="P932" s="7" t="n"/>
      <c r="R932" s="14" t="n"/>
      <c r="V932">
        <f>IF($A932="","",IF(COUNTIF($A$2:$A932,$A932)=1,1,0))</f>
        <v/>
      </c>
      <c r="W932">
        <f>IF($V932=1,SUMPRODUCT(--($Y$2:$Y$1501&lt;$Y932))+1,"")</f>
        <v/>
      </c>
      <c r="X932">
        <f>IF($A932="","",IF(OR($T932=TRUE(),$T932="TRUE"),1,0))</f>
        <v/>
      </c>
      <c r="Y932">
        <f>IF($V932=1,IFERROR(IF(VALUE($A932)&lt;100000000,VALUE($A932),1000000000),IFERROR(IF(VALUE(MID($A932,2,20))&lt;100000000,VALUE(MID($A932,2,20)),1000000000),1000000000))+ROW()/100000,"")</f>
        <v/>
      </c>
    </row>
    <row r="933">
      <c r="F933" s="7">
        <f>IF($A933="","",E933*L933/100)</f>
        <v/>
      </c>
      <c r="J933" s="7" t="n"/>
      <c r="K933" s="7">
        <f>IF($A933="","",N933*U933/100)</f>
        <v/>
      </c>
      <c r="L933" s="7">
        <f>IF($A933="","",N933-K933)</f>
        <v/>
      </c>
      <c r="M933" s="7">
        <f>IF($A933="","",L933-F933)</f>
        <v/>
      </c>
      <c r="N933" s="7" t="n"/>
      <c r="O933" s="7" t="n"/>
      <c r="P933" s="7" t="n"/>
      <c r="R933" s="14" t="n"/>
      <c r="V933">
        <f>IF($A933="","",IF(COUNTIF($A$2:$A933,$A933)=1,1,0))</f>
        <v/>
      </c>
      <c r="W933">
        <f>IF($V933=1,SUMPRODUCT(--($Y$2:$Y$1501&lt;$Y933))+1,"")</f>
        <v/>
      </c>
      <c r="X933">
        <f>IF($A933="","",IF(OR($T933=TRUE(),$T933="TRUE"),1,0))</f>
        <v/>
      </c>
      <c r="Y933">
        <f>IF($V933=1,IFERROR(IF(VALUE($A933)&lt;100000000,VALUE($A933),1000000000),IFERROR(IF(VALUE(MID($A933,2,20))&lt;100000000,VALUE(MID($A933,2,20)),1000000000),1000000000))+ROW()/100000,"")</f>
        <v/>
      </c>
    </row>
    <row r="934">
      <c r="F934" s="7">
        <f>IF($A934="","",E934*L934/100)</f>
        <v/>
      </c>
      <c r="J934" s="7" t="n"/>
      <c r="K934" s="7">
        <f>IF($A934="","",N934*U934/100)</f>
        <v/>
      </c>
      <c r="L934" s="7">
        <f>IF($A934="","",N934-K934)</f>
        <v/>
      </c>
      <c r="M934" s="7">
        <f>IF($A934="","",L934-F934)</f>
        <v/>
      </c>
      <c r="N934" s="7" t="n"/>
      <c r="O934" s="7" t="n"/>
      <c r="P934" s="7" t="n"/>
      <c r="R934" s="14" t="n"/>
      <c r="V934">
        <f>IF($A934="","",IF(COUNTIF($A$2:$A934,$A934)=1,1,0))</f>
        <v/>
      </c>
      <c r="W934">
        <f>IF($V934=1,SUMPRODUCT(--($Y$2:$Y$1501&lt;$Y934))+1,"")</f>
        <v/>
      </c>
      <c r="X934">
        <f>IF($A934="","",IF(OR($T934=TRUE(),$T934="TRUE"),1,0))</f>
        <v/>
      </c>
      <c r="Y934">
        <f>IF($V934=1,IFERROR(IF(VALUE($A934)&lt;100000000,VALUE($A934),1000000000),IFERROR(IF(VALUE(MID($A934,2,20))&lt;100000000,VALUE(MID($A934,2,20)),1000000000),1000000000))+ROW()/100000,"")</f>
        <v/>
      </c>
    </row>
    <row r="935">
      <c r="F935" s="7">
        <f>IF($A935="","",E935*L935/100)</f>
        <v/>
      </c>
      <c r="J935" s="7" t="n"/>
      <c r="K935" s="7">
        <f>IF($A935="","",N935*U935/100)</f>
        <v/>
      </c>
      <c r="L935" s="7">
        <f>IF($A935="","",N935-K935)</f>
        <v/>
      </c>
      <c r="M935" s="7">
        <f>IF($A935="","",L935-F935)</f>
        <v/>
      </c>
      <c r="N935" s="7" t="n"/>
      <c r="O935" s="7" t="n"/>
      <c r="P935" s="7" t="n"/>
      <c r="R935" s="14" t="n"/>
      <c r="V935">
        <f>IF($A935="","",IF(COUNTIF($A$2:$A935,$A935)=1,1,0))</f>
        <v/>
      </c>
      <c r="W935">
        <f>IF($V935=1,SUMPRODUCT(--($Y$2:$Y$1501&lt;$Y935))+1,"")</f>
        <v/>
      </c>
      <c r="X935">
        <f>IF($A935="","",IF(OR($T935=TRUE(),$T935="TRUE"),1,0))</f>
        <v/>
      </c>
      <c r="Y935">
        <f>IF($V935=1,IFERROR(IF(VALUE($A935)&lt;100000000,VALUE($A935),1000000000),IFERROR(IF(VALUE(MID($A935,2,20))&lt;100000000,VALUE(MID($A935,2,20)),1000000000),1000000000))+ROW()/100000,"")</f>
        <v/>
      </c>
    </row>
    <row r="936">
      <c r="F936" s="7">
        <f>IF($A936="","",E936*L936/100)</f>
        <v/>
      </c>
      <c r="J936" s="7" t="n"/>
      <c r="K936" s="7">
        <f>IF($A936="","",N936*U936/100)</f>
        <v/>
      </c>
      <c r="L936" s="7">
        <f>IF($A936="","",N936-K936)</f>
        <v/>
      </c>
      <c r="M936" s="7">
        <f>IF($A936="","",L936-F936)</f>
        <v/>
      </c>
      <c r="N936" s="7" t="n"/>
      <c r="O936" s="7" t="n"/>
      <c r="P936" s="7" t="n"/>
      <c r="R936" s="14" t="n"/>
      <c r="V936">
        <f>IF($A936="","",IF(COUNTIF($A$2:$A936,$A936)=1,1,0))</f>
        <v/>
      </c>
      <c r="W936">
        <f>IF($V936=1,SUMPRODUCT(--($Y$2:$Y$1501&lt;$Y936))+1,"")</f>
        <v/>
      </c>
      <c r="X936">
        <f>IF($A936="","",IF(OR($T936=TRUE(),$T936="TRUE"),1,0))</f>
        <v/>
      </c>
      <c r="Y936">
        <f>IF($V936=1,IFERROR(IF(VALUE($A936)&lt;100000000,VALUE($A936),1000000000),IFERROR(IF(VALUE(MID($A936,2,20))&lt;100000000,VALUE(MID($A936,2,20)),1000000000),1000000000))+ROW()/100000,"")</f>
        <v/>
      </c>
    </row>
    <row r="937">
      <c r="F937" s="7">
        <f>IF($A937="","",E937*L937/100)</f>
        <v/>
      </c>
      <c r="J937" s="7" t="n"/>
      <c r="K937" s="7">
        <f>IF($A937="","",N937*U937/100)</f>
        <v/>
      </c>
      <c r="L937" s="7">
        <f>IF($A937="","",N937-K937)</f>
        <v/>
      </c>
      <c r="M937" s="7">
        <f>IF($A937="","",L937-F937)</f>
        <v/>
      </c>
      <c r="N937" s="7" t="n"/>
      <c r="O937" s="7" t="n"/>
      <c r="P937" s="7" t="n"/>
      <c r="R937" s="14" t="n"/>
      <c r="V937">
        <f>IF($A937="","",IF(COUNTIF($A$2:$A937,$A937)=1,1,0))</f>
        <v/>
      </c>
      <c r="W937">
        <f>IF($V937=1,SUMPRODUCT(--($Y$2:$Y$1501&lt;$Y937))+1,"")</f>
        <v/>
      </c>
      <c r="X937">
        <f>IF($A937="","",IF(OR($T937=TRUE(),$T937="TRUE"),1,0))</f>
        <v/>
      </c>
      <c r="Y937">
        <f>IF($V937=1,IFERROR(IF(VALUE($A937)&lt;100000000,VALUE($A937),1000000000),IFERROR(IF(VALUE(MID($A937,2,20))&lt;100000000,VALUE(MID($A937,2,20)),1000000000),1000000000))+ROW()/100000,"")</f>
        <v/>
      </c>
    </row>
    <row r="938">
      <c r="F938" s="7">
        <f>IF($A938="","",E938*L938/100)</f>
        <v/>
      </c>
      <c r="J938" s="7" t="n"/>
      <c r="K938" s="7">
        <f>IF($A938="","",N938*U938/100)</f>
        <v/>
      </c>
      <c r="L938" s="7">
        <f>IF($A938="","",N938-K938)</f>
        <v/>
      </c>
      <c r="M938" s="7">
        <f>IF($A938="","",L938-F938)</f>
        <v/>
      </c>
      <c r="N938" s="7" t="n"/>
      <c r="O938" s="7" t="n"/>
      <c r="P938" s="7" t="n"/>
      <c r="R938" s="14" t="n"/>
      <c r="V938">
        <f>IF($A938="","",IF(COUNTIF($A$2:$A938,$A938)=1,1,0))</f>
        <v/>
      </c>
      <c r="W938">
        <f>IF($V938=1,SUMPRODUCT(--($Y$2:$Y$1501&lt;$Y938))+1,"")</f>
        <v/>
      </c>
      <c r="X938">
        <f>IF($A938="","",IF(OR($T938=TRUE(),$T938="TRUE"),1,0))</f>
        <v/>
      </c>
      <c r="Y938">
        <f>IF($V938=1,IFERROR(IF(VALUE($A938)&lt;100000000,VALUE($A938),1000000000),IFERROR(IF(VALUE(MID($A938,2,20))&lt;100000000,VALUE(MID($A938,2,20)),1000000000),1000000000))+ROW()/100000,"")</f>
        <v/>
      </c>
    </row>
    <row r="939">
      <c r="F939" s="7">
        <f>IF($A939="","",E939*L939/100)</f>
        <v/>
      </c>
      <c r="J939" s="7" t="n"/>
      <c r="K939" s="7">
        <f>IF($A939="","",N939*U939/100)</f>
        <v/>
      </c>
      <c r="L939" s="7">
        <f>IF($A939="","",N939-K939)</f>
        <v/>
      </c>
      <c r="M939" s="7">
        <f>IF($A939="","",L939-F939)</f>
        <v/>
      </c>
      <c r="N939" s="7" t="n"/>
      <c r="O939" s="7" t="n"/>
      <c r="P939" s="7" t="n"/>
      <c r="R939" s="14" t="n"/>
      <c r="V939">
        <f>IF($A939="","",IF(COUNTIF($A$2:$A939,$A939)=1,1,0))</f>
        <v/>
      </c>
      <c r="W939">
        <f>IF($V939=1,SUMPRODUCT(--($Y$2:$Y$1501&lt;$Y939))+1,"")</f>
        <v/>
      </c>
      <c r="X939">
        <f>IF($A939="","",IF(OR($T939=TRUE(),$T939="TRUE"),1,0))</f>
        <v/>
      </c>
      <c r="Y939">
        <f>IF($V939=1,IFERROR(IF(VALUE($A939)&lt;100000000,VALUE($A939),1000000000),IFERROR(IF(VALUE(MID($A939,2,20))&lt;100000000,VALUE(MID($A939,2,20)),1000000000),1000000000))+ROW()/100000,"")</f>
        <v/>
      </c>
    </row>
    <row r="940">
      <c r="F940" s="7">
        <f>IF($A940="","",E940*L940/100)</f>
        <v/>
      </c>
      <c r="J940" s="7" t="n"/>
      <c r="K940" s="7">
        <f>IF($A940="","",N940*U940/100)</f>
        <v/>
      </c>
      <c r="L940" s="7">
        <f>IF($A940="","",N940-K940)</f>
        <v/>
      </c>
      <c r="M940" s="7">
        <f>IF($A940="","",L940-F940)</f>
        <v/>
      </c>
      <c r="N940" s="7" t="n"/>
      <c r="O940" s="7" t="n"/>
      <c r="P940" s="7" t="n"/>
      <c r="R940" s="14" t="n"/>
      <c r="V940">
        <f>IF($A940="","",IF(COUNTIF($A$2:$A940,$A940)=1,1,0))</f>
        <v/>
      </c>
      <c r="W940">
        <f>IF($V940=1,SUMPRODUCT(--($Y$2:$Y$1501&lt;$Y940))+1,"")</f>
        <v/>
      </c>
      <c r="X940">
        <f>IF($A940="","",IF(OR($T940=TRUE(),$T940="TRUE"),1,0))</f>
        <v/>
      </c>
      <c r="Y940">
        <f>IF($V940=1,IFERROR(IF(VALUE($A940)&lt;100000000,VALUE($A940),1000000000),IFERROR(IF(VALUE(MID($A940,2,20))&lt;100000000,VALUE(MID($A940,2,20)),1000000000),1000000000))+ROW()/100000,"")</f>
        <v/>
      </c>
    </row>
    <row r="941">
      <c r="F941" s="7">
        <f>IF($A941="","",E941*L941/100)</f>
        <v/>
      </c>
      <c r="J941" s="7" t="n"/>
      <c r="K941" s="7">
        <f>IF($A941="","",N941*U941/100)</f>
        <v/>
      </c>
      <c r="L941" s="7">
        <f>IF($A941="","",N941-K941)</f>
        <v/>
      </c>
      <c r="M941" s="7">
        <f>IF($A941="","",L941-F941)</f>
        <v/>
      </c>
      <c r="N941" s="7" t="n"/>
      <c r="O941" s="7" t="n"/>
      <c r="P941" s="7" t="n"/>
      <c r="R941" s="14" t="n"/>
      <c r="V941">
        <f>IF($A941="","",IF(COUNTIF($A$2:$A941,$A941)=1,1,0))</f>
        <v/>
      </c>
      <c r="W941">
        <f>IF($V941=1,SUMPRODUCT(--($Y$2:$Y$1501&lt;$Y941))+1,"")</f>
        <v/>
      </c>
      <c r="X941">
        <f>IF($A941="","",IF(OR($T941=TRUE(),$T941="TRUE"),1,0))</f>
        <v/>
      </c>
      <c r="Y941">
        <f>IF($V941=1,IFERROR(IF(VALUE($A941)&lt;100000000,VALUE($A941),1000000000),IFERROR(IF(VALUE(MID($A941,2,20))&lt;100000000,VALUE(MID($A941,2,20)),1000000000),1000000000))+ROW()/100000,"")</f>
        <v/>
      </c>
    </row>
    <row r="942">
      <c r="F942" s="7">
        <f>IF($A942="","",E942*L942/100)</f>
        <v/>
      </c>
      <c r="J942" s="7" t="n"/>
      <c r="K942" s="7">
        <f>IF($A942="","",N942*U942/100)</f>
        <v/>
      </c>
      <c r="L942" s="7">
        <f>IF($A942="","",N942-K942)</f>
        <v/>
      </c>
      <c r="M942" s="7">
        <f>IF($A942="","",L942-F942)</f>
        <v/>
      </c>
      <c r="N942" s="7" t="n"/>
      <c r="O942" s="7" t="n"/>
      <c r="P942" s="7" t="n"/>
      <c r="R942" s="14" t="n"/>
      <c r="V942">
        <f>IF($A942="","",IF(COUNTIF($A$2:$A942,$A942)=1,1,0))</f>
        <v/>
      </c>
      <c r="W942">
        <f>IF($V942=1,SUMPRODUCT(--($Y$2:$Y$1501&lt;$Y942))+1,"")</f>
        <v/>
      </c>
      <c r="X942">
        <f>IF($A942="","",IF(OR($T942=TRUE(),$T942="TRUE"),1,0))</f>
        <v/>
      </c>
      <c r="Y942">
        <f>IF($V942=1,IFERROR(IF(VALUE($A942)&lt;100000000,VALUE($A942),1000000000),IFERROR(IF(VALUE(MID($A942,2,20))&lt;100000000,VALUE(MID($A942,2,20)),1000000000),1000000000))+ROW()/100000,"")</f>
        <v/>
      </c>
    </row>
    <row r="943">
      <c r="F943" s="7">
        <f>IF($A943="","",E943*L943/100)</f>
        <v/>
      </c>
      <c r="J943" s="7" t="n"/>
      <c r="K943" s="7">
        <f>IF($A943="","",N943*U943/100)</f>
        <v/>
      </c>
      <c r="L943" s="7">
        <f>IF($A943="","",N943-K943)</f>
        <v/>
      </c>
      <c r="M943" s="7">
        <f>IF($A943="","",L943-F943)</f>
        <v/>
      </c>
      <c r="N943" s="7" t="n"/>
      <c r="O943" s="7" t="n"/>
      <c r="P943" s="7" t="n"/>
      <c r="R943" s="14" t="n"/>
      <c r="V943">
        <f>IF($A943="","",IF(COUNTIF($A$2:$A943,$A943)=1,1,0))</f>
        <v/>
      </c>
      <c r="W943">
        <f>IF($V943=1,SUMPRODUCT(--($Y$2:$Y$1501&lt;$Y943))+1,"")</f>
        <v/>
      </c>
      <c r="X943">
        <f>IF($A943="","",IF(OR($T943=TRUE(),$T943="TRUE"),1,0))</f>
        <v/>
      </c>
      <c r="Y943">
        <f>IF($V943=1,IFERROR(IF(VALUE($A943)&lt;100000000,VALUE($A943),1000000000),IFERROR(IF(VALUE(MID($A943,2,20))&lt;100000000,VALUE(MID($A943,2,20)),1000000000),1000000000))+ROW()/100000,"")</f>
        <v/>
      </c>
    </row>
    <row r="944">
      <c r="F944" s="7">
        <f>IF($A944="","",E944*L944/100)</f>
        <v/>
      </c>
      <c r="J944" s="7" t="n"/>
      <c r="K944" s="7">
        <f>IF($A944="","",N944*U944/100)</f>
        <v/>
      </c>
      <c r="L944" s="7">
        <f>IF($A944="","",N944-K944)</f>
        <v/>
      </c>
      <c r="M944" s="7">
        <f>IF($A944="","",L944-F944)</f>
        <v/>
      </c>
      <c r="N944" s="7" t="n"/>
      <c r="O944" s="7" t="n"/>
      <c r="P944" s="7" t="n"/>
      <c r="R944" s="14" t="n"/>
      <c r="V944">
        <f>IF($A944="","",IF(COUNTIF($A$2:$A944,$A944)=1,1,0))</f>
        <v/>
      </c>
      <c r="W944">
        <f>IF($V944=1,SUMPRODUCT(--($Y$2:$Y$1501&lt;$Y944))+1,"")</f>
        <v/>
      </c>
      <c r="X944">
        <f>IF($A944="","",IF(OR($T944=TRUE(),$T944="TRUE"),1,0))</f>
        <v/>
      </c>
      <c r="Y944">
        <f>IF($V944=1,IFERROR(IF(VALUE($A944)&lt;100000000,VALUE($A944),1000000000),IFERROR(IF(VALUE(MID($A944,2,20))&lt;100000000,VALUE(MID($A944,2,20)),1000000000),1000000000))+ROW()/100000,"")</f>
        <v/>
      </c>
    </row>
    <row r="945">
      <c r="F945" s="7">
        <f>IF($A945="","",E945*L945/100)</f>
        <v/>
      </c>
      <c r="J945" s="7" t="n"/>
      <c r="K945" s="7">
        <f>IF($A945="","",N945*U945/100)</f>
        <v/>
      </c>
      <c r="L945" s="7">
        <f>IF($A945="","",N945-K945)</f>
        <v/>
      </c>
      <c r="M945" s="7">
        <f>IF($A945="","",L945-F945)</f>
        <v/>
      </c>
      <c r="N945" s="7" t="n"/>
      <c r="O945" s="7" t="n"/>
      <c r="P945" s="7" t="n"/>
      <c r="R945" s="14" t="n"/>
      <c r="V945">
        <f>IF($A945="","",IF(COUNTIF($A$2:$A945,$A945)=1,1,0))</f>
        <v/>
      </c>
      <c r="W945">
        <f>IF($V945=1,SUMPRODUCT(--($Y$2:$Y$1501&lt;$Y945))+1,"")</f>
        <v/>
      </c>
      <c r="X945">
        <f>IF($A945="","",IF(OR($T945=TRUE(),$T945="TRUE"),1,0))</f>
        <v/>
      </c>
      <c r="Y945">
        <f>IF($V945=1,IFERROR(IF(VALUE($A945)&lt;100000000,VALUE($A945),1000000000),IFERROR(IF(VALUE(MID($A945,2,20))&lt;100000000,VALUE(MID($A945,2,20)),1000000000),1000000000))+ROW()/100000,"")</f>
        <v/>
      </c>
    </row>
    <row r="946">
      <c r="F946" s="7">
        <f>IF($A946="","",E946*L946/100)</f>
        <v/>
      </c>
      <c r="J946" s="7" t="n"/>
      <c r="K946" s="7">
        <f>IF($A946="","",N946*U946/100)</f>
        <v/>
      </c>
      <c r="L946" s="7">
        <f>IF($A946="","",N946-K946)</f>
        <v/>
      </c>
      <c r="M946" s="7">
        <f>IF($A946="","",L946-F946)</f>
        <v/>
      </c>
      <c r="N946" s="7" t="n"/>
      <c r="O946" s="7" t="n"/>
      <c r="P946" s="7" t="n"/>
      <c r="R946" s="14" t="n"/>
      <c r="V946">
        <f>IF($A946="","",IF(COUNTIF($A$2:$A946,$A946)=1,1,0))</f>
        <v/>
      </c>
      <c r="W946">
        <f>IF($V946=1,SUMPRODUCT(--($Y$2:$Y$1501&lt;$Y946))+1,"")</f>
        <v/>
      </c>
      <c r="X946">
        <f>IF($A946="","",IF(OR($T946=TRUE(),$T946="TRUE"),1,0))</f>
        <v/>
      </c>
      <c r="Y946">
        <f>IF($V946=1,IFERROR(IF(VALUE($A946)&lt;100000000,VALUE($A946),1000000000),IFERROR(IF(VALUE(MID($A946,2,20))&lt;100000000,VALUE(MID($A946,2,20)),1000000000),1000000000))+ROW()/100000,"")</f>
        <v/>
      </c>
    </row>
    <row r="947">
      <c r="F947" s="7">
        <f>IF($A947="","",E947*L947/100)</f>
        <v/>
      </c>
      <c r="J947" s="7" t="n"/>
      <c r="K947" s="7">
        <f>IF($A947="","",N947*U947/100)</f>
        <v/>
      </c>
      <c r="L947" s="7">
        <f>IF($A947="","",N947-K947)</f>
        <v/>
      </c>
      <c r="M947" s="7">
        <f>IF($A947="","",L947-F947)</f>
        <v/>
      </c>
      <c r="N947" s="7" t="n"/>
      <c r="O947" s="7" t="n"/>
      <c r="P947" s="7" t="n"/>
      <c r="R947" s="14" t="n"/>
      <c r="V947">
        <f>IF($A947="","",IF(COUNTIF($A$2:$A947,$A947)=1,1,0))</f>
        <v/>
      </c>
      <c r="W947">
        <f>IF($V947=1,SUMPRODUCT(--($Y$2:$Y$1501&lt;$Y947))+1,"")</f>
        <v/>
      </c>
      <c r="X947">
        <f>IF($A947="","",IF(OR($T947=TRUE(),$T947="TRUE"),1,0))</f>
        <v/>
      </c>
      <c r="Y947">
        <f>IF($V947=1,IFERROR(IF(VALUE($A947)&lt;100000000,VALUE($A947),1000000000),IFERROR(IF(VALUE(MID($A947,2,20))&lt;100000000,VALUE(MID($A947,2,20)),1000000000),1000000000))+ROW()/100000,"")</f>
        <v/>
      </c>
    </row>
    <row r="948">
      <c r="F948" s="7">
        <f>IF($A948="","",E948*L948/100)</f>
        <v/>
      </c>
      <c r="J948" s="7" t="n"/>
      <c r="K948" s="7">
        <f>IF($A948="","",N948*U948/100)</f>
        <v/>
      </c>
      <c r="L948" s="7">
        <f>IF($A948="","",N948-K948)</f>
        <v/>
      </c>
      <c r="M948" s="7">
        <f>IF($A948="","",L948-F948)</f>
        <v/>
      </c>
      <c r="N948" s="7" t="n"/>
      <c r="O948" s="7" t="n"/>
      <c r="P948" s="7" t="n"/>
      <c r="R948" s="14" t="n"/>
      <c r="V948">
        <f>IF($A948="","",IF(COUNTIF($A$2:$A948,$A948)=1,1,0))</f>
        <v/>
      </c>
      <c r="W948">
        <f>IF($V948=1,SUMPRODUCT(--($Y$2:$Y$1501&lt;$Y948))+1,"")</f>
        <v/>
      </c>
      <c r="X948">
        <f>IF($A948="","",IF(OR($T948=TRUE(),$T948="TRUE"),1,0))</f>
        <v/>
      </c>
      <c r="Y948">
        <f>IF($V948=1,IFERROR(IF(VALUE($A948)&lt;100000000,VALUE($A948),1000000000),IFERROR(IF(VALUE(MID($A948,2,20))&lt;100000000,VALUE(MID($A948,2,20)),1000000000),1000000000))+ROW()/100000,"")</f>
        <v/>
      </c>
    </row>
    <row r="949">
      <c r="F949" s="7">
        <f>IF($A949="","",E949*L949/100)</f>
        <v/>
      </c>
      <c r="J949" s="7" t="n"/>
      <c r="K949" s="7">
        <f>IF($A949="","",N949*U949/100)</f>
        <v/>
      </c>
      <c r="L949" s="7">
        <f>IF($A949="","",N949-K949)</f>
        <v/>
      </c>
      <c r="M949" s="7">
        <f>IF($A949="","",L949-F949)</f>
        <v/>
      </c>
      <c r="N949" s="7" t="n"/>
      <c r="O949" s="7" t="n"/>
      <c r="P949" s="7" t="n"/>
      <c r="R949" s="14" t="n"/>
      <c r="V949">
        <f>IF($A949="","",IF(COUNTIF($A$2:$A949,$A949)=1,1,0))</f>
        <v/>
      </c>
      <c r="W949">
        <f>IF($V949=1,SUMPRODUCT(--($Y$2:$Y$1501&lt;$Y949))+1,"")</f>
        <v/>
      </c>
      <c r="X949">
        <f>IF($A949="","",IF(OR($T949=TRUE(),$T949="TRUE"),1,0))</f>
        <v/>
      </c>
      <c r="Y949">
        <f>IF($V949=1,IFERROR(IF(VALUE($A949)&lt;100000000,VALUE($A949),1000000000),IFERROR(IF(VALUE(MID($A949,2,20))&lt;100000000,VALUE(MID($A949,2,20)),1000000000),1000000000))+ROW()/100000,"")</f>
        <v/>
      </c>
    </row>
    <row r="950">
      <c r="F950" s="7">
        <f>IF($A950="","",E950*L950/100)</f>
        <v/>
      </c>
      <c r="J950" s="7" t="n"/>
      <c r="K950" s="7">
        <f>IF($A950="","",N950*U950/100)</f>
        <v/>
      </c>
      <c r="L950" s="7">
        <f>IF($A950="","",N950-K950)</f>
        <v/>
      </c>
      <c r="M950" s="7">
        <f>IF($A950="","",L950-F950)</f>
        <v/>
      </c>
      <c r="N950" s="7" t="n"/>
      <c r="O950" s="7" t="n"/>
      <c r="P950" s="7" t="n"/>
      <c r="R950" s="14" t="n"/>
      <c r="V950">
        <f>IF($A950="","",IF(COUNTIF($A$2:$A950,$A950)=1,1,0))</f>
        <v/>
      </c>
      <c r="W950">
        <f>IF($V950=1,SUMPRODUCT(--($Y$2:$Y$1501&lt;$Y950))+1,"")</f>
        <v/>
      </c>
      <c r="X950">
        <f>IF($A950="","",IF(OR($T950=TRUE(),$T950="TRUE"),1,0))</f>
        <v/>
      </c>
      <c r="Y950">
        <f>IF($V950=1,IFERROR(IF(VALUE($A950)&lt;100000000,VALUE($A950),1000000000),IFERROR(IF(VALUE(MID($A950,2,20))&lt;100000000,VALUE(MID($A950,2,20)),1000000000),1000000000))+ROW()/100000,"")</f>
        <v/>
      </c>
    </row>
    <row r="951">
      <c r="F951" s="7">
        <f>IF($A951="","",E951*L951/100)</f>
        <v/>
      </c>
      <c r="J951" s="7" t="n"/>
      <c r="K951" s="7">
        <f>IF($A951="","",N951*U951/100)</f>
        <v/>
      </c>
      <c r="L951" s="7">
        <f>IF($A951="","",N951-K951)</f>
        <v/>
      </c>
      <c r="M951" s="7">
        <f>IF($A951="","",L951-F951)</f>
        <v/>
      </c>
      <c r="N951" s="7" t="n"/>
      <c r="O951" s="7" t="n"/>
      <c r="P951" s="7" t="n"/>
      <c r="R951" s="14" t="n"/>
      <c r="V951">
        <f>IF($A951="","",IF(COUNTIF($A$2:$A951,$A951)=1,1,0))</f>
        <v/>
      </c>
      <c r="W951">
        <f>IF($V951=1,SUMPRODUCT(--($Y$2:$Y$1501&lt;$Y951))+1,"")</f>
        <v/>
      </c>
      <c r="X951">
        <f>IF($A951="","",IF(OR($T951=TRUE(),$T951="TRUE"),1,0))</f>
        <v/>
      </c>
      <c r="Y951">
        <f>IF($V951=1,IFERROR(IF(VALUE($A951)&lt;100000000,VALUE($A951),1000000000),IFERROR(IF(VALUE(MID($A951,2,20))&lt;100000000,VALUE(MID($A951,2,20)),1000000000),1000000000))+ROW()/100000,"")</f>
        <v/>
      </c>
    </row>
    <row r="952">
      <c r="F952" s="7">
        <f>IF($A952="","",E952*L952/100)</f>
        <v/>
      </c>
      <c r="J952" s="7" t="n"/>
      <c r="K952" s="7">
        <f>IF($A952="","",N952*U952/100)</f>
        <v/>
      </c>
      <c r="L952" s="7">
        <f>IF($A952="","",N952-K952)</f>
        <v/>
      </c>
      <c r="M952" s="7">
        <f>IF($A952="","",L952-F952)</f>
        <v/>
      </c>
      <c r="N952" s="7" t="n"/>
      <c r="O952" s="7" t="n"/>
      <c r="P952" s="7" t="n"/>
      <c r="R952" s="14" t="n"/>
      <c r="V952">
        <f>IF($A952="","",IF(COUNTIF($A$2:$A952,$A952)=1,1,0))</f>
        <v/>
      </c>
      <c r="W952">
        <f>IF($V952=1,SUMPRODUCT(--($Y$2:$Y$1501&lt;$Y952))+1,"")</f>
        <v/>
      </c>
      <c r="X952">
        <f>IF($A952="","",IF(OR($T952=TRUE(),$T952="TRUE"),1,0))</f>
        <v/>
      </c>
      <c r="Y952">
        <f>IF($V952=1,IFERROR(IF(VALUE($A952)&lt;100000000,VALUE($A952),1000000000),IFERROR(IF(VALUE(MID($A952,2,20))&lt;100000000,VALUE(MID($A952,2,20)),1000000000),1000000000))+ROW()/100000,"")</f>
        <v/>
      </c>
    </row>
    <row r="953">
      <c r="F953" s="7">
        <f>IF($A953="","",E953*L953/100)</f>
        <v/>
      </c>
      <c r="J953" s="7" t="n"/>
      <c r="K953" s="7">
        <f>IF($A953="","",N953*U953/100)</f>
        <v/>
      </c>
      <c r="L953" s="7">
        <f>IF($A953="","",N953-K953)</f>
        <v/>
      </c>
      <c r="M953" s="7">
        <f>IF($A953="","",L953-F953)</f>
        <v/>
      </c>
      <c r="N953" s="7" t="n"/>
      <c r="O953" s="7" t="n"/>
      <c r="P953" s="7" t="n"/>
      <c r="R953" s="14" t="n"/>
      <c r="V953">
        <f>IF($A953="","",IF(COUNTIF($A$2:$A953,$A953)=1,1,0))</f>
        <v/>
      </c>
      <c r="W953">
        <f>IF($V953=1,SUMPRODUCT(--($Y$2:$Y$1501&lt;$Y953))+1,"")</f>
        <v/>
      </c>
      <c r="X953">
        <f>IF($A953="","",IF(OR($T953=TRUE(),$T953="TRUE"),1,0))</f>
        <v/>
      </c>
      <c r="Y953">
        <f>IF($V953=1,IFERROR(IF(VALUE($A953)&lt;100000000,VALUE($A953),1000000000),IFERROR(IF(VALUE(MID($A953,2,20))&lt;100000000,VALUE(MID($A953,2,20)),1000000000),1000000000))+ROW()/100000,"")</f>
        <v/>
      </c>
    </row>
    <row r="954">
      <c r="F954" s="7">
        <f>IF($A954="","",E954*L954/100)</f>
        <v/>
      </c>
      <c r="J954" s="7" t="n"/>
      <c r="K954" s="7">
        <f>IF($A954="","",N954*U954/100)</f>
        <v/>
      </c>
      <c r="L954" s="7">
        <f>IF($A954="","",N954-K954)</f>
        <v/>
      </c>
      <c r="M954" s="7">
        <f>IF($A954="","",L954-F954)</f>
        <v/>
      </c>
      <c r="N954" s="7" t="n"/>
      <c r="O954" s="7" t="n"/>
      <c r="P954" s="7" t="n"/>
      <c r="R954" s="14" t="n"/>
      <c r="V954">
        <f>IF($A954="","",IF(COUNTIF($A$2:$A954,$A954)=1,1,0))</f>
        <v/>
      </c>
      <c r="W954">
        <f>IF($V954=1,SUMPRODUCT(--($Y$2:$Y$1501&lt;$Y954))+1,"")</f>
        <v/>
      </c>
      <c r="X954">
        <f>IF($A954="","",IF(OR($T954=TRUE(),$T954="TRUE"),1,0))</f>
        <v/>
      </c>
      <c r="Y954">
        <f>IF($V954=1,IFERROR(IF(VALUE($A954)&lt;100000000,VALUE($A954),1000000000),IFERROR(IF(VALUE(MID($A954,2,20))&lt;100000000,VALUE(MID($A954,2,20)),1000000000),1000000000))+ROW()/100000,"")</f>
        <v/>
      </c>
    </row>
    <row r="955">
      <c r="F955" s="7">
        <f>IF($A955="","",E955*L955/100)</f>
        <v/>
      </c>
      <c r="J955" s="7" t="n"/>
      <c r="K955" s="7">
        <f>IF($A955="","",N955*U955/100)</f>
        <v/>
      </c>
      <c r="L955" s="7">
        <f>IF($A955="","",N955-K955)</f>
        <v/>
      </c>
      <c r="M955" s="7">
        <f>IF($A955="","",L955-F955)</f>
        <v/>
      </c>
      <c r="N955" s="7" t="n"/>
      <c r="O955" s="7" t="n"/>
      <c r="P955" s="7" t="n"/>
      <c r="R955" s="14" t="n"/>
      <c r="V955">
        <f>IF($A955="","",IF(COUNTIF($A$2:$A955,$A955)=1,1,0))</f>
        <v/>
      </c>
      <c r="W955">
        <f>IF($V955=1,SUMPRODUCT(--($Y$2:$Y$1501&lt;$Y955))+1,"")</f>
        <v/>
      </c>
      <c r="X955">
        <f>IF($A955="","",IF(OR($T955=TRUE(),$T955="TRUE"),1,0))</f>
        <v/>
      </c>
      <c r="Y955">
        <f>IF($V955=1,IFERROR(IF(VALUE($A955)&lt;100000000,VALUE($A955),1000000000),IFERROR(IF(VALUE(MID($A955,2,20))&lt;100000000,VALUE(MID($A955,2,20)),1000000000),1000000000))+ROW()/100000,"")</f>
        <v/>
      </c>
    </row>
    <row r="956">
      <c r="F956" s="7">
        <f>IF($A956="","",E956*L956/100)</f>
        <v/>
      </c>
      <c r="J956" s="7" t="n"/>
      <c r="K956" s="7">
        <f>IF($A956="","",N956*U956/100)</f>
        <v/>
      </c>
      <c r="L956" s="7">
        <f>IF($A956="","",N956-K956)</f>
        <v/>
      </c>
      <c r="M956" s="7">
        <f>IF($A956="","",L956-F956)</f>
        <v/>
      </c>
      <c r="N956" s="7" t="n"/>
      <c r="O956" s="7" t="n"/>
      <c r="P956" s="7" t="n"/>
      <c r="R956" s="14" t="n"/>
      <c r="V956">
        <f>IF($A956="","",IF(COUNTIF($A$2:$A956,$A956)=1,1,0))</f>
        <v/>
      </c>
      <c r="W956">
        <f>IF($V956=1,SUMPRODUCT(--($Y$2:$Y$1501&lt;$Y956))+1,"")</f>
        <v/>
      </c>
      <c r="X956">
        <f>IF($A956="","",IF(OR($T956=TRUE(),$T956="TRUE"),1,0))</f>
        <v/>
      </c>
      <c r="Y956">
        <f>IF($V956=1,IFERROR(IF(VALUE($A956)&lt;100000000,VALUE($A956),1000000000),IFERROR(IF(VALUE(MID($A956,2,20))&lt;100000000,VALUE(MID($A956,2,20)),1000000000),1000000000))+ROW()/100000,"")</f>
        <v/>
      </c>
    </row>
    <row r="957">
      <c r="F957" s="7">
        <f>IF($A957="","",E957*L957/100)</f>
        <v/>
      </c>
      <c r="J957" s="7" t="n"/>
      <c r="K957" s="7">
        <f>IF($A957="","",N957*U957/100)</f>
        <v/>
      </c>
      <c r="L957" s="7">
        <f>IF($A957="","",N957-K957)</f>
        <v/>
      </c>
      <c r="M957" s="7">
        <f>IF($A957="","",L957-F957)</f>
        <v/>
      </c>
      <c r="N957" s="7" t="n"/>
      <c r="O957" s="7" t="n"/>
      <c r="P957" s="7" t="n"/>
      <c r="R957" s="14" t="n"/>
      <c r="V957">
        <f>IF($A957="","",IF(COUNTIF($A$2:$A957,$A957)=1,1,0))</f>
        <v/>
      </c>
      <c r="W957">
        <f>IF($V957=1,SUMPRODUCT(--($Y$2:$Y$1501&lt;$Y957))+1,"")</f>
        <v/>
      </c>
      <c r="X957">
        <f>IF($A957="","",IF(OR($T957=TRUE(),$T957="TRUE"),1,0))</f>
        <v/>
      </c>
      <c r="Y957">
        <f>IF($V957=1,IFERROR(IF(VALUE($A957)&lt;100000000,VALUE($A957),1000000000),IFERROR(IF(VALUE(MID($A957,2,20))&lt;100000000,VALUE(MID($A957,2,20)),1000000000),1000000000))+ROW()/100000,"")</f>
        <v/>
      </c>
    </row>
    <row r="958">
      <c r="F958" s="7">
        <f>IF($A958="","",E958*L958/100)</f>
        <v/>
      </c>
      <c r="J958" s="7" t="n"/>
      <c r="K958" s="7">
        <f>IF($A958="","",N958*U958/100)</f>
        <v/>
      </c>
      <c r="L958" s="7">
        <f>IF($A958="","",N958-K958)</f>
        <v/>
      </c>
      <c r="M958" s="7">
        <f>IF($A958="","",L958-F958)</f>
        <v/>
      </c>
      <c r="N958" s="7" t="n"/>
      <c r="O958" s="7" t="n"/>
      <c r="P958" s="7" t="n"/>
      <c r="R958" s="14" t="n"/>
      <c r="V958">
        <f>IF($A958="","",IF(COUNTIF($A$2:$A958,$A958)=1,1,0))</f>
        <v/>
      </c>
      <c r="W958">
        <f>IF($V958=1,SUMPRODUCT(--($Y$2:$Y$1501&lt;$Y958))+1,"")</f>
        <v/>
      </c>
      <c r="X958">
        <f>IF($A958="","",IF(OR($T958=TRUE(),$T958="TRUE"),1,0))</f>
        <v/>
      </c>
      <c r="Y958">
        <f>IF($V958=1,IFERROR(IF(VALUE($A958)&lt;100000000,VALUE($A958),1000000000),IFERROR(IF(VALUE(MID($A958,2,20))&lt;100000000,VALUE(MID($A958,2,20)),1000000000),1000000000))+ROW()/100000,"")</f>
        <v/>
      </c>
    </row>
    <row r="959">
      <c r="F959" s="7">
        <f>IF($A959="","",E959*L959/100)</f>
        <v/>
      </c>
      <c r="J959" s="7" t="n"/>
      <c r="K959" s="7">
        <f>IF($A959="","",N959*U959/100)</f>
        <v/>
      </c>
      <c r="L959" s="7">
        <f>IF($A959="","",N959-K959)</f>
        <v/>
      </c>
      <c r="M959" s="7">
        <f>IF($A959="","",L959-F959)</f>
        <v/>
      </c>
      <c r="N959" s="7" t="n"/>
      <c r="O959" s="7" t="n"/>
      <c r="P959" s="7" t="n"/>
      <c r="R959" s="14" t="n"/>
      <c r="V959">
        <f>IF($A959="","",IF(COUNTIF($A$2:$A959,$A959)=1,1,0))</f>
        <v/>
      </c>
      <c r="W959">
        <f>IF($V959=1,SUMPRODUCT(--($Y$2:$Y$1501&lt;$Y959))+1,"")</f>
        <v/>
      </c>
      <c r="X959">
        <f>IF($A959="","",IF(OR($T959=TRUE(),$T959="TRUE"),1,0))</f>
        <v/>
      </c>
      <c r="Y959">
        <f>IF($V959=1,IFERROR(IF(VALUE($A959)&lt;100000000,VALUE($A959),1000000000),IFERROR(IF(VALUE(MID($A959,2,20))&lt;100000000,VALUE(MID($A959,2,20)),1000000000),1000000000))+ROW()/100000,"")</f>
        <v/>
      </c>
    </row>
    <row r="960">
      <c r="F960" s="7">
        <f>IF($A960="","",E960*L960/100)</f>
        <v/>
      </c>
      <c r="J960" s="7" t="n"/>
      <c r="K960" s="7">
        <f>IF($A960="","",N960*U960/100)</f>
        <v/>
      </c>
      <c r="L960" s="7">
        <f>IF($A960="","",N960-K960)</f>
        <v/>
      </c>
      <c r="M960" s="7">
        <f>IF($A960="","",L960-F960)</f>
        <v/>
      </c>
      <c r="N960" s="7" t="n"/>
      <c r="O960" s="7" t="n"/>
      <c r="P960" s="7" t="n"/>
      <c r="R960" s="14" t="n"/>
      <c r="V960">
        <f>IF($A960="","",IF(COUNTIF($A$2:$A960,$A960)=1,1,0))</f>
        <v/>
      </c>
      <c r="W960">
        <f>IF($V960=1,SUMPRODUCT(--($Y$2:$Y$1501&lt;$Y960))+1,"")</f>
        <v/>
      </c>
      <c r="X960">
        <f>IF($A960="","",IF(OR($T960=TRUE(),$T960="TRUE"),1,0))</f>
        <v/>
      </c>
      <c r="Y960">
        <f>IF($V960=1,IFERROR(IF(VALUE($A960)&lt;100000000,VALUE($A960),1000000000),IFERROR(IF(VALUE(MID($A960,2,20))&lt;100000000,VALUE(MID($A960,2,20)),1000000000),1000000000))+ROW()/100000,"")</f>
        <v/>
      </c>
    </row>
    <row r="961">
      <c r="F961" s="7">
        <f>IF($A961="","",E961*L961/100)</f>
        <v/>
      </c>
      <c r="J961" s="7" t="n"/>
      <c r="K961" s="7">
        <f>IF($A961="","",N961*U961/100)</f>
        <v/>
      </c>
      <c r="L961" s="7">
        <f>IF($A961="","",N961-K961)</f>
        <v/>
      </c>
      <c r="M961" s="7">
        <f>IF($A961="","",L961-F961)</f>
        <v/>
      </c>
      <c r="N961" s="7" t="n"/>
      <c r="O961" s="7" t="n"/>
      <c r="P961" s="7" t="n"/>
      <c r="R961" s="14" t="n"/>
      <c r="V961">
        <f>IF($A961="","",IF(COUNTIF($A$2:$A961,$A961)=1,1,0))</f>
        <v/>
      </c>
      <c r="W961">
        <f>IF($V961=1,SUMPRODUCT(--($Y$2:$Y$1501&lt;$Y961))+1,"")</f>
        <v/>
      </c>
      <c r="X961">
        <f>IF($A961="","",IF(OR($T961=TRUE(),$T961="TRUE"),1,0))</f>
        <v/>
      </c>
      <c r="Y961">
        <f>IF($V961=1,IFERROR(IF(VALUE($A961)&lt;100000000,VALUE($A961),1000000000),IFERROR(IF(VALUE(MID($A961,2,20))&lt;100000000,VALUE(MID($A961,2,20)),1000000000),1000000000))+ROW()/100000,"")</f>
        <v/>
      </c>
    </row>
    <row r="962">
      <c r="F962" s="7">
        <f>IF($A962="","",E962*L962/100)</f>
        <v/>
      </c>
      <c r="J962" s="7" t="n"/>
      <c r="K962" s="7">
        <f>IF($A962="","",N962*U962/100)</f>
        <v/>
      </c>
      <c r="L962" s="7">
        <f>IF($A962="","",N962-K962)</f>
        <v/>
      </c>
      <c r="M962" s="7">
        <f>IF($A962="","",L962-F962)</f>
        <v/>
      </c>
      <c r="N962" s="7" t="n"/>
      <c r="O962" s="7" t="n"/>
      <c r="P962" s="7" t="n"/>
      <c r="R962" s="14" t="n"/>
      <c r="V962">
        <f>IF($A962="","",IF(COUNTIF($A$2:$A962,$A962)=1,1,0))</f>
        <v/>
      </c>
      <c r="W962">
        <f>IF($V962=1,SUMPRODUCT(--($Y$2:$Y$1501&lt;$Y962))+1,"")</f>
        <v/>
      </c>
      <c r="X962">
        <f>IF($A962="","",IF(OR($T962=TRUE(),$T962="TRUE"),1,0))</f>
        <v/>
      </c>
      <c r="Y962">
        <f>IF($V962=1,IFERROR(IF(VALUE($A962)&lt;100000000,VALUE($A962),1000000000),IFERROR(IF(VALUE(MID($A962,2,20))&lt;100000000,VALUE(MID($A962,2,20)),1000000000),1000000000))+ROW()/100000,"")</f>
        <v/>
      </c>
    </row>
    <row r="963">
      <c r="F963" s="7">
        <f>IF($A963="","",E963*L963/100)</f>
        <v/>
      </c>
      <c r="J963" s="7" t="n"/>
      <c r="K963" s="7">
        <f>IF($A963="","",N963*U963/100)</f>
        <v/>
      </c>
      <c r="L963" s="7">
        <f>IF($A963="","",N963-K963)</f>
        <v/>
      </c>
      <c r="M963" s="7">
        <f>IF($A963="","",L963-F963)</f>
        <v/>
      </c>
      <c r="N963" s="7" t="n"/>
      <c r="O963" s="7" t="n"/>
      <c r="P963" s="7" t="n"/>
      <c r="R963" s="14" t="n"/>
      <c r="V963">
        <f>IF($A963="","",IF(COUNTIF($A$2:$A963,$A963)=1,1,0))</f>
        <v/>
      </c>
      <c r="W963">
        <f>IF($V963=1,SUMPRODUCT(--($Y$2:$Y$1501&lt;$Y963))+1,"")</f>
        <v/>
      </c>
      <c r="X963">
        <f>IF($A963="","",IF(OR($T963=TRUE(),$T963="TRUE"),1,0))</f>
        <v/>
      </c>
      <c r="Y963">
        <f>IF($V963=1,IFERROR(IF(VALUE($A963)&lt;100000000,VALUE($A963),1000000000),IFERROR(IF(VALUE(MID($A963,2,20))&lt;100000000,VALUE(MID($A963,2,20)),1000000000),1000000000))+ROW()/100000,"")</f>
        <v/>
      </c>
    </row>
    <row r="964">
      <c r="F964" s="7">
        <f>IF($A964="","",E964*L964/100)</f>
        <v/>
      </c>
      <c r="J964" s="7" t="n"/>
      <c r="K964" s="7">
        <f>IF($A964="","",N964*U964/100)</f>
        <v/>
      </c>
      <c r="L964" s="7">
        <f>IF($A964="","",N964-K964)</f>
        <v/>
      </c>
      <c r="M964" s="7">
        <f>IF($A964="","",L964-F964)</f>
        <v/>
      </c>
      <c r="N964" s="7" t="n"/>
      <c r="O964" s="7" t="n"/>
      <c r="P964" s="7" t="n"/>
      <c r="R964" s="14" t="n"/>
      <c r="V964">
        <f>IF($A964="","",IF(COUNTIF($A$2:$A964,$A964)=1,1,0))</f>
        <v/>
      </c>
      <c r="W964">
        <f>IF($V964=1,SUMPRODUCT(--($Y$2:$Y$1501&lt;$Y964))+1,"")</f>
        <v/>
      </c>
      <c r="X964">
        <f>IF($A964="","",IF(OR($T964=TRUE(),$T964="TRUE"),1,0))</f>
        <v/>
      </c>
      <c r="Y964">
        <f>IF($V964=1,IFERROR(IF(VALUE($A964)&lt;100000000,VALUE($A964),1000000000),IFERROR(IF(VALUE(MID($A964,2,20))&lt;100000000,VALUE(MID($A964,2,20)),1000000000),1000000000))+ROW()/100000,"")</f>
        <v/>
      </c>
    </row>
    <row r="965">
      <c r="F965" s="7">
        <f>IF($A965="","",E965*L965/100)</f>
        <v/>
      </c>
      <c r="J965" s="7" t="n"/>
      <c r="K965" s="7">
        <f>IF($A965="","",N965*U965/100)</f>
        <v/>
      </c>
      <c r="L965" s="7">
        <f>IF($A965="","",N965-K965)</f>
        <v/>
      </c>
      <c r="M965" s="7">
        <f>IF($A965="","",L965-F965)</f>
        <v/>
      </c>
      <c r="N965" s="7" t="n"/>
      <c r="O965" s="7" t="n"/>
      <c r="P965" s="7" t="n"/>
      <c r="R965" s="14" t="n"/>
      <c r="V965">
        <f>IF($A965="","",IF(COUNTIF($A$2:$A965,$A965)=1,1,0))</f>
        <v/>
      </c>
      <c r="W965">
        <f>IF($V965=1,SUMPRODUCT(--($Y$2:$Y$1501&lt;$Y965))+1,"")</f>
        <v/>
      </c>
      <c r="X965">
        <f>IF($A965="","",IF(OR($T965=TRUE(),$T965="TRUE"),1,0))</f>
        <v/>
      </c>
      <c r="Y965">
        <f>IF($V965=1,IFERROR(IF(VALUE($A965)&lt;100000000,VALUE($A965),1000000000),IFERROR(IF(VALUE(MID($A965,2,20))&lt;100000000,VALUE(MID($A965,2,20)),1000000000),1000000000))+ROW()/100000,"")</f>
        <v/>
      </c>
    </row>
    <row r="966">
      <c r="F966" s="7">
        <f>IF($A966="","",E966*L966/100)</f>
        <v/>
      </c>
      <c r="J966" s="7" t="n"/>
      <c r="K966" s="7">
        <f>IF($A966="","",N966*U966/100)</f>
        <v/>
      </c>
      <c r="L966" s="7">
        <f>IF($A966="","",N966-K966)</f>
        <v/>
      </c>
      <c r="M966" s="7">
        <f>IF($A966="","",L966-F966)</f>
        <v/>
      </c>
      <c r="N966" s="7" t="n"/>
      <c r="O966" s="7" t="n"/>
      <c r="P966" s="7" t="n"/>
      <c r="R966" s="14" t="n"/>
      <c r="V966">
        <f>IF($A966="","",IF(COUNTIF($A$2:$A966,$A966)=1,1,0))</f>
        <v/>
      </c>
      <c r="W966">
        <f>IF($V966=1,SUMPRODUCT(--($Y$2:$Y$1501&lt;$Y966))+1,"")</f>
        <v/>
      </c>
      <c r="X966">
        <f>IF($A966="","",IF(OR($T966=TRUE(),$T966="TRUE"),1,0))</f>
        <v/>
      </c>
      <c r="Y966">
        <f>IF($V966=1,IFERROR(IF(VALUE($A966)&lt;100000000,VALUE($A966),1000000000),IFERROR(IF(VALUE(MID($A966,2,20))&lt;100000000,VALUE(MID($A966,2,20)),1000000000),1000000000))+ROW()/100000,"")</f>
        <v/>
      </c>
    </row>
    <row r="967">
      <c r="F967" s="7">
        <f>IF($A967="","",E967*L967/100)</f>
        <v/>
      </c>
      <c r="J967" s="7" t="n"/>
      <c r="K967" s="7">
        <f>IF($A967="","",N967*U967/100)</f>
        <v/>
      </c>
      <c r="L967" s="7">
        <f>IF($A967="","",N967-K967)</f>
        <v/>
      </c>
      <c r="M967" s="7">
        <f>IF($A967="","",L967-F967)</f>
        <v/>
      </c>
      <c r="N967" s="7" t="n"/>
      <c r="O967" s="7" t="n"/>
      <c r="P967" s="7" t="n"/>
      <c r="R967" s="14" t="n"/>
      <c r="V967">
        <f>IF($A967="","",IF(COUNTIF($A$2:$A967,$A967)=1,1,0))</f>
        <v/>
      </c>
      <c r="W967">
        <f>IF($V967=1,SUMPRODUCT(--($Y$2:$Y$1501&lt;$Y967))+1,"")</f>
        <v/>
      </c>
      <c r="X967">
        <f>IF($A967="","",IF(OR($T967=TRUE(),$T967="TRUE"),1,0))</f>
        <v/>
      </c>
      <c r="Y967">
        <f>IF($V967=1,IFERROR(IF(VALUE($A967)&lt;100000000,VALUE($A967),1000000000),IFERROR(IF(VALUE(MID($A967,2,20))&lt;100000000,VALUE(MID($A967,2,20)),1000000000),1000000000))+ROW()/100000,"")</f>
        <v/>
      </c>
    </row>
    <row r="968">
      <c r="F968" s="7">
        <f>IF($A968="","",E968*L968/100)</f>
        <v/>
      </c>
      <c r="J968" s="7" t="n"/>
      <c r="K968" s="7">
        <f>IF($A968="","",N968*U968/100)</f>
        <v/>
      </c>
      <c r="L968" s="7">
        <f>IF($A968="","",N968-K968)</f>
        <v/>
      </c>
      <c r="M968" s="7">
        <f>IF($A968="","",L968-F968)</f>
        <v/>
      </c>
      <c r="N968" s="7" t="n"/>
      <c r="O968" s="7" t="n"/>
      <c r="P968" s="7" t="n"/>
      <c r="R968" s="14" t="n"/>
      <c r="V968">
        <f>IF($A968="","",IF(COUNTIF($A$2:$A968,$A968)=1,1,0))</f>
        <v/>
      </c>
      <c r="W968">
        <f>IF($V968=1,SUMPRODUCT(--($Y$2:$Y$1501&lt;$Y968))+1,"")</f>
        <v/>
      </c>
      <c r="X968">
        <f>IF($A968="","",IF(OR($T968=TRUE(),$T968="TRUE"),1,0))</f>
        <v/>
      </c>
      <c r="Y968">
        <f>IF($V968=1,IFERROR(IF(VALUE($A968)&lt;100000000,VALUE($A968),1000000000),IFERROR(IF(VALUE(MID($A968,2,20))&lt;100000000,VALUE(MID($A968,2,20)),1000000000),1000000000))+ROW()/100000,"")</f>
        <v/>
      </c>
    </row>
    <row r="969">
      <c r="F969" s="7">
        <f>IF($A969="","",E969*L969/100)</f>
        <v/>
      </c>
      <c r="J969" s="7" t="n"/>
      <c r="K969" s="7">
        <f>IF($A969="","",N969*U969/100)</f>
        <v/>
      </c>
      <c r="L969" s="7">
        <f>IF($A969="","",N969-K969)</f>
        <v/>
      </c>
      <c r="M969" s="7">
        <f>IF($A969="","",L969-F969)</f>
        <v/>
      </c>
      <c r="N969" s="7" t="n"/>
      <c r="O969" s="7" t="n"/>
      <c r="P969" s="7" t="n"/>
      <c r="R969" s="14" t="n"/>
      <c r="V969">
        <f>IF($A969="","",IF(COUNTIF($A$2:$A969,$A969)=1,1,0))</f>
        <v/>
      </c>
      <c r="W969">
        <f>IF($V969=1,SUMPRODUCT(--($Y$2:$Y$1501&lt;$Y969))+1,"")</f>
        <v/>
      </c>
      <c r="X969">
        <f>IF($A969="","",IF(OR($T969=TRUE(),$T969="TRUE"),1,0))</f>
        <v/>
      </c>
      <c r="Y969">
        <f>IF($V969=1,IFERROR(IF(VALUE($A969)&lt;100000000,VALUE($A969),1000000000),IFERROR(IF(VALUE(MID($A969,2,20))&lt;100000000,VALUE(MID($A969,2,20)),1000000000),1000000000))+ROW()/100000,"")</f>
        <v/>
      </c>
    </row>
    <row r="970">
      <c r="F970" s="7">
        <f>IF($A970="","",E970*L970/100)</f>
        <v/>
      </c>
      <c r="J970" s="7" t="n"/>
      <c r="K970" s="7">
        <f>IF($A970="","",N970*U970/100)</f>
        <v/>
      </c>
      <c r="L970" s="7">
        <f>IF($A970="","",N970-K970)</f>
        <v/>
      </c>
      <c r="M970" s="7">
        <f>IF($A970="","",L970-F970)</f>
        <v/>
      </c>
      <c r="N970" s="7" t="n"/>
      <c r="O970" s="7" t="n"/>
      <c r="P970" s="7" t="n"/>
      <c r="R970" s="14" t="n"/>
      <c r="V970">
        <f>IF($A970="","",IF(COUNTIF($A$2:$A970,$A970)=1,1,0))</f>
        <v/>
      </c>
      <c r="W970">
        <f>IF($V970=1,SUMPRODUCT(--($Y$2:$Y$1501&lt;$Y970))+1,"")</f>
        <v/>
      </c>
      <c r="X970">
        <f>IF($A970="","",IF(OR($T970=TRUE(),$T970="TRUE"),1,0))</f>
        <v/>
      </c>
      <c r="Y970">
        <f>IF($V970=1,IFERROR(IF(VALUE($A970)&lt;100000000,VALUE($A970),1000000000),IFERROR(IF(VALUE(MID($A970,2,20))&lt;100000000,VALUE(MID($A970,2,20)),1000000000),1000000000))+ROW()/100000,"")</f>
        <v/>
      </c>
    </row>
    <row r="971">
      <c r="F971" s="7">
        <f>IF($A971="","",E971*L971/100)</f>
        <v/>
      </c>
      <c r="J971" s="7" t="n"/>
      <c r="K971" s="7">
        <f>IF($A971="","",N971*U971/100)</f>
        <v/>
      </c>
      <c r="L971" s="7">
        <f>IF($A971="","",N971-K971)</f>
        <v/>
      </c>
      <c r="M971" s="7">
        <f>IF($A971="","",L971-F971)</f>
        <v/>
      </c>
      <c r="N971" s="7" t="n"/>
      <c r="O971" s="7" t="n"/>
      <c r="P971" s="7" t="n"/>
      <c r="R971" s="14" t="n"/>
      <c r="V971">
        <f>IF($A971="","",IF(COUNTIF($A$2:$A971,$A971)=1,1,0))</f>
        <v/>
      </c>
      <c r="W971">
        <f>IF($V971=1,SUMPRODUCT(--($Y$2:$Y$1501&lt;$Y971))+1,"")</f>
        <v/>
      </c>
      <c r="X971">
        <f>IF($A971="","",IF(OR($T971=TRUE(),$T971="TRUE"),1,0))</f>
        <v/>
      </c>
      <c r="Y971">
        <f>IF($V971=1,IFERROR(IF(VALUE($A971)&lt;100000000,VALUE($A971),1000000000),IFERROR(IF(VALUE(MID($A971,2,20))&lt;100000000,VALUE(MID($A971,2,20)),1000000000),1000000000))+ROW()/100000,"")</f>
        <v/>
      </c>
    </row>
    <row r="972">
      <c r="F972" s="7">
        <f>IF($A972="","",E972*L972/100)</f>
        <v/>
      </c>
      <c r="J972" s="7" t="n"/>
      <c r="K972" s="7">
        <f>IF($A972="","",N972*U972/100)</f>
        <v/>
      </c>
      <c r="L972" s="7">
        <f>IF($A972="","",N972-K972)</f>
        <v/>
      </c>
      <c r="M972" s="7">
        <f>IF($A972="","",L972-F972)</f>
        <v/>
      </c>
      <c r="N972" s="7" t="n"/>
      <c r="O972" s="7" t="n"/>
      <c r="P972" s="7" t="n"/>
      <c r="R972" s="14" t="n"/>
      <c r="V972">
        <f>IF($A972="","",IF(COUNTIF($A$2:$A972,$A972)=1,1,0))</f>
        <v/>
      </c>
      <c r="W972">
        <f>IF($V972=1,SUMPRODUCT(--($Y$2:$Y$1501&lt;$Y972))+1,"")</f>
        <v/>
      </c>
      <c r="X972">
        <f>IF($A972="","",IF(OR($T972=TRUE(),$T972="TRUE"),1,0))</f>
        <v/>
      </c>
      <c r="Y972">
        <f>IF($V972=1,IFERROR(IF(VALUE($A972)&lt;100000000,VALUE($A972),1000000000),IFERROR(IF(VALUE(MID($A972,2,20))&lt;100000000,VALUE(MID($A972,2,20)),1000000000),1000000000))+ROW()/100000,"")</f>
        <v/>
      </c>
    </row>
    <row r="973">
      <c r="F973" s="7">
        <f>IF($A973="","",E973*L973/100)</f>
        <v/>
      </c>
      <c r="J973" s="7" t="n"/>
      <c r="K973" s="7">
        <f>IF($A973="","",N973*U973/100)</f>
        <v/>
      </c>
      <c r="L973" s="7">
        <f>IF($A973="","",N973-K973)</f>
        <v/>
      </c>
      <c r="M973" s="7">
        <f>IF($A973="","",L973-F973)</f>
        <v/>
      </c>
      <c r="N973" s="7" t="n"/>
      <c r="O973" s="7" t="n"/>
      <c r="P973" s="7" t="n"/>
      <c r="R973" s="14" t="n"/>
      <c r="V973">
        <f>IF($A973="","",IF(COUNTIF($A$2:$A973,$A973)=1,1,0))</f>
        <v/>
      </c>
      <c r="W973">
        <f>IF($V973=1,SUMPRODUCT(--($Y$2:$Y$1501&lt;$Y973))+1,"")</f>
        <v/>
      </c>
      <c r="X973">
        <f>IF($A973="","",IF(OR($T973=TRUE(),$T973="TRUE"),1,0))</f>
        <v/>
      </c>
      <c r="Y973">
        <f>IF($V973=1,IFERROR(IF(VALUE($A973)&lt;100000000,VALUE($A973),1000000000),IFERROR(IF(VALUE(MID($A973,2,20))&lt;100000000,VALUE(MID($A973,2,20)),1000000000),1000000000))+ROW()/100000,"")</f>
        <v/>
      </c>
    </row>
    <row r="974">
      <c r="F974" s="7">
        <f>IF($A974="","",E974*L974/100)</f>
        <v/>
      </c>
      <c r="J974" s="7" t="n"/>
      <c r="K974" s="7">
        <f>IF($A974="","",N974*U974/100)</f>
        <v/>
      </c>
      <c r="L974" s="7">
        <f>IF($A974="","",N974-K974)</f>
        <v/>
      </c>
      <c r="M974" s="7">
        <f>IF($A974="","",L974-F974)</f>
        <v/>
      </c>
      <c r="N974" s="7" t="n"/>
      <c r="O974" s="7" t="n"/>
      <c r="P974" s="7" t="n"/>
      <c r="R974" s="14" t="n"/>
      <c r="V974">
        <f>IF($A974="","",IF(COUNTIF($A$2:$A974,$A974)=1,1,0))</f>
        <v/>
      </c>
      <c r="W974">
        <f>IF($V974=1,SUMPRODUCT(--($Y$2:$Y$1501&lt;$Y974))+1,"")</f>
        <v/>
      </c>
      <c r="X974">
        <f>IF($A974="","",IF(OR($T974=TRUE(),$T974="TRUE"),1,0))</f>
        <v/>
      </c>
      <c r="Y974">
        <f>IF($V974=1,IFERROR(IF(VALUE($A974)&lt;100000000,VALUE($A974),1000000000),IFERROR(IF(VALUE(MID($A974,2,20))&lt;100000000,VALUE(MID($A974,2,20)),1000000000),1000000000))+ROW()/100000,"")</f>
        <v/>
      </c>
    </row>
    <row r="975">
      <c r="F975" s="7">
        <f>IF($A975="","",E975*L975/100)</f>
        <v/>
      </c>
      <c r="J975" s="7" t="n"/>
      <c r="K975" s="7">
        <f>IF($A975="","",N975*U975/100)</f>
        <v/>
      </c>
      <c r="L975" s="7">
        <f>IF($A975="","",N975-K975)</f>
        <v/>
      </c>
      <c r="M975" s="7">
        <f>IF($A975="","",L975-F975)</f>
        <v/>
      </c>
      <c r="N975" s="7" t="n"/>
      <c r="O975" s="7" t="n"/>
      <c r="P975" s="7" t="n"/>
      <c r="R975" s="14" t="n"/>
      <c r="V975">
        <f>IF($A975="","",IF(COUNTIF($A$2:$A975,$A975)=1,1,0))</f>
        <v/>
      </c>
      <c r="W975">
        <f>IF($V975=1,SUMPRODUCT(--($Y$2:$Y$1501&lt;$Y975))+1,"")</f>
        <v/>
      </c>
      <c r="X975">
        <f>IF($A975="","",IF(OR($T975=TRUE(),$T975="TRUE"),1,0))</f>
        <v/>
      </c>
      <c r="Y975">
        <f>IF($V975=1,IFERROR(IF(VALUE($A975)&lt;100000000,VALUE($A975),1000000000),IFERROR(IF(VALUE(MID($A975,2,20))&lt;100000000,VALUE(MID($A975,2,20)),1000000000),1000000000))+ROW()/100000,"")</f>
        <v/>
      </c>
    </row>
    <row r="976">
      <c r="F976" s="7">
        <f>IF($A976="","",E976*L976/100)</f>
        <v/>
      </c>
      <c r="J976" s="7" t="n"/>
      <c r="K976" s="7">
        <f>IF($A976="","",N976*U976/100)</f>
        <v/>
      </c>
      <c r="L976" s="7">
        <f>IF($A976="","",N976-K976)</f>
        <v/>
      </c>
      <c r="M976" s="7">
        <f>IF($A976="","",L976-F976)</f>
        <v/>
      </c>
      <c r="N976" s="7" t="n"/>
      <c r="O976" s="7" t="n"/>
      <c r="P976" s="7" t="n"/>
      <c r="R976" s="14" t="n"/>
      <c r="V976">
        <f>IF($A976="","",IF(COUNTIF($A$2:$A976,$A976)=1,1,0))</f>
        <v/>
      </c>
      <c r="W976">
        <f>IF($V976=1,SUMPRODUCT(--($Y$2:$Y$1501&lt;$Y976))+1,"")</f>
        <v/>
      </c>
      <c r="X976">
        <f>IF($A976="","",IF(OR($T976=TRUE(),$T976="TRUE"),1,0))</f>
        <v/>
      </c>
      <c r="Y976">
        <f>IF($V976=1,IFERROR(IF(VALUE($A976)&lt;100000000,VALUE($A976),1000000000),IFERROR(IF(VALUE(MID($A976,2,20))&lt;100000000,VALUE(MID($A976,2,20)),1000000000),1000000000))+ROW()/100000,"")</f>
        <v/>
      </c>
    </row>
    <row r="977">
      <c r="F977" s="7">
        <f>IF($A977="","",E977*L977/100)</f>
        <v/>
      </c>
      <c r="J977" s="7" t="n"/>
      <c r="K977" s="7">
        <f>IF($A977="","",N977*U977/100)</f>
        <v/>
      </c>
      <c r="L977" s="7">
        <f>IF($A977="","",N977-K977)</f>
        <v/>
      </c>
      <c r="M977" s="7">
        <f>IF($A977="","",L977-F977)</f>
        <v/>
      </c>
      <c r="N977" s="7" t="n"/>
      <c r="O977" s="7" t="n"/>
      <c r="P977" s="7" t="n"/>
      <c r="R977" s="14" t="n"/>
      <c r="V977">
        <f>IF($A977="","",IF(COUNTIF($A$2:$A977,$A977)=1,1,0))</f>
        <v/>
      </c>
      <c r="W977">
        <f>IF($V977=1,SUMPRODUCT(--($Y$2:$Y$1501&lt;$Y977))+1,"")</f>
        <v/>
      </c>
      <c r="X977">
        <f>IF($A977="","",IF(OR($T977=TRUE(),$T977="TRUE"),1,0))</f>
        <v/>
      </c>
      <c r="Y977">
        <f>IF($V977=1,IFERROR(IF(VALUE($A977)&lt;100000000,VALUE($A977),1000000000),IFERROR(IF(VALUE(MID($A977,2,20))&lt;100000000,VALUE(MID($A977,2,20)),1000000000),1000000000))+ROW()/100000,"")</f>
        <v/>
      </c>
    </row>
    <row r="978">
      <c r="F978" s="7">
        <f>IF($A978="","",E978*L978/100)</f>
        <v/>
      </c>
      <c r="J978" s="7" t="n"/>
      <c r="K978" s="7">
        <f>IF($A978="","",N978*U978/100)</f>
        <v/>
      </c>
      <c r="L978" s="7">
        <f>IF($A978="","",N978-K978)</f>
        <v/>
      </c>
      <c r="M978" s="7">
        <f>IF($A978="","",L978-F978)</f>
        <v/>
      </c>
      <c r="N978" s="7" t="n"/>
      <c r="O978" s="7" t="n"/>
      <c r="P978" s="7" t="n"/>
      <c r="R978" s="14" t="n"/>
      <c r="V978">
        <f>IF($A978="","",IF(COUNTIF($A$2:$A978,$A978)=1,1,0))</f>
        <v/>
      </c>
      <c r="W978">
        <f>IF($V978=1,SUMPRODUCT(--($Y$2:$Y$1501&lt;$Y978))+1,"")</f>
        <v/>
      </c>
      <c r="X978">
        <f>IF($A978="","",IF(OR($T978=TRUE(),$T978="TRUE"),1,0))</f>
        <v/>
      </c>
      <c r="Y978">
        <f>IF($V978=1,IFERROR(IF(VALUE($A978)&lt;100000000,VALUE($A978),1000000000),IFERROR(IF(VALUE(MID($A978,2,20))&lt;100000000,VALUE(MID($A978,2,20)),1000000000),1000000000))+ROW()/100000,"")</f>
        <v/>
      </c>
    </row>
    <row r="979">
      <c r="F979" s="7">
        <f>IF($A979="","",E979*L979/100)</f>
        <v/>
      </c>
      <c r="J979" s="7" t="n"/>
      <c r="K979" s="7">
        <f>IF($A979="","",N979*U979/100)</f>
        <v/>
      </c>
      <c r="L979" s="7">
        <f>IF($A979="","",N979-K979)</f>
        <v/>
      </c>
      <c r="M979" s="7">
        <f>IF($A979="","",L979-F979)</f>
        <v/>
      </c>
      <c r="N979" s="7" t="n"/>
      <c r="O979" s="7" t="n"/>
      <c r="P979" s="7" t="n"/>
      <c r="R979" s="14" t="n"/>
      <c r="V979">
        <f>IF($A979="","",IF(COUNTIF($A$2:$A979,$A979)=1,1,0))</f>
        <v/>
      </c>
      <c r="W979">
        <f>IF($V979=1,SUMPRODUCT(--($Y$2:$Y$1501&lt;$Y979))+1,"")</f>
        <v/>
      </c>
      <c r="X979">
        <f>IF($A979="","",IF(OR($T979=TRUE(),$T979="TRUE"),1,0))</f>
        <v/>
      </c>
      <c r="Y979">
        <f>IF($V979=1,IFERROR(IF(VALUE($A979)&lt;100000000,VALUE($A979),1000000000),IFERROR(IF(VALUE(MID($A979,2,20))&lt;100000000,VALUE(MID($A979,2,20)),1000000000),1000000000))+ROW()/100000,"")</f>
        <v/>
      </c>
    </row>
    <row r="980">
      <c r="F980" s="7">
        <f>IF($A980="","",E980*L980/100)</f>
        <v/>
      </c>
      <c r="J980" s="7" t="n"/>
      <c r="K980" s="7">
        <f>IF($A980="","",N980*U980/100)</f>
        <v/>
      </c>
      <c r="L980" s="7">
        <f>IF($A980="","",N980-K980)</f>
        <v/>
      </c>
      <c r="M980" s="7">
        <f>IF($A980="","",L980-F980)</f>
        <v/>
      </c>
      <c r="N980" s="7" t="n"/>
      <c r="O980" s="7" t="n"/>
      <c r="P980" s="7" t="n"/>
      <c r="R980" s="14" t="n"/>
      <c r="V980">
        <f>IF($A980="","",IF(COUNTIF($A$2:$A980,$A980)=1,1,0))</f>
        <v/>
      </c>
      <c r="W980">
        <f>IF($V980=1,SUMPRODUCT(--($Y$2:$Y$1501&lt;$Y980))+1,"")</f>
        <v/>
      </c>
      <c r="X980">
        <f>IF($A980="","",IF(OR($T980=TRUE(),$T980="TRUE"),1,0))</f>
        <v/>
      </c>
      <c r="Y980">
        <f>IF($V980=1,IFERROR(IF(VALUE($A980)&lt;100000000,VALUE($A980),1000000000),IFERROR(IF(VALUE(MID($A980,2,20))&lt;100000000,VALUE(MID($A980,2,20)),1000000000),1000000000))+ROW()/100000,"")</f>
        <v/>
      </c>
    </row>
    <row r="981">
      <c r="F981" s="7">
        <f>IF($A981="","",E981*L981/100)</f>
        <v/>
      </c>
      <c r="J981" s="7" t="n"/>
      <c r="K981" s="7">
        <f>IF($A981="","",N981*U981/100)</f>
        <v/>
      </c>
      <c r="L981" s="7">
        <f>IF($A981="","",N981-K981)</f>
        <v/>
      </c>
      <c r="M981" s="7">
        <f>IF($A981="","",L981-F981)</f>
        <v/>
      </c>
      <c r="N981" s="7" t="n"/>
      <c r="O981" s="7" t="n"/>
      <c r="P981" s="7" t="n"/>
      <c r="R981" s="14" t="n"/>
      <c r="V981">
        <f>IF($A981="","",IF(COUNTIF($A$2:$A981,$A981)=1,1,0))</f>
        <v/>
      </c>
      <c r="W981">
        <f>IF($V981=1,SUMPRODUCT(--($Y$2:$Y$1501&lt;$Y981))+1,"")</f>
        <v/>
      </c>
      <c r="X981">
        <f>IF($A981="","",IF(OR($T981=TRUE(),$T981="TRUE"),1,0))</f>
        <v/>
      </c>
      <c r="Y981">
        <f>IF($V981=1,IFERROR(IF(VALUE($A981)&lt;100000000,VALUE($A981),1000000000),IFERROR(IF(VALUE(MID($A981,2,20))&lt;100000000,VALUE(MID($A981,2,20)),1000000000),1000000000))+ROW()/100000,"")</f>
        <v/>
      </c>
    </row>
    <row r="982">
      <c r="F982" s="7">
        <f>IF($A982="","",E982*L982/100)</f>
        <v/>
      </c>
      <c r="J982" s="7" t="n"/>
      <c r="K982" s="7">
        <f>IF($A982="","",N982*U982/100)</f>
        <v/>
      </c>
      <c r="L982" s="7">
        <f>IF($A982="","",N982-K982)</f>
        <v/>
      </c>
      <c r="M982" s="7">
        <f>IF($A982="","",L982-F982)</f>
        <v/>
      </c>
      <c r="N982" s="7" t="n"/>
      <c r="O982" s="7" t="n"/>
      <c r="P982" s="7" t="n"/>
      <c r="R982" s="14" t="n"/>
      <c r="V982">
        <f>IF($A982="","",IF(COUNTIF($A$2:$A982,$A982)=1,1,0))</f>
        <v/>
      </c>
      <c r="W982">
        <f>IF($V982=1,SUMPRODUCT(--($Y$2:$Y$1501&lt;$Y982))+1,"")</f>
        <v/>
      </c>
      <c r="X982">
        <f>IF($A982="","",IF(OR($T982=TRUE(),$T982="TRUE"),1,0))</f>
        <v/>
      </c>
      <c r="Y982">
        <f>IF($V982=1,IFERROR(IF(VALUE($A982)&lt;100000000,VALUE($A982),1000000000),IFERROR(IF(VALUE(MID($A982,2,20))&lt;100000000,VALUE(MID($A982,2,20)),1000000000),1000000000))+ROW()/100000,"")</f>
        <v/>
      </c>
    </row>
    <row r="983">
      <c r="F983" s="7">
        <f>IF($A983="","",E983*L983/100)</f>
        <v/>
      </c>
      <c r="J983" s="7" t="n"/>
      <c r="K983" s="7">
        <f>IF($A983="","",N983*U983/100)</f>
        <v/>
      </c>
      <c r="L983" s="7">
        <f>IF($A983="","",N983-K983)</f>
        <v/>
      </c>
      <c r="M983" s="7">
        <f>IF($A983="","",L983-F983)</f>
        <v/>
      </c>
      <c r="N983" s="7" t="n"/>
      <c r="O983" s="7" t="n"/>
      <c r="P983" s="7" t="n"/>
      <c r="R983" s="14" t="n"/>
      <c r="V983">
        <f>IF($A983="","",IF(COUNTIF($A$2:$A983,$A983)=1,1,0))</f>
        <v/>
      </c>
      <c r="W983">
        <f>IF($V983=1,SUMPRODUCT(--($Y$2:$Y$1501&lt;$Y983))+1,"")</f>
        <v/>
      </c>
      <c r="X983">
        <f>IF($A983="","",IF(OR($T983=TRUE(),$T983="TRUE"),1,0))</f>
        <v/>
      </c>
      <c r="Y983">
        <f>IF($V983=1,IFERROR(IF(VALUE($A983)&lt;100000000,VALUE($A983),1000000000),IFERROR(IF(VALUE(MID($A983,2,20))&lt;100000000,VALUE(MID($A983,2,20)),1000000000),1000000000))+ROW()/100000,"")</f>
        <v/>
      </c>
    </row>
    <row r="984">
      <c r="F984" s="7">
        <f>IF($A984="","",E984*L984/100)</f>
        <v/>
      </c>
      <c r="J984" s="7" t="n"/>
      <c r="K984" s="7">
        <f>IF($A984="","",N984*U984/100)</f>
        <v/>
      </c>
      <c r="L984" s="7">
        <f>IF($A984="","",N984-K984)</f>
        <v/>
      </c>
      <c r="M984" s="7">
        <f>IF($A984="","",L984-F984)</f>
        <v/>
      </c>
      <c r="N984" s="7" t="n"/>
      <c r="O984" s="7" t="n"/>
      <c r="P984" s="7" t="n"/>
      <c r="R984" s="14" t="n"/>
      <c r="V984">
        <f>IF($A984="","",IF(COUNTIF($A$2:$A984,$A984)=1,1,0))</f>
        <v/>
      </c>
      <c r="W984">
        <f>IF($V984=1,SUMPRODUCT(--($Y$2:$Y$1501&lt;$Y984))+1,"")</f>
        <v/>
      </c>
      <c r="X984">
        <f>IF($A984="","",IF(OR($T984=TRUE(),$T984="TRUE"),1,0))</f>
        <v/>
      </c>
      <c r="Y984">
        <f>IF($V984=1,IFERROR(IF(VALUE($A984)&lt;100000000,VALUE($A984),1000000000),IFERROR(IF(VALUE(MID($A984,2,20))&lt;100000000,VALUE(MID($A984,2,20)),1000000000),1000000000))+ROW()/100000,"")</f>
        <v/>
      </c>
    </row>
    <row r="985">
      <c r="F985" s="7">
        <f>IF($A985="","",E985*L985/100)</f>
        <v/>
      </c>
      <c r="J985" s="7" t="n"/>
      <c r="K985" s="7">
        <f>IF($A985="","",N985*U985/100)</f>
        <v/>
      </c>
      <c r="L985" s="7">
        <f>IF($A985="","",N985-K985)</f>
        <v/>
      </c>
      <c r="M985" s="7">
        <f>IF($A985="","",L985-F985)</f>
        <v/>
      </c>
      <c r="N985" s="7" t="n"/>
      <c r="O985" s="7" t="n"/>
      <c r="P985" s="7" t="n"/>
      <c r="R985" s="14" t="n"/>
      <c r="V985">
        <f>IF($A985="","",IF(COUNTIF($A$2:$A985,$A985)=1,1,0))</f>
        <v/>
      </c>
      <c r="W985">
        <f>IF($V985=1,SUMPRODUCT(--($Y$2:$Y$1501&lt;$Y985))+1,"")</f>
        <v/>
      </c>
      <c r="X985">
        <f>IF($A985="","",IF(OR($T985=TRUE(),$T985="TRUE"),1,0))</f>
        <v/>
      </c>
      <c r="Y985">
        <f>IF($V985=1,IFERROR(IF(VALUE($A985)&lt;100000000,VALUE($A985),1000000000),IFERROR(IF(VALUE(MID($A985,2,20))&lt;100000000,VALUE(MID($A985,2,20)),1000000000),1000000000))+ROW()/100000,"")</f>
        <v/>
      </c>
    </row>
    <row r="986">
      <c r="F986" s="7">
        <f>IF($A986="","",E986*L986/100)</f>
        <v/>
      </c>
      <c r="J986" s="7" t="n"/>
      <c r="K986" s="7">
        <f>IF($A986="","",N986*U986/100)</f>
        <v/>
      </c>
      <c r="L986" s="7">
        <f>IF($A986="","",N986-K986)</f>
        <v/>
      </c>
      <c r="M986" s="7">
        <f>IF($A986="","",L986-F986)</f>
        <v/>
      </c>
      <c r="N986" s="7" t="n"/>
      <c r="O986" s="7" t="n"/>
      <c r="P986" s="7" t="n"/>
      <c r="R986" s="14" t="n"/>
      <c r="V986">
        <f>IF($A986="","",IF(COUNTIF($A$2:$A986,$A986)=1,1,0))</f>
        <v/>
      </c>
      <c r="W986">
        <f>IF($V986=1,SUMPRODUCT(--($Y$2:$Y$1501&lt;$Y986))+1,"")</f>
        <v/>
      </c>
      <c r="X986">
        <f>IF($A986="","",IF(OR($T986=TRUE(),$T986="TRUE"),1,0))</f>
        <v/>
      </c>
      <c r="Y986">
        <f>IF($V986=1,IFERROR(IF(VALUE($A986)&lt;100000000,VALUE($A986),1000000000),IFERROR(IF(VALUE(MID($A986,2,20))&lt;100000000,VALUE(MID($A986,2,20)),1000000000),1000000000))+ROW()/100000,"")</f>
        <v/>
      </c>
    </row>
    <row r="987">
      <c r="F987" s="7">
        <f>IF($A987="","",E987*L987/100)</f>
        <v/>
      </c>
      <c r="J987" s="7" t="n"/>
      <c r="K987" s="7">
        <f>IF($A987="","",N987*U987/100)</f>
        <v/>
      </c>
      <c r="L987" s="7">
        <f>IF($A987="","",N987-K987)</f>
        <v/>
      </c>
      <c r="M987" s="7">
        <f>IF($A987="","",L987-F987)</f>
        <v/>
      </c>
      <c r="N987" s="7" t="n"/>
      <c r="O987" s="7" t="n"/>
      <c r="P987" s="7" t="n"/>
      <c r="R987" s="14" t="n"/>
      <c r="V987">
        <f>IF($A987="","",IF(COUNTIF($A$2:$A987,$A987)=1,1,0))</f>
        <v/>
      </c>
      <c r="W987">
        <f>IF($V987=1,SUMPRODUCT(--($Y$2:$Y$1501&lt;$Y987))+1,"")</f>
        <v/>
      </c>
      <c r="X987">
        <f>IF($A987="","",IF(OR($T987=TRUE(),$T987="TRUE"),1,0))</f>
        <v/>
      </c>
      <c r="Y987">
        <f>IF($V987=1,IFERROR(IF(VALUE($A987)&lt;100000000,VALUE($A987),1000000000),IFERROR(IF(VALUE(MID($A987,2,20))&lt;100000000,VALUE(MID($A987,2,20)),1000000000),1000000000))+ROW()/100000,"")</f>
        <v/>
      </c>
    </row>
    <row r="988">
      <c r="F988" s="7">
        <f>IF($A988="","",E988*L988/100)</f>
        <v/>
      </c>
      <c r="J988" s="7" t="n"/>
      <c r="K988" s="7">
        <f>IF($A988="","",N988*U988/100)</f>
        <v/>
      </c>
      <c r="L988" s="7">
        <f>IF($A988="","",N988-K988)</f>
        <v/>
      </c>
      <c r="M988" s="7">
        <f>IF($A988="","",L988-F988)</f>
        <v/>
      </c>
      <c r="N988" s="7" t="n"/>
      <c r="O988" s="7" t="n"/>
      <c r="P988" s="7" t="n"/>
      <c r="R988" s="14" t="n"/>
      <c r="V988">
        <f>IF($A988="","",IF(COUNTIF($A$2:$A988,$A988)=1,1,0))</f>
        <v/>
      </c>
      <c r="W988">
        <f>IF($V988=1,SUMPRODUCT(--($Y$2:$Y$1501&lt;$Y988))+1,"")</f>
        <v/>
      </c>
      <c r="X988">
        <f>IF($A988="","",IF(OR($T988=TRUE(),$T988="TRUE"),1,0))</f>
        <v/>
      </c>
      <c r="Y988">
        <f>IF($V988=1,IFERROR(IF(VALUE($A988)&lt;100000000,VALUE($A988),1000000000),IFERROR(IF(VALUE(MID($A988,2,20))&lt;100000000,VALUE(MID($A988,2,20)),1000000000),1000000000))+ROW()/100000,"")</f>
        <v/>
      </c>
    </row>
    <row r="989">
      <c r="F989" s="7">
        <f>IF($A989="","",E989*L989/100)</f>
        <v/>
      </c>
      <c r="J989" s="7" t="n"/>
      <c r="K989" s="7">
        <f>IF($A989="","",N989*U989/100)</f>
        <v/>
      </c>
      <c r="L989" s="7">
        <f>IF($A989="","",N989-K989)</f>
        <v/>
      </c>
      <c r="M989" s="7">
        <f>IF($A989="","",L989-F989)</f>
        <v/>
      </c>
      <c r="N989" s="7" t="n"/>
      <c r="O989" s="7" t="n"/>
      <c r="P989" s="7" t="n"/>
      <c r="R989" s="14" t="n"/>
      <c r="V989">
        <f>IF($A989="","",IF(COUNTIF($A$2:$A989,$A989)=1,1,0))</f>
        <v/>
      </c>
      <c r="W989">
        <f>IF($V989=1,SUMPRODUCT(--($Y$2:$Y$1501&lt;$Y989))+1,"")</f>
        <v/>
      </c>
      <c r="X989">
        <f>IF($A989="","",IF(OR($T989=TRUE(),$T989="TRUE"),1,0))</f>
        <v/>
      </c>
      <c r="Y989">
        <f>IF($V989=1,IFERROR(IF(VALUE($A989)&lt;100000000,VALUE($A989),1000000000),IFERROR(IF(VALUE(MID($A989,2,20))&lt;100000000,VALUE(MID($A989,2,20)),1000000000),1000000000))+ROW()/100000,"")</f>
        <v/>
      </c>
    </row>
    <row r="990">
      <c r="F990" s="7">
        <f>IF($A990="","",E990*L990/100)</f>
        <v/>
      </c>
      <c r="J990" s="7" t="n"/>
      <c r="K990" s="7">
        <f>IF($A990="","",N990*U990/100)</f>
        <v/>
      </c>
      <c r="L990" s="7">
        <f>IF($A990="","",N990-K990)</f>
        <v/>
      </c>
      <c r="M990" s="7">
        <f>IF($A990="","",L990-F990)</f>
        <v/>
      </c>
      <c r="N990" s="7" t="n"/>
      <c r="O990" s="7" t="n"/>
      <c r="P990" s="7" t="n"/>
      <c r="R990" s="14" t="n"/>
      <c r="V990">
        <f>IF($A990="","",IF(COUNTIF($A$2:$A990,$A990)=1,1,0))</f>
        <v/>
      </c>
      <c r="W990">
        <f>IF($V990=1,SUMPRODUCT(--($Y$2:$Y$1501&lt;$Y990))+1,"")</f>
        <v/>
      </c>
      <c r="X990">
        <f>IF($A990="","",IF(OR($T990=TRUE(),$T990="TRUE"),1,0))</f>
        <v/>
      </c>
      <c r="Y990">
        <f>IF($V990=1,IFERROR(IF(VALUE($A990)&lt;100000000,VALUE($A990),1000000000),IFERROR(IF(VALUE(MID($A990,2,20))&lt;100000000,VALUE(MID($A990,2,20)),1000000000),1000000000))+ROW()/100000,"")</f>
        <v/>
      </c>
    </row>
    <row r="991">
      <c r="F991" s="7">
        <f>IF($A991="","",E991*L991/100)</f>
        <v/>
      </c>
      <c r="J991" s="7" t="n"/>
      <c r="K991" s="7">
        <f>IF($A991="","",N991*U991/100)</f>
        <v/>
      </c>
      <c r="L991" s="7">
        <f>IF($A991="","",N991-K991)</f>
        <v/>
      </c>
      <c r="M991" s="7">
        <f>IF($A991="","",L991-F991)</f>
        <v/>
      </c>
      <c r="N991" s="7" t="n"/>
      <c r="O991" s="7" t="n"/>
      <c r="P991" s="7" t="n"/>
      <c r="R991" s="14" t="n"/>
      <c r="V991">
        <f>IF($A991="","",IF(COUNTIF($A$2:$A991,$A991)=1,1,0))</f>
        <v/>
      </c>
      <c r="W991">
        <f>IF($V991=1,SUMPRODUCT(--($Y$2:$Y$1501&lt;$Y991))+1,"")</f>
        <v/>
      </c>
      <c r="X991">
        <f>IF($A991="","",IF(OR($T991=TRUE(),$T991="TRUE"),1,0))</f>
        <v/>
      </c>
      <c r="Y991">
        <f>IF($V991=1,IFERROR(IF(VALUE($A991)&lt;100000000,VALUE($A991),1000000000),IFERROR(IF(VALUE(MID($A991,2,20))&lt;100000000,VALUE(MID($A991,2,20)),1000000000),1000000000))+ROW()/100000,"")</f>
        <v/>
      </c>
    </row>
    <row r="992">
      <c r="F992" s="7">
        <f>IF($A992="","",E992*L992/100)</f>
        <v/>
      </c>
      <c r="J992" s="7" t="n"/>
      <c r="K992" s="7">
        <f>IF($A992="","",N992*U992/100)</f>
        <v/>
      </c>
      <c r="L992" s="7">
        <f>IF($A992="","",N992-K992)</f>
        <v/>
      </c>
      <c r="M992" s="7">
        <f>IF($A992="","",L992-F992)</f>
        <v/>
      </c>
      <c r="N992" s="7" t="n"/>
      <c r="O992" s="7" t="n"/>
      <c r="P992" s="7" t="n"/>
      <c r="R992" s="14" t="n"/>
      <c r="V992">
        <f>IF($A992="","",IF(COUNTIF($A$2:$A992,$A992)=1,1,0))</f>
        <v/>
      </c>
      <c r="W992">
        <f>IF($V992=1,SUMPRODUCT(--($Y$2:$Y$1501&lt;$Y992))+1,"")</f>
        <v/>
      </c>
      <c r="X992">
        <f>IF($A992="","",IF(OR($T992=TRUE(),$T992="TRUE"),1,0))</f>
        <v/>
      </c>
      <c r="Y992">
        <f>IF($V992=1,IFERROR(IF(VALUE($A992)&lt;100000000,VALUE($A992),1000000000),IFERROR(IF(VALUE(MID($A992,2,20))&lt;100000000,VALUE(MID($A992,2,20)),1000000000),1000000000))+ROW()/100000,"")</f>
        <v/>
      </c>
    </row>
    <row r="993">
      <c r="F993" s="7">
        <f>IF($A993="","",E993*L993/100)</f>
        <v/>
      </c>
      <c r="J993" s="7" t="n"/>
      <c r="K993" s="7">
        <f>IF($A993="","",N993*U993/100)</f>
        <v/>
      </c>
      <c r="L993" s="7">
        <f>IF($A993="","",N993-K993)</f>
        <v/>
      </c>
      <c r="M993" s="7">
        <f>IF($A993="","",L993-F993)</f>
        <v/>
      </c>
      <c r="N993" s="7" t="n"/>
      <c r="O993" s="7" t="n"/>
      <c r="P993" s="7" t="n"/>
      <c r="R993" s="14" t="n"/>
      <c r="V993">
        <f>IF($A993="","",IF(COUNTIF($A$2:$A993,$A993)=1,1,0))</f>
        <v/>
      </c>
      <c r="W993">
        <f>IF($V993=1,SUMPRODUCT(--($Y$2:$Y$1501&lt;$Y993))+1,"")</f>
        <v/>
      </c>
      <c r="X993">
        <f>IF($A993="","",IF(OR($T993=TRUE(),$T993="TRUE"),1,0))</f>
        <v/>
      </c>
      <c r="Y993">
        <f>IF($V993=1,IFERROR(IF(VALUE($A993)&lt;100000000,VALUE($A993),1000000000),IFERROR(IF(VALUE(MID($A993,2,20))&lt;100000000,VALUE(MID($A993,2,20)),1000000000),1000000000))+ROW()/100000,"")</f>
        <v/>
      </c>
    </row>
    <row r="994">
      <c r="F994" s="7">
        <f>IF($A994="","",E994*L994/100)</f>
        <v/>
      </c>
      <c r="J994" s="7" t="n"/>
      <c r="K994" s="7">
        <f>IF($A994="","",N994*U994/100)</f>
        <v/>
      </c>
      <c r="L994" s="7">
        <f>IF($A994="","",N994-K994)</f>
        <v/>
      </c>
      <c r="M994" s="7">
        <f>IF($A994="","",L994-F994)</f>
        <v/>
      </c>
      <c r="N994" s="7" t="n"/>
      <c r="O994" s="7" t="n"/>
      <c r="P994" s="7" t="n"/>
      <c r="R994" s="14" t="n"/>
      <c r="V994">
        <f>IF($A994="","",IF(COUNTIF($A$2:$A994,$A994)=1,1,0))</f>
        <v/>
      </c>
      <c r="W994">
        <f>IF($V994=1,SUMPRODUCT(--($Y$2:$Y$1501&lt;$Y994))+1,"")</f>
        <v/>
      </c>
      <c r="X994">
        <f>IF($A994="","",IF(OR($T994=TRUE(),$T994="TRUE"),1,0))</f>
        <v/>
      </c>
      <c r="Y994">
        <f>IF($V994=1,IFERROR(IF(VALUE($A994)&lt;100000000,VALUE($A994),1000000000),IFERROR(IF(VALUE(MID($A994,2,20))&lt;100000000,VALUE(MID($A994,2,20)),1000000000),1000000000))+ROW()/100000,"")</f>
        <v/>
      </c>
    </row>
    <row r="995">
      <c r="F995" s="7">
        <f>IF($A995="","",E995*L995/100)</f>
        <v/>
      </c>
      <c r="J995" s="7" t="n"/>
      <c r="K995" s="7">
        <f>IF($A995="","",N995*U995/100)</f>
        <v/>
      </c>
      <c r="L995" s="7">
        <f>IF($A995="","",N995-K995)</f>
        <v/>
      </c>
      <c r="M995" s="7">
        <f>IF($A995="","",L995-F995)</f>
        <v/>
      </c>
      <c r="N995" s="7" t="n"/>
      <c r="O995" s="7" t="n"/>
      <c r="P995" s="7" t="n"/>
      <c r="R995" s="14" t="n"/>
      <c r="V995">
        <f>IF($A995="","",IF(COUNTIF($A$2:$A995,$A995)=1,1,0))</f>
        <v/>
      </c>
      <c r="W995">
        <f>IF($V995=1,SUMPRODUCT(--($Y$2:$Y$1501&lt;$Y995))+1,"")</f>
        <v/>
      </c>
      <c r="X995">
        <f>IF($A995="","",IF(OR($T995=TRUE(),$T995="TRUE"),1,0))</f>
        <v/>
      </c>
      <c r="Y995">
        <f>IF($V995=1,IFERROR(IF(VALUE($A995)&lt;100000000,VALUE($A995),1000000000),IFERROR(IF(VALUE(MID($A995,2,20))&lt;100000000,VALUE(MID($A995,2,20)),1000000000),1000000000))+ROW()/100000,"")</f>
        <v/>
      </c>
    </row>
    <row r="996">
      <c r="F996" s="7">
        <f>IF($A996="","",E996*L996/100)</f>
        <v/>
      </c>
      <c r="J996" s="7" t="n"/>
      <c r="K996" s="7">
        <f>IF($A996="","",N996*U996/100)</f>
        <v/>
      </c>
      <c r="L996" s="7">
        <f>IF($A996="","",N996-K996)</f>
        <v/>
      </c>
      <c r="M996" s="7">
        <f>IF($A996="","",L996-F996)</f>
        <v/>
      </c>
      <c r="N996" s="7" t="n"/>
      <c r="O996" s="7" t="n"/>
      <c r="P996" s="7" t="n"/>
      <c r="R996" s="14" t="n"/>
      <c r="V996">
        <f>IF($A996="","",IF(COUNTIF($A$2:$A996,$A996)=1,1,0))</f>
        <v/>
      </c>
      <c r="W996">
        <f>IF($V996=1,SUMPRODUCT(--($Y$2:$Y$1501&lt;$Y996))+1,"")</f>
        <v/>
      </c>
      <c r="X996">
        <f>IF($A996="","",IF(OR($T996=TRUE(),$T996="TRUE"),1,0))</f>
        <v/>
      </c>
      <c r="Y996">
        <f>IF($V996=1,IFERROR(IF(VALUE($A996)&lt;100000000,VALUE($A996),1000000000),IFERROR(IF(VALUE(MID($A996,2,20))&lt;100000000,VALUE(MID($A996,2,20)),1000000000),1000000000))+ROW()/100000,"")</f>
        <v/>
      </c>
    </row>
    <row r="997">
      <c r="F997" s="7">
        <f>IF($A997="","",E997*L997/100)</f>
        <v/>
      </c>
      <c r="J997" s="7" t="n"/>
      <c r="K997" s="7">
        <f>IF($A997="","",N997*U997/100)</f>
        <v/>
      </c>
      <c r="L997" s="7">
        <f>IF($A997="","",N997-K997)</f>
        <v/>
      </c>
      <c r="M997" s="7">
        <f>IF($A997="","",L997-F997)</f>
        <v/>
      </c>
      <c r="N997" s="7" t="n"/>
      <c r="O997" s="7" t="n"/>
      <c r="P997" s="7" t="n"/>
      <c r="R997" s="14" t="n"/>
      <c r="V997">
        <f>IF($A997="","",IF(COUNTIF($A$2:$A997,$A997)=1,1,0))</f>
        <v/>
      </c>
      <c r="W997">
        <f>IF($V997=1,SUMPRODUCT(--($Y$2:$Y$1501&lt;$Y997))+1,"")</f>
        <v/>
      </c>
      <c r="X997">
        <f>IF($A997="","",IF(OR($T997=TRUE(),$T997="TRUE"),1,0))</f>
        <v/>
      </c>
      <c r="Y997">
        <f>IF($V997=1,IFERROR(IF(VALUE($A997)&lt;100000000,VALUE($A997),1000000000),IFERROR(IF(VALUE(MID($A997,2,20))&lt;100000000,VALUE(MID($A997,2,20)),1000000000),1000000000))+ROW()/100000,"")</f>
        <v/>
      </c>
    </row>
    <row r="998">
      <c r="F998" s="7">
        <f>IF($A998="","",E998*L998/100)</f>
        <v/>
      </c>
      <c r="J998" s="7" t="n"/>
      <c r="K998" s="7">
        <f>IF($A998="","",N998*U998/100)</f>
        <v/>
      </c>
      <c r="L998" s="7">
        <f>IF($A998="","",N998-K998)</f>
        <v/>
      </c>
      <c r="M998" s="7">
        <f>IF($A998="","",L998-F998)</f>
        <v/>
      </c>
      <c r="N998" s="7" t="n"/>
      <c r="O998" s="7" t="n"/>
      <c r="P998" s="7" t="n"/>
      <c r="R998" s="14" t="n"/>
      <c r="V998">
        <f>IF($A998="","",IF(COUNTIF($A$2:$A998,$A998)=1,1,0))</f>
        <v/>
      </c>
      <c r="W998">
        <f>IF($V998=1,SUMPRODUCT(--($Y$2:$Y$1501&lt;$Y998))+1,"")</f>
        <v/>
      </c>
      <c r="X998">
        <f>IF($A998="","",IF(OR($T998=TRUE(),$T998="TRUE"),1,0))</f>
        <v/>
      </c>
      <c r="Y998">
        <f>IF($V998=1,IFERROR(IF(VALUE($A998)&lt;100000000,VALUE($A998),1000000000),IFERROR(IF(VALUE(MID($A998,2,20))&lt;100000000,VALUE(MID($A998,2,20)),1000000000),1000000000))+ROW()/100000,"")</f>
        <v/>
      </c>
    </row>
    <row r="999">
      <c r="F999" s="7">
        <f>IF($A999="","",E999*L999/100)</f>
        <v/>
      </c>
      <c r="J999" s="7" t="n"/>
      <c r="K999" s="7">
        <f>IF($A999="","",N999*U999/100)</f>
        <v/>
      </c>
      <c r="L999" s="7">
        <f>IF($A999="","",N999-K999)</f>
        <v/>
      </c>
      <c r="M999" s="7">
        <f>IF($A999="","",L999-F999)</f>
        <v/>
      </c>
      <c r="N999" s="7" t="n"/>
      <c r="O999" s="7" t="n"/>
      <c r="P999" s="7" t="n"/>
      <c r="R999" s="14" t="n"/>
      <c r="V999">
        <f>IF($A999="","",IF(COUNTIF($A$2:$A999,$A999)=1,1,0))</f>
        <v/>
      </c>
      <c r="W999">
        <f>IF($V999=1,SUMPRODUCT(--($Y$2:$Y$1501&lt;$Y999))+1,"")</f>
        <v/>
      </c>
      <c r="X999">
        <f>IF($A999="","",IF(OR($T999=TRUE(),$T999="TRUE"),1,0))</f>
        <v/>
      </c>
      <c r="Y999">
        <f>IF($V999=1,IFERROR(IF(VALUE($A999)&lt;100000000,VALUE($A999),1000000000),IFERROR(IF(VALUE(MID($A999,2,20))&lt;100000000,VALUE(MID($A999,2,20)),1000000000),1000000000))+ROW()/100000,"")</f>
        <v/>
      </c>
    </row>
    <row r="1000">
      <c r="F1000" s="7">
        <f>IF($A1000="","",E1000*L1000/100)</f>
        <v/>
      </c>
      <c r="J1000" s="7" t="n"/>
      <c r="K1000" s="7">
        <f>IF($A1000="","",N1000*U1000/100)</f>
        <v/>
      </c>
      <c r="L1000" s="7">
        <f>IF($A1000="","",N1000-K1000)</f>
        <v/>
      </c>
      <c r="M1000" s="7">
        <f>IF($A1000="","",L1000-F1000)</f>
        <v/>
      </c>
      <c r="N1000" s="7" t="n"/>
      <c r="O1000" s="7" t="n"/>
      <c r="P1000" s="7" t="n"/>
      <c r="R1000" s="14" t="n"/>
      <c r="V1000">
        <f>IF($A1000="","",IF(COUNTIF($A$2:$A1000,$A1000)=1,1,0))</f>
        <v/>
      </c>
      <c r="W1000">
        <f>IF($V1000=1,SUMPRODUCT(--($Y$2:$Y$1501&lt;$Y1000))+1,"")</f>
        <v/>
      </c>
      <c r="X1000">
        <f>IF($A1000="","",IF(OR($T1000=TRUE(),$T1000="TRUE"),1,0))</f>
        <v/>
      </c>
      <c r="Y1000">
        <f>IF($V1000=1,IFERROR(IF(VALUE($A1000)&lt;100000000,VALUE($A1000),1000000000),IFERROR(IF(VALUE(MID($A1000,2,20))&lt;100000000,VALUE(MID($A1000,2,20)),1000000000),1000000000))+ROW()/100000,"")</f>
        <v/>
      </c>
    </row>
    <row r="1001">
      <c r="F1001" s="7">
        <f>IF($A1001="","",E1001*L1001/100)</f>
        <v/>
      </c>
      <c r="J1001" s="7" t="n"/>
      <c r="K1001" s="7">
        <f>IF($A1001="","",N1001*U1001/100)</f>
        <v/>
      </c>
      <c r="L1001" s="7">
        <f>IF($A1001="","",N1001-K1001)</f>
        <v/>
      </c>
      <c r="M1001" s="7">
        <f>IF($A1001="","",L1001-F1001)</f>
        <v/>
      </c>
      <c r="N1001" s="7" t="n"/>
      <c r="O1001" s="7" t="n"/>
      <c r="P1001" s="7" t="n"/>
      <c r="R1001" s="14" t="n"/>
      <c r="V1001">
        <f>IF($A1001="","",IF(COUNTIF($A$2:$A1001,$A1001)=1,1,0))</f>
        <v/>
      </c>
      <c r="W1001">
        <f>IF($V1001=1,SUMPRODUCT(--($Y$2:$Y$1501&lt;$Y1001))+1,"")</f>
        <v/>
      </c>
      <c r="X1001">
        <f>IF($A1001="","",IF(OR($T1001=TRUE(),$T1001="TRUE"),1,0))</f>
        <v/>
      </c>
      <c r="Y1001">
        <f>IF($V1001=1,IFERROR(IF(VALUE($A1001)&lt;100000000,VALUE($A1001),1000000000),IFERROR(IF(VALUE(MID($A1001,2,20))&lt;100000000,VALUE(MID($A1001,2,20)),1000000000),1000000000))+ROW()/100000,"")</f>
        <v/>
      </c>
    </row>
    <row r="1002">
      <c r="F1002" s="7">
        <f>IF($A1002="","",E1002*L1002/100)</f>
        <v/>
      </c>
      <c r="J1002" s="7" t="n"/>
      <c r="K1002" s="7">
        <f>IF($A1002="","",N1002*U1002/100)</f>
        <v/>
      </c>
      <c r="L1002" s="7">
        <f>IF($A1002="","",N1002-K1002)</f>
        <v/>
      </c>
      <c r="M1002" s="7">
        <f>IF($A1002="","",L1002-F1002)</f>
        <v/>
      </c>
      <c r="N1002" s="7" t="n"/>
      <c r="O1002" s="7" t="n"/>
      <c r="P1002" s="7" t="n"/>
      <c r="R1002" s="14" t="n"/>
      <c r="V1002">
        <f>IF($A1002="","",IF(COUNTIF($A$2:$A1002,$A1002)=1,1,0))</f>
        <v/>
      </c>
      <c r="W1002">
        <f>IF($V1002=1,SUMPRODUCT(--($Y$2:$Y$1501&lt;$Y1002))+1,"")</f>
        <v/>
      </c>
      <c r="X1002">
        <f>IF($A1002="","",IF(OR($T1002=TRUE(),$T1002="TRUE"),1,0))</f>
        <v/>
      </c>
      <c r="Y1002">
        <f>IF($V1002=1,IFERROR(IF(VALUE($A1002)&lt;100000000,VALUE($A1002),1000000000),IFERROR(IF(VALUE(MID($A1002,2,20))&lt;100000000,VALUE(MID($A1002,2,20)),1000000000),1000000000))+ROW()/100000,"")</f>
        <v/>
      </c>
    </row>
    <row r="1003">
      <c r="F1003" s="7">
        <f>IF($A1003="","",E1003*L1003/100)</f>
        <v/>
      </c>
      <c r="J1003" s="7" t="n"/>
      <c r="K1003" s="7">
        <f>IF($A1003="","",N1003*U1003/100)</f>
        <v/>
      </c>
      <c r="L1003" s="7">
        <f>IF($A1003="","",N1003-K1003)</f>
        <v/>
      </c>
      <c r="M1003" s="7">
        <f>IF($A1003="","",L1003-F1003)</f>
        <v/>
      </c>
      <c r="N1003" s="7" t="n"/>
      <c r="O1003" s="7" t="n"/>
      <c r="P1003" s="7" t="n"/>
      <c r="R1003" s="14" t="n"/>
      <c r="V1003">
        <f>IF($A1003="","",IF(COUNTIF($A$2:$A1003,$A1003)=1,1,0))</f>
        <v/>
      </c>
      <c r="W1003">
        <f>IF($V1003=1,SUMPRODUCT(--($Y$2:$Y$1501&lt;$Y1003))+1,"")</f>
        <v/>
      </c>
      <c r="X1003">
        <f>IF($A1003="","",IF(OR($T1003=TRUE(),$T1003="TRUE"),1,0))</f>
        <v/>
      </c>
      <c r="Y1003">
        <f>IF($V1003=1,IFERROR(IF(VALUE($A1003)&lt;100000000,VALUE($A1003),1000000000),IFERROR(IF(VALUE(MID($A1003,2,20))&lt;100000000,VALUE(MID($A1003,2,20)),1000000000),1000000000))+ROW()/100000,"")</f>
        <v/>
      </c>
    </row>
    <row r="1004">
      <c r="F1004" s="7">
        <f>IF($A1004="","",E1004*L1004/100)</f>
        <v/>
      </c>
      <c r="J1004" s="7" t="n"/>
      <c r="K1004" s="7">
        <f>IF($A1004="","",N1004*U1004/100)</f>
        <v/>
      </c>
      <c r="L1004" s="7">
        <f>IF($A1004="","",N1004-K1004)</f>
        <v/>
      </c>
      <c r="M1004" s="7">
        <f>IF($A1004="","",L1004-F1004)</f>
        <v/>
      </c>
      <c r="N1004" s="7" t="n"/>
      <c r="O1004" s="7" t="n"/>
      <c r="P1004" s="7" t="n"/>
      <c r="R1004" s="14" t="n"/>
      <c r="V1004">
        <f>IF($A1004="","",IF(COUNTIF($A$2:$A1004,$A1004)=1,1,0))</f>
        <v/>
      </c>
      <c r="W1004">
        <f>IF($V1004=1,SUMPRODUCT(--($Y$2:$Y$1501&lt;$Y1004))+1,"")</f>
        <v/>
      </c>
      <c r="X1004">
        <f>IF($A1004="","",IF(OR($T1004=TRUE(),$T1004="TRUE"),1,0))</f>
        <v/>
      </c>
      <c r="Y1004">
        <f>IF($V1004=1,IFERROR(IF(VALUE($A1004)&lt;100000000,VALUE($A1004),1000000000),IFERROR(IF(VALUE(MID($A1004,2,20))&lt;100000000,VALUE(MID($A1004,2,20)),1000000000),1000000000))+ROW()/100000,"")</f>
        <v/>
      </c>
    </row>
    <row r="1005">
      <c r="F1005" s="7">
        <f>IF($A1005="","",E1005*L1005/100)</f>
        <v/>
      </c>
      <c r="J1005" s="7" t="n"/>
      <c r="K1005" s="7">
        <f>IF($A1005="","",N1005*U1005/100)</f>
        <v/>
      </c>
      <c r="L1005" s="7">
        <f>IF($A1005="","",N1005-K1005)</f>
        <v/>
      </c>
      <c r="M1005" s="7">
        <f>IF($A1005="","",L1005-F1005)</f>
        <v/>
      </c>
      <c r="N1005" s="7" t="n"/>
      <c r="O1005" s="7" t="n"/>
      <c r="P1005" s="7" t="n"/>
      <c r="R1005" s="14" t="n"/>
      <c r="V1005">
        <f>IF($A1005="","",IF(COUNTIF($A$2:$A1005,$A1005)=1,1,0))</f>
        <v/>
      </c>
      <c r="W1005">
        <f>IF($V1005=1,SUMPRODUCT(--($Y$2:$Y$1501&lt;$Y1005))+1,"")</f>
        <v/>
      </c>
      <c r="X1005">
        <f>IF($A1005="","",IF(OR($T1005=TRUE(),$T1005="TRUE"),1,0))</f>
        <v/>
      </c>
      <c r="Y1005">
        <f>IF($V1005=1,IFERROR(IF(VALUE($A1005)&lt;100000000,VALUE($A1005),1000000000),IFERROR(IF(VALUE(MID($A1005,2,20))&lt;100000000,VALUE(MID($A1005,2,20)),1000000000),1000000000))+ROW()/100000,"")</f>
        <v/>
      </c>
    </row>
    <row r="1006">
      <c r="F1006" s="7">
        <f>IF($A1006="","",E1006*L1006/100)</f>
        <v/>
      </c>
      <c r="J1006" s="7" t="n"/>
      <c r="K1006" s="7">
        <f>IF($A1006="","",N1006*U1006/100)</f>
        <v/>
      </c>
      <c r="L1006" s="7">
        <f>IF($A1006="","",N1006-K1006)</f>
        <v/>
      </c>
      <c r="M1006" s="7">
        <f>IF($A1006="","",L1006-F1006)</f>
        <v/>
      </c>
      <c r="N1006" s="7" t="n"/>
      <c r="O1006" s="7" t="n"/>
      <c r="P1006" s="7" t="n"/>
      <c r="R1006" s="14" t="n"/>
      <c r="V1006">
        <f>IF($A1006="","",IF(COUNTIF($A$2:$A1006,$A1006)=1,1,0))</f>
        <v/>
      </c>
      <c r="W1006">
        <f>IF($V1006=1,SUMPRODUCT(--($Y$2:$Y$1501&lt;$Y1006))+1,"")</f>
        <v/>
      </c>
      <c r="X1006">
        <f>IF($A1006="","",IF(OR($T1006=TRUE(),$T1006="TRUE"),1,0))</f>
        <v/>
      </c>
      <c r="Y1006">
        <f>IF($V1006=1,IFERROR(IF(VALUE($A1006)&lt;100000000,VALUE($A1006),1000000000),IFERROR(IF(VALUE(MID($A1006,2,20))&lt;100000000,VALUE(MID($A1006,2,20)),1000000000),1000000000))+ROW()/100000,"")</f>
        <v/>
      </c>
    </row>
    <row r="1007">
      <c r="F1007" s="7">
        <f>IF($A1007="","",E1007*L1007/100)</f>
        <v/>
      </c>
      <c r="J1007" s="7" t="n"/>
      <c r="K1007" s="7">
        <f>IF($A1007="","",N1007*U1007/100)</f>
        <v/>
      </c>
      <c r="L1007" s="7">
        <f>IF($A1007="","",N1007-K1007)</f>
        <v/>
      </c>
      <c r="M1007" s="7">
        <f>IF($A1007="","",L1007-F1007)</f>
        <v/>
      </c>
      <c r="N1007" s="7" t="n"/>
      <c r="O1007" s="7" t="n"/>
      <c r="P1007" s="7" t="n"/>
      <c r="R1007" s="14" t="n"/>
      <c r="V1007">
        <f>IF($A1007="","",IF(COUNTIF($A$2:$A1007,$A1007)=1,1,0))</f>
        <v/>
      </c>
      <c r="W1007">
        <f>IF($V1007=1,SUMPRODUCT(--($Y$2:$Y$1501&lt;$Y1007))+1,"")</f>
        <v/>
      </c>
      <c r="X1007">
        <f>IF($A1007="","",IF(OR($T1007=TRUE(),$T1007="TRUE"),1,0))</f>
        <v/>
      </c>
      <c r="Y1007">
        <f>IF($V1007=1,IFERROR(IF(VALUE($A1007)&lt;100000000,VALUE($A1007),1000000000),IFERROR(IF(VALUE(MID($A1007,2,20))&lt;100000000,VALUE(MID($A1007,2,20)),1000000000),1000000000))+ROW()/100000,"")</f>
        <v/>
      </c>
    </row>
    <row r="1008">
      <c r="F1008" s="7">
        <f>IF($A1008="","",E1008*L1008/100)</f>
        <v/>
      </c>
      <c r="J1008" s="7" t="n"/>
      <c r="K1008" s="7">
        <f>IF($A1008="","",N1008*U1008/100)</f>
        <v/>
      </c>
      <c r="L1008" s="7">
        <f>IF($A1008="","",N1008-K1008)</f>
        <v/>
      </c>
      <c r="M1008" s="7">
        <f>IF($A1008="","",L1008-F1008)</f>
        <v/>
      </c>
      <c r="N1008" s="7" t="n"/>
      <c r="O1008" s="7" t="n"/>
      <c r="P1008" s="7" t="n"/>
      <c r="R1008" s="14" t="n"/>
      <c r="V1008">
        <f>IF($A1008="","",IF(COUNTIF($A$2:$A1008,$A1008)=1,1,0))</f>
        <v/>
      </c>
      <c r="W1008">
        <f>IF($V1008=1,SUMPRODUCT(--($Y$2:$Y$1501&lt;$Y1008))+1,"")</f>
        <v/>
      </c>
      <c r="X1008">
        <f>IF($A1008="","",IF(OR($T1008=TRUE(),$T1008="TRUE"),1,0))</f>
        <v/>
      </c>
      <c r="Y1008">
        <f>IF($V1008=1,IFERROR(IF(VALUE($A1008)&lt;100000000,VALUE($A1008),1000000000),IFERROR(IF(VALUE(MID($A1008,2,20))&lt;100000000,VALUE(MID($A1008,2,20)),1000000000),1000000000))+ROW()/100000,"")</f>
        <v/>
      </c>
    </row>
    <row r="1009">
      <c r="F1009" s="7">
        <f>IF($A1009="","",E1009*L1009/100)</f>
        <v/>
      </c>
      <c r="J1009" s="7" t="n"/>
      <c r="K1009" s="7">
        <f>IF($A1009="","",N1009*U1009/100)</f>
        <v/>
      </c>
      <c r="L1009" s="7">
        <f>IF($A1009="","",N1009-K1009)</f>
        <v/>
      </c>
      <c r="M1009" s="7">
        <f>IF($A1009="","",L1009-F1009)</f>
        <v/>
      </c>
      <c r="N1009" s="7" t="n"/>
      <c r="O1009" s="7" t="n"/>
      <c r="P1009" s="7" t="n"/>
      <c r="R1009" s="14" t="n"/>
      <c r="V1009">
        <f>IF($A1009="","",IF(COUNTIF($A$2:$A1009,$A1009)=1,1,0))</f>
        <v/>
      </c>
      <c r="W1009">
        <f>IF($V1009=1,SUMPRODUCT(--($Y$2:$Y$1501&lt;$Y1009))+1,"")</f>
        <v/>
      </c>
      <c r="X1009">
        <f>IF($A1009="","",IF(OR($T1009=TRUE(),$T1009="TRUE"),1,0))</f>
        <v/>
      </c>
      <c r="Y1009">
        <f>IF($V1009=1,IFERROR(IF(VALUE($A1009)&lt;100000000,VALUE($A1009),1000000000),IFERROR(IF(VALUE(MID($A1009,2,20))&lt;100000000,VALUE(MID($A1009,2,20)),1000000000),1000000000))+ROW()/100000,"")</f>
        <v/>
      </c>
    </row>
    <row r="1010">
      <c r="F1010" s="7">
        <f>IF($A1010="","",E1010*L1010/100)</f>
        <v/>
      </c>
      <c r="J1010" s="7" t="n"/>
      <c r="K1010" s="7">
        <f>IF($A1010="","",N1010*U1010/100)</f>
        <v/>
      </c>
      <c r="L1010" s="7">
        <f>IF($A1010="","",N1010-K1010)</f>
        <v/>
      </c>
      <c r="M1010" s="7">
        <f>IF($A1010="","",L1010-F1010)</f>
        <v/>
      </c>
      <c r="N1010" s="7" t="n"/>
      <c r="O1010" s="7" t="n"/>
      <c r="P1010" s="7" t="n"/>
      <c r="R1010" s="14" t="n"/>
      <c r="V1010">
        <f>IF($A1010="","",IF(COUNTIF($A$2:$A1010,$A1010)=1,1,0))</f>
        <v/>
      </c>
      <c r="W1010">
        <f>IF($V1010=1,SUMPRODUCT(--($Y$2:$Y$1501&lt;$Y1010))+1,"")</f>
        <v/>
      </c>
      <c r="X1010">
        <f>IF($A1010="","",IF(OR($T1010=TRUE(),$T1010="TRUE"),1,0))</f>
        <v/>
      </c>
      <c r="Y1010">
        <f>IF($V1010=1,IFERROR(IF(VALUE($A1010)&lt;100000000,VALUE($A1010),1000000000),IFERROR(IF(VALUE(MID($A1010,2,20))&lt;100000000,VALUE(MID($A1010,2,20)),1000000000),1000000000))+ROW()/100000,"")</f>
        <v/>
      </c>
    </row>
    <row r="1011">
      <c r="F1011" s="7">
        <f>IF($A1011="","",E1011*L1011/100)</f>
        <v/>
      </c>
      <c r="J1011" s="7" t="n"/>
      <c r="K1011" s="7">
        <f>IF($A1011="","",N1011*U1011/100)</f>
        <v/>
      </c>
      <c r="L1011" s="7">
        <f>IF($A1011="","",N1011-K1011)</f>
        <v/>
      </c>
      <c r="M1011" s="7">
        <f>IF($A1011="","",L1011-F1011)</f>
        <v/>
      </c>
      <c r="N1011" s="7" t="n"/>
      <c r="O1011" s="7" t="n"/>
      <c r="P1011" s="7" t="n"/>
      <c r="R1011" s="14" t="n"/>
      <c r="V1011">
        <f>IF($A1011="","",IF(COUNTIF($A$2:$A1011,$A1011)=1,1,0))</f>
        <v/>
      </c>
      <c r="W1011">
        <f>IF($V1011=1,SUMPRODUCT(--($Y$2:$Y$1501&lt;$Y1011))+1,"")</f>
        <v/>
      </c>
      <c r="X1011">
        <f>IF($A1011="","",IF(OR($T1011=TRUE(),$T1011="TRUE"),1,0))</f>
        <v/>
      </c>
      <c r="Y1011">
        <f>IF($V1011=1,IFERROR(IF(VALUE($A1011)&lt;100000000,VALUE($A1011),1000000000),IFERROR(IF(VALUE(MID($A1011,2,20))&lt;100000000,VALUE(MID($A1011,2,20)),1000000000),1000000000))+ROW()/100000,"")</f>
        <v/>
      </c>
    </row>
    <row r="1012">
      <c r="F1012" s="7">
        <f>IF($A1012="","",E1012*L1012/100)</f>
        <v/>
      </c>
      <c r="J1012" s="7" t="n"/>
      <c r="K1012" s="7">
        <f>IF($A1012="","",N1012*U1012/100)</f>
        <v/>
      </c>
      <c r="L1012" s="7">
        <f>IF($A1012="","",N1012-K1012)</f>
        <v/>
      </c>
      <c r="M1012" s="7">
        <f>IF($A1012="","",L1012-F1012)</f>
        <v/>
      </c>
      <c r="N1012" s="7" t="n"/>
      <c r="O1012" s="7" t="n"/>
      <c r="P1012" s="7" t="n"/>
      <c r="R1012" s="14" t="n"/>
      <c r="V1012">
        <f>IF($A1012="","",IF(COUNTIF($A$2:$A1012,$A1012)=1,1,0))</f>
        <v/>
      </c>
      <c r="W1012">
        <f>IF($V1012=1,SUMPRODUCT(--($Y$2:$Y$1501&lt;$Y1012))+1,"")</f>
        <v/>
      </c>
      <c r="X1012">
        <f>IF($A1012="","",IF(OR($T1012=TRUE(),$T1012="TRUE"),1,0))</f>
        <v/>
      </c>
      <c r="Y1012">
        <f>IF($V1012=1,IFERROR(IF(VALUE($A1012)&lt;100000000,VALUE($A1012),1000000000),IFERROR(IF(VALUE(MID($A1012,2,20))&lt;100000000,VALUE(MID($A1012,2,20)),1000000000),1000000000))+ROW()/100000,"")</f>
        <v/>
      </c>
    </row>
    <row r="1013">
      <c r="F1013" s="7">
        <f>IF($A1013="","",E1013*L1013/100)</f>
        <v/>
      </c>
      <c r="J1013" s="7" t="n"/>
      <c r="K1013" s="7">
        <f>IF($A1013="","",N1013*U1013/100)</f>
        <v/>
      </c>
      <c r="L1013" s="7">
        <f>IF($A1013="","",N1013-K1013)</f>
        <v/>
      </c>
      <c r="M1013" s="7">
        <f>IF($A1013="","",L1013-F1013)</f>
        <v/>
      </c>
      <c r="N1013" s="7" t="n"/>
      <c r="O1013" s="7" t="n"/>
      <c r="P1013" s="7" t="n"/>
      <c r="R1013" s="14" t="n"/>
      <c r="V1013">
        <f>IF($A1013="","",IF(COUNTIF($A$2:$A1013,$A1013)=1,1,0))</f>
        <v/>
      </c>
      <c r="W1013">
        <f>IF($V1013=1,SUMPRODUCT(--($Y$2:$Y$1501&lt;$Y1013))+1,"")</f>
        <v/>
      </c>
      <c r="X1013">
        <f>IF($A1013="","",IF(OR($T1013=TRUE(),$T1013="TRUE"),1,0))</f>
        <v/>
      </c>
      <c r="Y1013">
        <f>IF($V1013=1,IFERROR(IF(VALUE($A1013)&lt;100000000,VALUE($A1013),1000000000),IFERROR(IF(VALUE(MID($A1013,2,20))&lt;100000000,VALUE(MID($A1013,2,20)),1000000000),1000000000))+ROW()/100000,"")</f>
        <v/>
      </c>
    </row>
    <row r="1014">
      <c r="F1014" s="7">
        <f>IF($A1014="","",E1014*L1014/100)</f>
        <v/>
      </c>
      <c r="J1014" s="7" t="n"/>
      <c r="K1014" s="7">
        <f>IF($A1014="","",N1014*U1014/100)</f>
        <v/>
      </c>
      <c r="L1014" s="7">
        <f>IF($A1014="","",N1014-K1014)</f>
        <v/>
      </c>
      <c r="M1014" s="7">
        <f>IF($A1014="","",L1014-F1014)</f>
        <v/>
      </c>
      <c r="N1014" s="7" t="n"/>
      <c r="O1014" s="7" t="n"/>
      <c r="P1014" s="7" t="n"/>
      <c r="R1014" s="14" t="n"/>
      <c r="V1014">
        <f>IF($A1014="","",IF(COUNTIF($A$2:$A1014,$A1014)=1,1,0))</f>
        <v/>
      </c>
      <c r="W1014">
        <f>IF($V1014=1,SUMPRODUCT(--($Y$2:$Y$1501&lt;$Y1014))+1,"")</f>
        <v/>
      </c>
      <c r="X1014">
        <f>IF($A1014="","",IF(OR($T1014=TRUE(),$T1014="TRUE"),1,0))</f>
        <v/>
      </c>
      <c r="Y1014">
        <f>IF($V1014=1,IFERROR(IF(VALUE($A1014)&lt;100000000,VALUE($A1014),1000000000),IFERROR(IF(VALUE(MID($A1014,2,20))&lt;100000000,VALUE(MID($A1014,2,20)),1000000000),1000000000))+ROW()/100000,"")</f>
        <v/>
      </c>
    </row>
    <row r="1015">
      <c r="F1015" s="7">
        <f>IF($A1015="","",E1015*L1015/100)</f>
        <v/>
      </c>
      <c r="J1015" s="7" t="n"/>
      <c r="K1015" s="7">
        <f>IF($A1015="","",N1015*U1015/100)</f>
        <v/>
      </c>
      <c r="L1015" s="7">
        <f>IF($A1015="","",N1015-K1015)</f>
        <v/>
      </c>
      <c r="M1015" s="7">
        <f>IF($A1015="","",L1015-F1015)</f>
        <v/>
      </c>
      <c r="N1015" s="7" t="n"/>
      <c r="O1015" s="7" t="n"/>
      <c r="P1015" s="7" t="n"/>
      <c r="R1015" s="14" t="n"/>
      <c r="V1015">
        <f>IF($A1015="","",IF(COUNTIF($A$2:$A1015,$A1015)=1,1,0))</f>
        <v/>
      </c>
      <c r="W1015">
        <f>IF($V1015=1,SUMPRODUCT(--($Y$2:$Y$1501&lt;$Y1015))+1,"")</f>
        <v/>
      </c>
      <c r="X1015">
        <f>IF($A1015="","",IF(OR($T1015=TRUE(),$T1015="TRUE"),1,0))</f>
        <v/>
      </c>
      <c r="Y1015">
        <f>IF($V1015=1,IFERROR(IF(VALUE($A1015)&lt;100000000,VALUE($A1015),1000000000),IFERROR(IF(VALUE(MID($A1015,2,20))&lt;100000000,VALUE(MID($A1015,2,20)),1000000000),1000000000))+ROW()/100000,"")</f>
        <v/>
      </c>
    </row>
    <row r="1016">
      <c r="F1016" s="7">
        <f>IF($A1016="","",E1016*L1016/100)</f>
        <v/>
      </c>
      <c r="J1016" s="7" t="n"/>
      <c r="K1016" s="7">
        <f>IF($A1016="","",N1016*U1016/100)</f>
        <v/>
      </c>
      <c r="L1016" s="7">
        <f>IF($A1016="","",N1016-K1016)</f>
        <v/>
      </c>
      <c r="M1016" s="7">
        <f>IF($A1016="","",L1016-F1016)</f>
        <v/>
      </c>
      <c r="N1016" s="7" t="n"/>
      <c r="O1016" s="7" t="n"/>
      <c r="P1016" s="7" t="n"/>
      <c r="R1016" s="14" t="n"/>
      <c r="V1016">
        <f>IF($A1016="","",IF(COUNTIF($A$2:$A1016,$A1016)=1,1,0))</f>
        <v/>
      </c>
      <c r="W1016">
        <f>IF($V1016=1,SUMPRODUCT(--($Y$2:$Y$1501&lt;$Y1016))+1,"")</f>
        <v/>
      </c>
      <c r="X1016">
        <f>IF($A1016="","",IF(OR($T1016=TRUE(),$T1016="TRUE"),1,0))</f>
        <v/>
      </c>
      <c r="Y1016">
        <f>IF($V1016=1,IFERROR(IF(VALUE($A1016)&lt;100000000,VALUE($A1016),1000000000),IFERROR(IF(VALUE(MID($A1016,2,20))&lt;100000000,VALUE(MID($A1016,2,20)),1000000000),1000000000))+ROW()/100000,"")</f>
        <v/>
      </c>
    </row>
    <row r="1017">
      <c r="F1017" s="7">
        <f>IF($A1017="","",E1017*L1017/100)</f>
        <v/>
      </c>
      <c r="J1017" s="7" t="n"/>
      <c r="K1017" s="7">
        <f>IF($A1017="","",N1017*U1017/100)</f>
        <v/>
      </c>
      <c r="L1017" s="7">
        <f>IF($A1017="","",N1017-K1017)</f>
        <v/>
      </c>
      <c r="M1017" s="7">
        <f>IF($A1017="","",L1017-F1017)</f>
        <v/>
      </c>
      <c r="N1017" s="7" t="n"/>
      <c r="O1017" s="7" t="n"/>
      <c r="P1017" s="7" t="n"/>
      <c r="R1017" s="14" t="n"/>
      <c r="V1017">
        <f>IF($A1017="","",IF(COUNTIF($A$2:$A1017,$A1017)=1,1,0))</f>
        <v/>
      </c>
      <c r="W1017">
        <f>IF($V1017=1,SUMPRODUCT(--($Y$2:$Y$1501&lt;$Y1017))+1,"")</f>
        <v/>
      </c>
      <c r="X1017">
        <f>IF($A1017="","",IF(OR($T1017=TRUE(),$T1017="TRUE"),1,0))</f>
        <v/>
      </c>
      <c r="Y1017">
        <f>IF($V1017=1,IFERROR(IF(VALUE($A1017)&lt;100000000,VALUE($A1017),1000000000),IFERROR(IF(VALUE(MID($A1017,2,20))&lt;100000000,VALUE(MID($A1017,2,20)),1000000000),1000000000))+ROW()/100000,"")</f>
        <v/>
      </c>
    </row>
    <row r="1018">
      <c r="F1018" s="7">
        <f>IF($A1018="","",E1018*L1018/100)</f>
        <v/>
      </c>
      <c r="J1018" s="7" t="n"/>
      <c r="K1018" s="7">
        <f>IF($A1018="","",N1018*U1018/100)</f>
        <v/>
      </c>
      <c r="L1018" s="7">
        <f>IF($A1018="","",N1018-K1018)</f>
        <v/>
      </c>
      <c r="M1018" s="7">
        <f>IF($A1018="","",L1018-F1018)</f>
        <v/>
      </c>
      <c r="N1018" s="7" t="n"/>
      <c r="O1018" s="7" t="n"/>
      <c r="P1018" s="7" t="n"/>
      <c r="R1018" s="14" t="n"/>
      <c r="V1018">
        <f>IF($A1018="","",IF(COUNTIF($A$2:$A1018,$A1018)=1,1,0))</f>
        <v/>
      </c>
      <c r="W1018">
        <f>IF($V1018=1,SUMPRODUCT(--($Y$2:$Y$1501&lt;$Y1018))+1,"")</f>
        <v/>
      </c>
      <c r="X1018">
        <f>IF($A1018="","",IF(OR($T1018=TRUE(),$T1018="TRUE"),1,0))</f>
        <v/>
      </c>
      <c r="Y1018">
        <f>IF($V1018=1,IFERROR(IF(VALUE($A1018)&lt;100000000,VALUE($A1018),1000000000),IFERROR(IF(VALUE(MID($A1018,2,20))&lt;100000000,VALUE(MID($A1018,2,20)),1000000000),1000000000))+ROW()/100000,"")</f>
        <v/>
      </c>
    </row>
    <row r="1019">
      <c r="F1019" s="7">
        <f>IF($A1019="","",E1019*L1019/100)</f>
        <v/>
      </c>
      <c r="J1019" s="7" t="n"/>
      <c r="K1019" s="7">
        <f>IF($A1019="","",N1019*U1019/100)</f>
        <v/>
      </c>
      <c r="L1019" s="7">
        <f>IF($A1019="","",N1019-K1019)</f>
        <v/>
      </c>
      <c r="M1019" s="7">
        <f>IF($A1019="","",L1019-F1019)</f>
        <v/>
      </c>
      <c r="N1019" s="7" t="n"/>
      <c r="O1019" s="7" t="n"/>
      <c r="P1019" s="7" t="n"/>
      <c r="R1019" s="14" t="n"/>
      <c r="V1019">
        <f>IF($A1019="","",IF(COUNTIF($A$2:$A1019,$A1019)=1,1,0))</f>
        <v/>
      </c>
      <c r="W1019">
        <f>IF($V1019=1,SUMPRODUCT(--($Y$2:$Y$1501&lt;$Y1019))+1,"")</f>
        <v/>
      </c>
      <c r="X1019">
        <f>IF($A1019="","",IF(OR($T1019=TRUE(),$T1019="TRUE"),1,0))</f>
        <v/>
      </c>
      <c r="Y1019">
        <f>IF($V1019=1,IFERROR(IF(VALUE($A1019)&lt;100000000,VALUE($A1019),1000000000),IFERROR(IF(VALUE(MID($A1019,2,20))&lt;100000000,VALUE(MID($A1019,2,20)),1000000000),1000000000))+ROW()/100000,"")</f>
        <v/>
      </c>
    </row>
    <row r="1020">
      <c r="F1020" s="7">
        <f>IF($A1020="","",E1020*L1020/100)</f>
        <v/>
      </c>
      <c r="J1020" s="7" t="n"/>
      <c r="K1020" s="7">
        <f>IF($A1020="","",N1020*U1020/100)</f>
        <v/>
      </c>
      <c r="L1020" s="7">
        <f>IF($A1020="","",N1020-K1020)</f>
        <v/>
      </c>
      <c r="M1020" s="7">
        <f>IF($A1020="","",L1020-F1020)</f>
        <v/>
      </c>
      <c r="N1020" s="7" t="n"/>
      <c r="O1020" s="7" t="n"/>
      <c r="P1020" s="7" t="n"/>
      <c r="R1020" s="14" t="n"/>
      <c r="V1020">
        <f>IF($A1020="","",IF(COUNTIF($A$2:$A1020,$A1020)=1,1,0))</f>
        <v/>
      </c>
      <c r="W1020">
        <f>IF($V1020=1,SUMPRODUCT(--($Y$2:$Y$1501&lt;$Y1020))+1,"")</f>
        <v/>
      </c>
      <c r="X1020">
        <f>IF($A1020="","",IF(OR($T1020=TRUE(),$T1020="TRUE"),1,0))</f>
        <v/>
      </c>
      <c r="Y1020">
        <f>IF($V1020=1,IFERROR(IF(VALUE($A1020)&lt;100000000,VALUE($A1020),1000000000),IFERROR(IF(VALUE(MID($A1020,2,20))&lt;100000000,VALUE(MID($A1020,2,20)),1000000000),1000000000))+ROW()/100000,"")</f>
        <v/>
      </c>
    </row>
    <row r="1021">
      <c r="F1021" s="7">
        <f>IF($A1021="","",E1021*L1021/100)</f>
        <v/>
      </c>
      <c r="J1021" s="7" t="n"/>
      <c r="K1021" s="7">
        <f>IF($A1021="","",N1021*U1021/100)</f>
        <v/>
      </c>
      <c r="L1021" s="7">
        <f>IF($A1021="","",N1021-K1021)</f>
        <v/>
      </c>
      <c r="M1021" s="7">
        <f>IF($A1021="","",L1021-F1021)</f>
        <v/>
      </c>
      <c r="N1021" s="7" t="n"/>
      <c r="O1021" s="7" t="n"/>
      <c r="P1021" s="7" t="n"/>
      <c r="R1021" s="14" t="n"/>
      <c r="V1021">
        <f>IF($A1021="","",IF(COUNTIF($A$2:$A1021,$A1021)=1,1,0))</f>
        <v/>
      </c>
      <c r="W1021">
        <f>IF($V1021=1,SUMPRODUCT(--($Y$2:$Y$1501&lt;$Y1021))+1,"")</f>
        <v/>
      </c>
      <c r="X1021">
        <f>IF($A1021="","",IF(OR($T1021=TRUE(),$T1021="TRUE"),1,0))</f>
        <v/>
      </c>
      <c r="Y1021">
        <f>IF($V1021=1,IFERROR(IF(VALUE($A1021)&lt;100000000,VALUE($A1021),1000000000),IFERROR(IF(VALUE(MID($A1021,2,20))&lt;100000000,VALUE(MID($A1021,2,20)),1000000000),1000000000))+ROW()/100000,"")</f>
        <v/>
      </c>
    </row>
    <row r="1022">
      <c r="F1022" s="7">
        <f>IF($A1022="","",E1022*L1022/100)</f>
        <v/>
      </c>
      <c r="J1022" s="7" t="n"/>
      <c r="K1022" s="7">
        <f>IF($A1022="","",N1022*U1022/100)</f>
        <v/>
      </c>
      <c r="L1022" s="7">
        <f>IF($A1022="","",N1022-K1022)</f>
        <v/>
      </c>
      <c r="M1022" s="7">
        <f>IF($A1022="","",L1022-F1022)</f>
        <v/>
      </c>
      <c r="N1022" s="7" t="n"/>
      <c r="O1022" s="7" t="n"/>
      <c r="P1022" s="7" t="n"/>
      <c r="R1022" s="14" t="n"/>
      <c r="V1022">
        <f>IF($A1022="","",IF(COUNTIF($A$2:$A1022,$A1022)=1,1,0))</f>
        <v/>
      </c>
      <c r="W1022">
        <f>IF($V1022=1,SUMPRODUCT(--($Y$2:$Y$1501&lt;$Y1022))+1,"")</f>
        <v/>
      </c>
      <c r="X1022">
        <f>IF($A1022="","",IF(OR($T1022=TRUE(),$T1022="TRUE"),1,0))</f>
        <v/>
      </c>
      <c r="Y1022">
        <f>IF($V1022=1,IFERROR(IF(VALUE($A1022)&lt;100000000,VALUE($A1022),1000000000),IFERROR(IF(VALUE(MID($A1022,2,20))&lt;100000000,VALUE(MID($A1022,2,20)),1000000000),1000000000))+ROW()/100000,"")</f>
        <v/>
      </c>
    </row>
    <row r="1023">
      <c r="F1023" s="7">
        <f>IF($A1023="","",E1023*L1023/100)</f>
        <v/>
      </c>
      <c r="J1023" s="7" t="n"/>
      <c r="K1023" s="7">
        <f>IF($A1023="","",N1023*U1023/100)</f>
        <v/>
      </c>
      <c r="L1023" s="7">
        <f>IF($A1023="","",N1023-K1023)</f>
        <v/>
      </c>
      <c r="M1023" s="7">
        <f>IF($A1023="","",L1023-F1023)</f>
        <v/>
      </c>
      <c r="N1023" s="7" t="n"/>
      <c r="O1023" s="7" t="n"/>
      <c r="P1023" s="7" t="n"/>
      <c r="R1023" s="14" t="n"/>
      <c r="V1023">
        <f>IF($A1023="","",IF(COUNTIF($A$2:$A1023,$A1023)=1,1,0))</f>
        <v/>
      </c>
      <c r="W1023">
        <f>IF($V1023=1,SUMPRODUCT(--($Y$2:$Y$1501&lt;$Y1023))+1,"")</f>
        <v/>
      </c>
      <c r="X1023">
        <f>IF($A1023="","",IF(OR($T1023=TRUE(),$T1023="TRUE"),1,0))</f>
        <v/>
      </c>
      <c r="Y1023">
        <f>IF($V1023=1,IFERROR(IF(VALUE($A1023)&lt;100000000,VALUE($A1023),1000000000),IFERROR(IF(VALUE(MID($A1023,2,20))&lt;100000000,VALUE(MID($A1023,2,20)),1000000000),1000000000))+ROW()/100000,"")</f>
        <v/>
      </c>
    </row>
    <row r="1024">
      <c r="F1024" s="7">
        <f>IF($A1024="","",E1024*L1024/100)</f>
        <v/>
      </c>
      <c r="J1024" s="7" t="n"/>
      <c r="K1024" s="7">
        <f>IF($A1024="","",N1024*U1024/100)</f>
        <v/>
      </c>
      <c r="L1024" s="7">
        <f>IF($A1024="","",N1024-K1024)</f>
        <v/>
      </c>
      <c r="M1024" s="7">
        <f>IF($A1024="","",L1024-F1024)</f>
        <v/>
      </c>
      <c r="N1024" s="7" t="n"/>
      <c r="O1024" s="7" t="n"/>
      <c r="P1024" s="7" t="n"/>
      <c r="R1024" s="14" t="n"/>
      <c r="V1024">
        <f>IF($A1024="","",IF(COUNTIF($A$2:$A1024,$A1024)=1,1,0))</f>
        <v/>
      </c>
      <c r="W1024">
        <f>IF($V1024=1,SUMPRODUCT(--($Y$2:$Y$1501&lt;$Y1024))+1,"")</f>
        <v/>
      </c>
      <c r="X1024">
        <f>IF($A1024="","",IF(OR($T1024=TRUE(),$T1024="TRUE"),1,0))</f>
        <v/>
      </c>
      <c r="Y1024">
        <f>IF($V1024=1,IFERROR(IF(VALUE($A1024)&lt;100000000,VALUE($A1024),1000000000),IFERROR(IF(VALUE(MID($A1024,2,20))&lt;100000000,VALUE(MID($A1024,2,20)),1000000000),1000000000))+ROW()/100000,"")</f>
        <v/>
      </c>
    </row>
    <row r="1025">
      <c r="F1025" s="7">
        <f>IF($A1025="","",E1025*L1025/100)</f>
        <v/>
      </c>
      <c r="J1025" s="7" t="n"/>
      <c r="K1025" s="7">
        <f>IF($A1025="","",N1025*U1025/100)</f>
        <v/>
      </c>
      <c r="L1025" s="7">
        <f>IF($A1025="","",N1025-K1025)</f>
        <v/>
      </c>
      <c r="M1025" s="7">
        <f>IF($A1025="","",L1025-F1025)</f>
        <v/>
      </c>
      <c r="N1025" s="7" t="n"/>
      <c r="O1025" s="7" t="n"/>
      <c r="P1025" s="7" t="n"/>
      <c r="R1025" s="14" t="n"/>
      <c r="V1025">
        <f>IF($A1025="","",IF(COUNTIF($A$2:$A1025,$A1025)=1,1,0))</f>
        <v/>
      </c>
      <c r="W1025">
        <f>IF($V1025=1,SUMPRODUCT(--($Y$2:$Y$1501&lt;$Y1025))+1,"")</f>
        <v/>
      </c>
      <c r="X1025">
        <f>IF($A1025="","",IF(OR($T1025=TRUE(),$T1025="TRUE"),1,0))</f>
        <v/>
      </c>
      <c r="Y1025">
        <f>IF($V1025=1,IFERROR(IF(VALUE($A1025)&lt;100000000,VALUE($A1025),1000000000),IFERROR(IF(VALUE(MID($A1025,2,20))&lt;100000000,VALUE(MID($A1025,2,20)),1000000000),1000000000))+ROW()/100000,"")</f>
        <v/>
      </c>
    </row>
    <row r="1026">
      <c r="F1026" s="7">
        <f>IF($A1026="","",E1026*L1026/100)</f>
        <v/>
      </c>
      <c r="J1026" s="7" t="n"/>
      <c r="K1026" s="7">
        <f>IF($A1026="","",N1026*U1026/100)</f>
        <v/>
      </c>
      <c r="L1026" s="7">
        <f>IF($A1026="","",N1026-K1026)</f>
        <v/>
      </c>
      <c r="M1026" s="7">
        <f>IF($A1026="","",L1026-F1026)</f>
        <v/>
      </c>
      <c r="N1026" s="7" t="n"/>
      <c r="O1026" s="7" t="n"/>
      <c r="P1026" s="7" t="n"/>
      <c r="R1026" s="14" t="n"/>
      <c r="V1026">
        <f>IF($A1026="","",IF(COUNTIF($A$2:$A1026,$A1026)=1,1,0))</f>
        <v/>
      </c>
      <c r="W1026">
        <f>IF($V1026=1,SUMPRODUCT(--($Y$2:$Y$1501&lt;$Y1026))+1,"")</f>
        <v/>
      </c>
      <c r="X1026">
        <f>IF($A1026="","",IF(OR($T1026=TRUE(),$T1026="TRUE"),1,0))</f>
        <v/>
      </c>
      <c r="Y1026">
        <f>IF($V1026=1,IFERROR(IF(VALUE($A1026)&lt;100000000,VALUE($A1026),1000000000),IFERROR(IF(VALUE(MID($A1026,2,20))&lt;100000000,VALUE(MID($A1026,2,20)),1000000000),1000000000))+ROW()/100000,"")</f>
        <v/>
      </c>
    </row>
    <row r="1027">
      <c r="F1027" s="7">
        <f>IF($A1027="","",E1027*L1027/100)</f>
        <v/>
      </c>
      <c r="J1027" s="7" t="n"/>
      <c r="K1027" s="7">
        <f>IF($A1027="","",N1027*U1027/100)</f>
        <v/>
      </c>
      <c r="L1027" s="7">
        <f>IF($A1027="","",N1027-K1027)</f>
        <v/>
      </c>
      <c r="M1027" s="7">
        <f>IF($A1027="","",L1027-F1027)</f>
        <v/>
      </c>
      <c r="N1027" s="7" t="n"/>
      <c r="O1027" s="7" t="n"/>
      <c r="P1027" s="7" t="n"/>
      <c r="R1027" s="14" t="n"/>
      <c r="V1027">
        <f>IF($A1027="","",IF(COUNTIF($A$2:$A1027,$A1027)=1,1,0))</f>
        <v/>
      </c>
      <c r="W1027">
        <f>IF($V1027=1,SUMPRODUCT(--($Y$2:$Y$1501&lt;$Y1027))+1,"")</f>
        <v/>
      </c>
      <c r="X1027">
        <f>IF($A1027="","",IF(OR($T1027=TRUE(),$T1027="TRUE"),1,0))</f>
        <v/>
      </c>
      <c r="Y1027">
        <f>IF($V1027=1,IFERROR(IF(VALUE($A1027)&lt;100000000,VALUE($A1027),1000000000),IFERROR(IF(VALUE(MID($A1027,2,20))&lt;100000000,VALUE(MID($A1027,2,20)),1000000000),1000000000))+ROW()/100000,"")</f>
        <v/>
      </c>
    </row>
    <row r="1028">
      <c r="F1028" s="7">
        <f>IF($A1028="","",E1028*L1028/100)</f>
        <v/>
      </c>
      <c r="J1028" s="7" t="n"/>
      <c r="K1028" s="7">
        <f>IF($A1028="","",N1028*U1028/100)</f>
        <v/>
      </c>
      <c r="L1028" s="7">
        <f>IF($A1028="","",N1028-K1028)</f>
        <v/>
      </c>
      <c r="M1028" s="7">
        <f>IF($A1028="","",L1028-F1028)</f>
        <v/>
      </c>
      <c r="N1028" s="7" t="n"/>
      <c r="O1028" s="7" t="n"/>
      <c r="P1028" s="7" t="n"/>
      <c r="R1028" s="14" t="n"/>
      <c r="V1028">
        <f>IF($A1028="","",IF(COUNTIF($A$2:$A1028,$A1028)=1,1,0))</f>
        <v/>
      </c>
      <c r="W1028">
        <f>IF($V1028=1,SUMPRODUCT(--($Y$2:$Y$1501&lt;$Y1028))+1,"")</f>
        <v/>
      </c>
      <c r="X1028">
        <f>IF($A1028="","",IF(OR($T1028=TRUE(),$T1028="TRUE"),1,0))</f>
        <v/>
      </c>
      <c r="Y1028">
        <f>IF($V1028=1,IFERROR(IF(VALUE($A1028)&lt;100000000,VALUE($A1028),1000000000),IFERROR(IF(VALUE(MID($A1028,2,20))&lt;100000000,VALUE(MID($A1028,2,20)),1000000000),1000000000))+ROW()/100000,"")</f>
        <v/>
      </c>
    </row>
    <row r="1029">
      <c r="F1029" s="7">
        <f>IF($A1029="","",E1029*L1029/100)</f>
        <v/>
      </c>
      <c r="J1029" s="7" t="n"/>
      <c r="K1029" s="7">
        <f>IF($A1029="","",N1029*U1029/100)</f>
        <v/>
      </c>
      <c r="L1029" s="7">
        <f>IF($A1029="","",N1029-K1029)</f>
        <v/>
      </c>
      <c r="M1029" s="7">
        <f>IF($A1029="","",L1029-F1029)</f>
        <v/>
      </c>
      <c r="N1029" s="7" t="n"/>
      <c r="O1029" s="7" t="n"/>
      <c r="P1029" s="7" t="n"/>
      <c r="R1029" s="14" t="n"/>
      <c r="V1029">
        <f>IF($A1029="","",IF(COUNTIF($A$2:$A1029,$A1029)=1,1,0))</f>
        <v/>
      </c>
      <c r="W1029">
        <f>IF($V1029=1,SUMPRODUCT(--($Y$2:$Y$1501&lt;$Y1029))+1,"")</f>
        <v/>
      </c>
      <c r="X1029">
        <f>IF($A1029="","",IF(OR($T1029=TRUE(),$T1029="TRUE"),1,0))</f>
        <v/>
      </c>
      <c r="Y1029">
        <f>IF($V1029=1,IFERROR(IF(VALUE($A1029)&lt;100000000,VALUE($A1029),1000000000),IFERROR(IF(VALUE(MID($A1029,2,20))&lt;100000000,VALUE(MID($A1029,2,20)),1000000000),1000000000))+ROW()/100000,"")</f>
        <v/>
      </c>
    </row>
    <row r="1030">
      <c r="F1030" s="7">
        <f>IF($A1030="","",E1030*L1030/100)</f>
        <v/>
      </c>
      <c r="J1030" s="7" t="n"/>
      <c r="K1030" s="7">
        <f>IF($A1030="","",N1030*U1030/100)</f>
        <v/>
      </c>
      <c r="L1030" s="7">
        <f>IF($A1030="","",N1030-K1030)</f>
        <v/>
      </c>
      <c r="M1030" s="7">
        <f>IF($A1030="","",L1030-F1030)</f>
        <v/>
      </c>
      <c r="N1030" s="7" t="n"/>
      <c r="O1030" s="7" t="n"/>
      <c r="P1030" s="7" t="n"/>
      <c r="R1030" s="14" t="n"/>
      <c r="V1030">
        <f>IF($A1030="","",IF(COUNTIF($A$2:$A1030,$A1030)=1,1,0))</f>
        <v/>
      </c>
      <c r="W1030">
        <f>IF($V1030=1,SUMPRODUCT(--($Y$2:$Y$1501&lt;$Y1030))+1,"")</f>
        <v/>
      </c>
      <c r="X1030">
        <f>IF($A1030="","",IF(OR($T1030=TRUE(),$T1030="TRUE"),1,0))</f>
        <v/>
      </c>
      <c r="Y1030">
        <f>IF($V1030=1,IFERROR(IF(VALUE($A1030)&lt;100000000,VALUE($A1030),1000000000),IFERROR(IF(VALUE(MID($A1030,2,20))&lt;100000000,VALUE(MID($A1030,2,20)),1000000000),1000000000))+ROW()/100000,"")</f>
        <v/>
      </c>
    </row>
    <row r="1031">
      <c r="F1031" s="7">
        <f>IF($A1031="","",E1031*L1031/100)</f>
        <v/>
      </c>
      <c r="J1031" s="7" t="n"/>
      <c r="K1031" s="7">
        <f>IF($A1031="","",N1031*U1031/100)</f>
        <v/>
      </c>
      <c r="L1031" s="7">
        <f>IF($A1031="","",N1031-K1031)</f>
        <v/>
      </c>
      <c r="M1031" s="7">
        <f>IF($A1031="","",L1031-F1031)</f>
        <v/>
      </c>
      <c r="N1031" s="7" t="n"/>
      <c r="O1031" s="7" t="n"/>
      <c r="P1031" s="7" t="n"/>
      <c r="R1031" s="14" t="n"/>
      <c r="V1031">
        <f>IF($A1031="","",IF(COUNTIF($A$2:$A1031,$A1031)=1,1,0))</f>
        <v/>
      </c>
      <c r="W1031">
        <f>IF($V1031=1,SUMPRODUCT(--($Y$2:$Y$1501&lt;$Y1031))+1,"")</f>
        <v/>
      </c>
      <c r="X1031">
        <f>IF($A1031="","",IF(OR($T1031=TRUE(),$T1031="TRUE"),1,0))</f>
        <v/>
      </c>
      <c r="Y1031">
        <f>IF($V1031=1,IFERROR(IF(VALUE($A1031)&lt;100000000,VALUE($A1031),1000000000),IFERROR(IF(VALUE(MID($A1031,2,20))&lt;100000000,VALUE(MID($A1031,2,20)),1000000000),1000000000))+ROW()/100000,"")</f>
        <v/>
      </c>
    </row>
    <row r="1032">
      <c r="F1032" s="7">
        <f>IF($A1032="","",E1032*L1032/100)</f>
        <v/>
      </c>
      <c r="J1032" s="7" t="n"/>
      <c r="K1032" s="7">
        <f>IF($A1032="","",N1032*U1032/100)</f>
        <v/>
      </c>
      <c r="L1032" s="7">
        <f>IF($A1032="","",N1032-K1032)</f>
        <v/>
      </c>
      <c r="M1032" s="7">
        <f>IF($A1032="","",L1032-F1032)</f>
        <v/>
      </c>
      <c r="N1032" s="7" t="n"/>
      <c r="O1032" s="7" t="n"/>
      <c r="P1032" s="7" t="n"/>
      <c r="R1032" s="14" t="n"/>
      <c r="V1032">
        <f>IF($A1032="","",IF(COUNTIF($A$2:$A1032,$A1032)=1,1,0))</f>
        <v/>
      </c>
      <c r="W1032">
        <f>IF($V1032=1,SUMPRODUCT(--($Y$2:$Y$1501&lt;$Y1032))+1,"")</f>
        <v/>
      </c>
      <c r="X1032">
        <f>IF($A1032="","",IF(OR($T1032=TRUE(),$T1032="TRUE"),1,0))</f>
        <v/>
      </c>
      <c r="Y1032">
        <f>IF($V1032=1,IFERROR(IF(VALUE($A1032)&lt;100000000,VALUE($A1032),1000000000),IFERROR(IF(VALUE(MID($A1032,2,20))&lt;100000000,VALUE(MID($A1032,2,20)),1000000000),1000000000))+ROW()/100000,"")</f>
        <v/>
      </c>
    </row>
    <row r="1033">
      <c r="F1033" s="7">
        <f>IF($A1033="","",E1033*L1033/100)</f>
        <v/>
      </c>
      <c r="J1033" s="7" t="n"/>
      <c r="K1033" s="7">
        <f>IF($A1033="","",N1033*U1033/100)</f>
        <v/>
      </c>
      <c r="L1033" s="7">
        <f>IF($A1033="","",N1033-K1033)</f>
        <v/>
      </c>
      <c r="M1033" s="7">
        <f>IF($A1033="","",L1033-F1033)</f>
        <v/>
      </c>
      <c r="N1033" s="7" t="n"/>
      <c r="O1033" s="7" t="n"/>
      <c r="P1033" s="7" t="n"/>
      <c r="R1033" s="14" t="n"/>
      <c r="V1033">
        <f>IF($A1033="","",IF(COUNTIF($A$2:$A1033,$A1033)=1,1,0))</f>
        <v/>
      </c>
      <c r="W1033">
        <f>IF($V1033=1,SUMPRODUCT(--($Y$2:$Y$1501&lt;$Y1033))+1,"")</f>
        <v/>
      </c>
      <c r="X1033">
        <f>IF($A1033="","",IF(OR($T1033=TRUE(),$T1033="TRUE"),1,0))</f>
        <v/>
      </c>
      <c r="Y1033">
        <f>IF($V1033=1,IFERROR(IF(VALUE($A1033)&lt;100000000,VALUE($A1033),1000000000),IFERROR(IF(VALUE(MID($A1033,2,20))&lt;100000000,VALUE(MID($A1033,2,20)),1000000000),1000000000))+ROW()/100000,"")</f>
        <v/>
      </c>
    </row>
    <row r="1034">
      <c r="F1034" s="7">
        <f>IF($A1034="","",E1034*L1034/100)</f>
        <v/>
      </c>
      <c r="J1034" s="7" t="n"/>
      <c r="K1034" s="7">
        <f>IF($A1034="","",N1034*U1034/100)</f>
        <v/>
      </c>
      <c r="L1034" s="7">
        <f>IF($A1034="","",N1034-K1034)</f>
        <v/>
      </c>
      <c r="M1034" s="7">
        <f>IF($A1034="","",L1034-F1034)</f>
        <v/>
      </c>
      <c r="N1034" s="7" t="n"/>
      <c r="O1034" s="7" t="n"/>
      <c r="P1034" s="7" t="n"/>
      <c r="R1034" s="14" t="n"/>
      <c r="V1034">
        <f>IF($A1034="","",IF(COUNTIF($A$2:$A1034,$A1034)=1,1,0))</f>
        <v/>
      </c>
      <c r="W1034">
        <f>IF($V1034=1,SUMPRODUCT(--($Y$2:$Y$1501&lt;$Y1034))+1,"")</f>
        <v/>
      </c>
      <c r="X1034">
        <f>IF($A1034="","",IF(OR($T1034=TRUE(),$T1034="TRUE"),1,0))</f>
        <v/>
      </c>
      <c r="Y1034">
        <f>IF($V1034=1,IFERROR(IF(VALUE($A1034)&lt;100000000,VALUE($A1034),1000000000),IFERROR(IF(VALUE(MID($A1034,2,20))&lt;100000000,VALUE(MID($A1034,2,20)),1000000000),1000000000))+ROW()/100000,"")</f>
        <v/>
      </c>
    </row>
    <row r="1035">
      <c r="F1035" s="7">
        <f>IF($A1035="","",E1035*L1035/100)</f>
        <v/>
      </c>
      <c r="J1035" s="7" t="n"/>
      <c r="K1035" s="7">
        <f>IF($A1035="","",N1035*U1035/100)</f>
        <v/>
      </c>
      <c r="L1035" s="7">
        <f>IF($A1035="","",N1035-K1035)</f>
        <v/>
      </c>
      <c r="M1035" s="7">
        <f>IF($A1035="","",L1035-F1035)</f>
        <v/>
      </c>
      <c r="N1035" s="7" t="n"/>
      <c r="O1035" s="7" t="n"/>
      <c r="P1035" s="7" t="n"/>
      <c r="R1035" s="14" t="n"/>
      <c r="V1035">
        <f>IF($A1035="","",IF(COUNTIF($A$2:$A1035,$A1035)=1,1,0))</f>
        <v/>
      </c>
      <c r="W1035">
        <f>IF($V1035=1,SUMPRODUCT(--($Y$2:$Y$1501&lt;$Y1035))+1,"")</f>
        <v/>
      </c>
      <c r="X1035">
        <f>IF($A1035="","",IF(OR($T1035=TRUE(),$T1035="TRUE"),1,0))</f>
        <v/>
      </c>
      <c r="Y1035">
        <f>IF($V1035=1,IFERROR(IF(VALUE($A1035)&lt;100000000,VALUE($A1035),1000000000),IFERROR(IF(VALUE(MID($A1035,2,20))&lt;100000000,VALUE(MID($A1035,2,20)),1000000000),1000000000))+ROW()/100000,"")</f>
        <v/>
      </c>
    </row>
    <row r="1036">
      <c r="F1036" s="7">
        <f>IF($A1036="","",E1036*L1036/100)</f>
        <v/>
      </c>
      <c r="J1036" s="7" t="n"/>
      <c r="K1036" s="7">
        <f>IF($A1036="","",N1036*U1036/100)</f>
        <v/>
      </c>
      <c r="L1036" s="7">
        <f>IF($A1036="","",N1036-K1036)</f>
        <v/>
      </c>
      <c r="M1036" s="7">
        <f>IF($A1036="","",L1036-F1036)</f>
        <v/>
      </c>
      <c r="N1036" s="7" t="n"/>
      <c r="O1036" s="7" t="n"/>
      <c r="P1036" s="7" t="n"/>
      <c r="R1036" s="14" t="n"/>
      <c r="V1036">
        <f>IF($A1036="","",IF(COUNTIF($A$2:$A1036,$A1036)=1,1,0))</f>
        <v/>
      </c>
      <c r="W1036">
        <f>IF($V1036=1,SUMPRODUCT(--($Y$2:$Y$1501&lt;$Y1036))+1,"")</f>
        <v/>
      </c>
      <c r="X1036">
        <f>IF($A1036="","",IF(OR($T1036=TRUE(),$T1036="TRUE"),1,0))</f>
        <v/>
      </c>
      <c r="Y1036">
        <f>IF($V1036=1,IFERROR(IF(VALUE($A1036)&lt;100000000,VALUE($A1036),1000000000),IFERROR(IF(VALUE(MID($A1036,2,20))&lt;100000000,VALUE(MID($A1036,2,20)),1000000000),1000000000))+ROW()/100000,"")</f>
        <v/>
      </c>
    </row>
    <row r="1037">
      <c r="F1037" s="7">
        <f>IF($A1037="","",E1037*L1037/100)</f>
        <v/>
      </c>
      <c r="J1037" s="7" t="n"/>
      <c r="K1037" s="7">
        <f>IF($A1037="","",N1037*U1037/100)</f>
        <v/>
      </c>
      <c r="L1037" s="7">
        <f>IF($A1037="","",N1037-K1037)</f>
        <v/>
      </c>
      <c r="M1037" s="7">
        <f>IF($A1037="","",L1037-F1037)</f>
        <v/>
      </c>
      <c r="N1037" s="7" t="n"/>
      <c r="O1037" s="7" t="n"/>
      <c r="P1037" s="7" t="n"/>
      <c r="R1037" s="14" t="n"/>
      <c r="V1037">
        <f>IF($A1037="","",IF(COUNTIF($A$2:$A1037,$A1037)=1,1,0))</f>
        <v/>
      </c>
      <c r="W1037">
        <f>IF($V1037=1,SUMPRODUCT(--($Y$2:$Y$1501&lt;$Y1037))+1,"")</f>
        <v/>
      </c>
      <c r="X1037">
        <f>IF($A1037="","",IF(OR($T1037=TRUE(),$T1037="TRUE"),1,0))</f>
        <v/>
      </c>
      <c r="Y1037">
        <f>IF($V1037=1,IFERROR(IF(VALUE($A1037)&lt;100000000,VALUE($A1037),1000000000),IFERROR(IF(VALUE(MID($A1037,2,20))&lt;100000000,VALUE(MID($A1037,2,20)),1000000000),1000000000))+ROW()/100000,"")</f>
        <v/>
      </c>
    </row>
    <row r="1038">
      <c r="F1038" s="7">
        <f>IF($A1038="","",E1038*L1038/100)</f>
        <v/>
      </c>
      <c r="J1038" s="7" t="n"/>
      <c r="K1038" s="7">
        <f>IF($A1038="","",N1038*U1038/100)</f>
        <v/>
      </c>
      <c r="L1038" s="7">
        <f>IF($A1038="","",N1038-K1038)</f>
        <v/>
      </c>
      <c r="M1038" s="7">
        <f>IF($A1038="","",L1038-F1038)</f>
        <v/>
      </c>
      <c r="N1038" s="7" t="n"/>
      <c r="O1038" s="7" t="n"/>
      <c r="P1038" s="7" t="n"/>
      <c r="R1038" s="14" t="n"/>
      <c r="V1038">
        <f>IF($A1038="","",IF(COUNTIF($A$2:$A1038,$A1038)=1,1,0))</f>
        <v/>
      </c>
      <c r="W1038">
        <f>IF($V1038=1,SUMPRODUCT(--($Y$2:$Y$1501&lt;$Y1038))+1,"")</f>
        <v/>
      </c>
      <c r="X1038">
        <f>IF($A1038="","",IF(OR($T1038=TRUE(),$T1038="TRUE"),1,0))</f>
        <v/>
      </c>
      <c r="Y1038">
        <f>IF($V1038=1,IFERROR(IF(VALUE($A1038)&lt;100000000,VALUE($A1038),1000000000),IFERROR(IF(VALUE(MID($A1038,2,20))&lt;100000000,VALUE(MID($A1038,2,20)),1000000000),1000000000))+ROW()/100000,"")</f>
        <v/>
      </c>
    </row>
    <row r="1039">
      <c r="F1039" s="7">
        <f>IF($A1039="","",E1039*L1039/100)</f>
        <v/>
      </c>
      <c r="J1039" s="7" t="n"/>
      <c r="K1039" s="7">
        <f>IF($A1039="","",N1039*U1039/100)</f>
        <v/>
      </c>
      <c r="L1039" s="7">
        <f>IF($A1039="","",N1039-K1039)</f>
        <v/>
      </c>
      <c r="M1039" s="7">
        <f>IF($A1039="","",L1039-F1039)</f>
        <v/>
      </c>
      <c r="N1039" s="7" t="n"/>
      <c r="O1039" s="7" t="n"/>
      <c r="P1039" s="7" t="n"/>
      <c r="R1039" s="14" t="n"/>
      <c r="V1039">
        <f>IF($A1039="","",IF(COUNTIF($A$2:$A1039,$A1039)=1,1,0))</f>
        <v/>
      </c>
      <c r="W1039">
        <f>IF($V1039=1,SUMPRODUCT(--($Y$2:$Y$1501&lt;$Y1039))+1,"")</f>
        <v/>
      </c>
      <c r="X1039">
        <f>IF($A1039="","",IF(OR($T1039=TRUE(),$T1039="TRUE"),1,0))</f>
        <v/>
      </c>
      <c r="Y1039">
        <f>IF($V1039=1,IFERROR(IF(VALUE($A1039)&lt;100000000,VALUE($A1039),1000000000),IFERROR(IF(VALUE(MID($A1039,2,20))&lt;100000000,VALUE(MID($A1039,2,20)),1000000000),1000000000))+ROW()/100000,"")</f>
        <v/>
      </c>
    </row>
    <row r="1040">
      <c r="F1040" s="7">
        <f>IF($A1040="","",E1040*L1040/100)</f>
        <v/>
      </c>
      <c r="J1040" s="7" t="n"/>
      <c r="K1040" s="7">
        <f>IF($A1040="","",N1040*U1040/100)</f>
        <v/>
      </c>
      <c r="L1040" s="7">
        <f>IF($A1040="","",N1040-K1040)</f>
        <v/>
      </c>
      <c r="M1040" s="7">
        <f>IF($A1040="","",L1040-F1040)</f>
        <v/>
      </c>
      <c r="N1040" s="7" t="n"/>
      <c r="O1040" s="7" t="n"/>
      <c r="P1040" s="7" t="n"/>
      <c r="R1040" s="14" t="n"/>
      <c r="V1040">
        <f>IF($A1040="","",IF(COUNTIF($A$2:$A1040,$A1040)=1,1,0))</f>
        <v/>
      </c>
      <c r="W1040">
        <f>IF($V1040=1,SUMPRODUCT(--($Y$2:$Y$1501&lt;$Y1040))+1,"")</f>
        <v/>
      </c>
      <c r="X1040">
        <f>IF($A1040="","",IF(OR($T1040=TRUE(),$T1040="TRUE"),1,0))</f>
        <v/>
      </c>
      <c r="Y1040">
        <f>IF($V1040=1,IFERROR(IF(VALUE($A1040)&lt;100000000,VALUE($A1040),1000000000),IFERROR(IF(VALUE(MID($A1040,2,20))&lt;100000000,VALUE(MID($A1040,2,20)),1000000000),1000000000))+ROW()/100000,"")</f>
        <v/>
      </c>
    </row>
    <row r="1041">
      <c r="F1041" s="7">
        <f>IF($A1041="","",E1041*L1041/100)</f>
        <v/>
      </c>
      <c r="J1041" s="7" t="n"/>
      <c r="K1041" s="7">
        <f>IF($A1041="","",N1041*U1041/100)</f>
        <v/>
      </c>
      <c r="L1041" s="7">
        <f>IF($A1041="","",N1041-K1041)</f>
        <v/>
      </c>
      <c r="M1041" s="7">
        <f>IF($A1041="","",L1041-F1041)</f>
        <v/>
      </c>
      <c r="N1041" s="7" t="n"/>
      <c r="O1041" s="7" t="n"/>
      <c r="P1041" s="7" t="n"/>
      <c r="R1041" s="14" t="n"/>
      <c r="V1041">
        <f>IF($A1041="","",IF(COUNTIF($A$2:$A1041,$A1041)=1,1,0))</f>
        <v/>
      </c>
      <c r="W1041">
        <f>IF($V1041=1,SUMPRODUCT(--($Y$2:$Y$1501&lt;$Y1041))+1,"")</f>
        <v/>
      </c>
      <c r="X1041">
        <f>IF($A1041="","",IF(OR($T1041=TRUE(),$T1041="TRUE"),1,0))</f>
        <v/>
      </c>
      <c r="Y1041">
        <f>IF($V1041=1,IFERROR(IF(VALUE($A1041)&lt;100000000,VALUE($A1041),1000000000),IFERROR(IF(VALUE(MID($A1041,2,20))&lt;100000000,VALUE(MID($A1041,2,20)),1000000000),1000000000))+ROW()/100000,"")</f>
        <v/>
      </c>
    </row>
    <row r="1042">
      <c r="F1042" s="7">
        <f>IF($A1042="","",E1042*L1042/100)</f>
        <v/>
      </c>
      <c r="J1042" s="7" t="n"/>
      <c r="K1042" s="7">
        <f>IF($A1042="","",N1042*U1042/100)</f>
        <v/>
      </c>
      <c r="L1042" s="7">
        <f>IF($A1042="","",N1042-K1042)</f>
        <v/>
      </c>
      <c r="M1042" s="7">
        <f>IF($A1042="","",L1042-F1042)</f>
        <v/>
      </c>
      <c r="N1042" s="7" t="n"/>
      <c r="O1042" s="7" t="n"/>
      <c r="P1042" s="7" t="n"/>
      <c r="R1042" s="14" t="n"/>
      <c r="V1042">
        <f>IF($A1042="","",IF(COUNTIF($A$2:$A1042,$A1042)=1,1,0))</f>
        <v/>
      </c>
      <c r="W1042">
        <f>IF($V1042=1,SUMPRODUCT(--($Y$2:$Y$1501&lt;$Y1042))+1,"")</f>
        <v/>
      </c>
      <c r="X1042">
        <f>IF($A1042="","",IF(OR($T1042=TRUE(),$T1042="TRUE"),1,0))</f>
        <v/>
      </c>
      <c r="Y1042">
        <f>IF($V1042=1,IFERROR(IF(VALUE($A1042)&lt;100000000,VALUE($A1042),1000000000),IFERROR(IF(VALUE(MID($A1042,2,20))&lt;100000000,VALUE(MID($A1042,2,20)),1000000000),1000000000))+ROW()/100000,"")</f>
        <v/>
      </c>
    </row>
    <row r="1043">
      <c r="F1043" s="7">
        <f>IF($A1043="","",E1043*L1043/100)</f>
        <v/>
      </c>
      <c r="J1043" s="7" t="n"/>
      <c r="K1043" s="7">
        <f>IF($A1043="","",N1043*U1043/100)</f>
        <v/>
      </c>
      <c r="L1043" s="7">
        <f>IF($A1043="","",N1043-K1043)</f>
        <v/>
      </c>
      <c r="M1043" s="7">
        <f>IF($A1043="","",L1043-F1043)</f>
        <v/>
      </c>
      <c r="N1043" s="7" t="n"/>
      <c r="O1043" s="7" t="n"/>
      <c r="P1043" s="7" t="n"/>
      <c r="R1043" s="14" t="n"/>
      <c r="V1043">
        <f>IF($A1043="","",IF(COUNTIF($A$2:$A1043,$A1043)=1,1,0))</f>
        <v/>
      </c>
      <c r="W1043">
        <f>IF($V1043=1,SUMPRODUCT(--($Y$2:$Y$1501&lt;$Y1043))+1,"")</f>
        <v/>
      </c>
      <c r="X1043">
        <f>IF($A1043="","",IF(OR($T1043=TRUE(),$T1043="TRUE"),1,0))</f>
        <v/>
      </c>
      <c r="Y1043">
        <f>IF($V1043=1,IFERROR(IF(VALUE($A1043)&lt;100000000,VALUE($A1043),1000000000),IFERROR(IF(VALUE(MID($A1043,2,20))&lt;100000000,VALUE(MID($A1043,2,20)),1000000000),1000000000))+ROW()/100000,"")</f>
        <v/>
      </c>
    </row>
    <row r="1044">
      <c r="F1044" s="7">
        <f>IF($A1044="","",E1044*L1044/100)</f>
        <v/>
      </c>
      <c r="J1044" s="7" t="n"/>
      <c r="K1044" s="7">
        <f>IF($A1044="","",N1044*U1044/100)</f>
        <v/>
      </c>
      <c r="L1044" s="7">
        <f>IF($A1044="","",N1044-K1044)</f>
        <v/>
      </c>
      <c r="M1044" s="7">
        <f>IF($A1044="","",L1044-F1044)</f>
        <v/>
      </c>
      <c r="N1044" s="7" t="n"/>
      <c r="O1044" s="7" t="n"/>
      <c r="P1044" s="7" t="n"/>
      <c r="R1044" s="14" t="n"/>
      <c r="V1044">
        <f>IF($A1044="","",IF(COUNTIF($A$2:$A1044,$A1044)=1,1,0))</f>
        <v/>
      </c>
      <c r="W1044">
        <f>IF($V1044=1,SUMPRODUCT(--($Y$2:$Y$1501&lt;$Y1044))+1,"")</f>
        <v/>
      </c>
      <c r="X1044">
        <f>IF($A1044="","",IF(OR($T1044=TRUE(),$T1044="TRUE"),1,0))</f>
        <v/>
      </c>
      <c r="Y1044">
        <f>IF($V1044=1,IFERROR(IF(VALUE($A1044)&lt;100000000,VALUE($A1044),1000000000),IFERROR(IF(VALUE(MID($A1044,2,20))&lt;100000000,VALUE(MID($A1044,2,20)),1000000000),1000000000))+ROW()/100000,"")</f>
        <v/>
      </c>
    </row>
    <row r="1045">
      <c r="F1045" s="7">
        <f>IF($A1045="","",E1045*L1045/100)</f>
        <v/>
      </c>
      <c r="J1045" s="7" t="n"/>
      <c r="K1045" s="7">
        <f>IF($A1045="","",N1045*U1045/100)</f>
        <v/>
      </c>
      <c r="L1045" s="7">
        <f>IF($A1045="","",N1045-K1045)</f>
        <v/>
      </c>
      <c r="M1045" s="7">
        <f>IF($A1045="","",L1045-F1045)</f>
        <v/>
      </c>
      <c r="N1045" s="7" t="n"/>
      <c r="O1045" s="7" t="n"/>
      <c r="P1045" s="7" t="n"/>
      <c r="R1045" s="14" t="n"/>
      <c r="V1045">
        <f>IF($A1045="","",IF(COUNTIF($A$2:$A1045,$A1045)=1,1,0))</f>
        <v/>
      </c>
      <c r="W1045">
        <f>IF($V1045=1,SUMPRODUCT(--($Y$2:$Y$1501&lt;$Y1045))+1,"")</f>
        <v/>
      </c>
      <c r="X1045">
        <f>IF($A1045="","",IF(OR($T1045=TRUE(),$T1045="TRUE"),1,0))</f>
        <v/>
      </c>
      <c r="Y1045">
        <f>IF($V1045=1,IFERROR(IF(VALUE($A1045)&lt;100000000,VALUE($A1045),1000000000),IFERROR(IF(VALUE(MID($A1045,2,20))&lt;100000000,VALUE(MID($A1045,2,20)),1000000000),1000000000))+ROW()/100000,"")</f>
        <v/>
      </c>
    </row>
    <row r="1046">
      <c r="F1046" s="7">
        <f>IF($A1046="","",E1046*L1046/100)</f>
        <v/>
      </c>
      <c r="J1046" s="7" t="n"/>
      <c r="K1046" s="7">
        <f>IF($A1046="","",N1046*U1046/100)</f>
        <v/>
      </c>
      <c r="L1046" s="7">
        <f>IF($A1046="","",N1046-K1046)</f>
        <v/>
      </c>
      <c r="M1046" s="7">
        <f>IF($A1046="","",L1046-F1046)</f>
        <v/>
      </c>
      <c r="N1046" s="7" t="n"/>
      <c r="O1046" s="7" t="n"/>
      <c r="P1046" s="7" t="n"/>
      <c r="R1046" s="14" t="n"/>
      <c r="V1046">
        <f>IF($A1046="","",IF(COUNTIF($A$2:$A1046,$A1046)=1,1,0))</f>
        <v/>
      </c>
      <c r="W1046">
        <f>IF($V1046=1,SUMPRODUCT(--($Y$2:$Y$1501&lt;$Y1046))+1,"")</f>
        <v/>
      </c>
      <c r="X1046">
        <f>IF($A1046="","",IF(OR($T1046=TRUE(),$T1046="TRUE"),1,0))</f>
        <v/>
      </c>
      <c r="Y1046">
        <f>IF($V1046=1,IFERROR(IF(VALUE($A1046)&lt;100000000,VALUE($A1046),1000000000),IFERROR(IF(VALUE(MID($A1046,2,20))&lt;100000000,VALUE(MID($A1046,2,20)),1000000000),1000000000))+ROW()/100000,"")</f>
        <v/>
      </c>
    </row>
    <row r="1047">
      <c r="F1047" s="7">
        <f>IF($A1047="","",E1047*L1047/100)</f>
        <v/>
      </c>
      <c r="J1047" s="7" t="n"/>
      <c r="K1047" s="7">
        <f>IF($A1047="","",N1047*U1047/100)</f>
        <v/>
      </c>
      <c r="L1047" s="7">
        <f>IF($A1047="","",N1047-K1047)</f>
        <v/>
      </c>
      <c r="M1047" s="7">
        <f>IF($A1047="","",L1047-F1047)</f>
        <v/>
      </c>
      <c r="N1047" s="7" t="n"/>
      <c r="O1047" s="7" t="n"/>
      <c r="P1047" s="7" t="n"/>
      <c r="R1047" s="14" t="n"/>
      <c r="V1047">
        <f>IF($A1047="","",IF(COUNTIF($A$2:$A1047,$A1047)=1,1,0))</f>
        <v/>
      </c>
      <c r="W1047">
        <f>IF($V1047=1,SUMPRODUCT(--($Y$2:$Y$1501&lt;$Y1047))+1,"")</f>
        <v/>
      </c>
      <c r="X1047">
        <f>IF($A1047="","",IF(OR($T1047=TRUE(),$T1047="TRUE"),1,0))</f>
        <v/>
      </c>
      <c r="Y1047">
        <f>IF($V1047=1,IFERROR(IF(VALUE($A1047)&lt;100000000,VALUE($A1047),1000000000),IFERROR(IF(VALUE(MID($A1047,2,20))&lt;100000000,VALUE(MID($A1047,2,20)),1000000000),1000000000))+ROW()/100000,"")</f>
        <v/>
      </c>
    </row>
    <row r="1048">
      <c r="F1048" s="7">
        <f>IF($A1048="","",E1048*L1048/100)</f>
        <v/>
      </c>
      <c r="J1048" s="7" t="n"/>
      <c r="K1048" s="7">
        <f>IF($A1048="","",N1048*U1048/100)</f>
        <v/>
      </c>
      <c r="L1048" s="7">
        <f>IF($A1048="","",N1048-K1048)</f>
        <v/>
      </c>
      <c r="M1048" s="7">
        <f>IF($A1048="","",L1048-F1048)</f>
        <v/>
      </c>
      <c r="N1048" s="7" t="n"/>
      <c r="O1048" s="7" t="n"/>
      <c r="P1048" s="7" t="n"/>
      <c r="R1048" s="14" t="n"/>
      <c r="V1048">
        <f>IF($A1048="","",IF(COUNTIF($A$2:$A1048,$A1048)=1,1,0))</f>
        <v/>
      </c>
      <c r="W1048">
        <f>IF($V1048=1,SUMPRODUCT(--($Y$2:$Y$1501&lt;$Y1048))+1,"")</f>
        <v/>
      </c>
      <c r="X1048">
        <f>IF($A1048="","",IF(OR($T1048=TRUE(),$T1048="TRUE"),1,0))</f>
        <v/>
      </c>
      <c r="Y1048">
        <f>IF($V1048=1,IFERROR(IF(VALUE($A1048)&lt;100000000,VALUE($A1048),1000000000),IFERROR(IF(VALUE(MID($A1048,2,20))&lt;100000000,VALUE(MID($A1048,2,20)),1000000000),1000000000))+ROW()/100000,"")</f>
        <v/>
      </c>
    </row>
    <row r="1049">
      <c r="F1049" s="7">
        <f>IF($A1049="","",E1049*L1049/100)</f>
        <v/>
      </c>
      <c r="J1049" s="7" t="n"/>
      <c r="K1049" s="7">
        <f>IF($A1049="","",N1049*U1049/100)</f>
        <v/>
      </c>
      <c r="L1049" s="7">
        <f>IF($A1049="","",N1049-K1049)</f>
        <v/>
      </c>
      <c r="M1049" s="7">
        <f>IF($A1049="","",L1049-F1049)</f>
        <v/>
      </c>
      <c r="N1049" s="7" t="n"/>
      <c r="O1049" s="7" t="n"/>
      <c r="P1049" s="7" t="n"/>
      <c r="R1049" s="14" t="n"/>
      <c r="V1049">
        <f>IF($A1049="","",IF(COUNTIF($A$2:$A1049,$A1049)=1,1,0))</f>
        <v/>
      </c>
      <c r="W1049">
        <f>IF($V1049=1,SUMPRODUCT(--($Y$2:$Y$1501&lt;$Y1049))+1,"")</f>
        <v/>
      </c>
      <c r="X1049">
        <f>IF($A1049="","",IF(OR($T1049=TRUE(),$T1049="TRUE"),1,0))</f>
        <v/>
      </c>
      <c r="Y1049">
        <f>IF($V1049=1,IFERROR(IF(VALUE($A1049)&lt;100000000,VALUE($A1049),1000000000),IFERROR(IF(VALUE(MID($A1049,2,20))&lt;100000000,VALUE(MID($A1049,2,20)),1000000000),1000000000))+ROW()/100000,"")</f>
        <v/>
      </c>
    </row>
    <row r="1050">
      <c r="F1050" s="7">
        <f>IF($A1050="","",E1050*L1050/100)</f>
        <v/>
      </c>
      <c r="J1050" s="7" t="n"/>
      <c r="K1050" s="7">
        <f>IF($A1050="","",N1050*U1050/100)</f>
        <v/>
      </c>
      <c r="L1050" s="7">
        <f>IF($A1050="","",N1050-K1050)</f>
        <v/>
      </c>
      <c r="M1050" s="7">
        <f>IF($A1050="","",L1050-F1050)</f>
        <v/>
      </c>
      <c r="N1050" s="7" t="n"/>
      <c r="O1050" s="7" t="n"/>
      <c r="P1050" s="7" t="n"/>
      <c r="R1050" s="14" t="n"/>
      <c r="V1050">
        <f>IF($A1050="","",IF(COUNTIF($A$2:$A1050,$A1050)=1,1,0))</f>
        <v/>
      </c>
      <c r="W1050">
        <f>IF($V1050=1,SUMPRODUCT(--($Y$2:$Y$1501&lt;$Y1050))+1,"")</f>
        <v/>
      </c>
      <c r="X1050">
        <f>IF($A1050="","",IF(OR($T1050=TRUE(),$T1050="TRUE"),1,0))</f>
        <v/>
      </c>
      <c r="Y1050">
        <f>IF($V1050=1,IFERROR(IF(VALUE($A1050)&lt;100000000,VALUE($A1050),1000000000),IFERROR(IF(VALUE(MID($A1050,2,20))&lt;100000000,VALUE(MID($A1050,2,20)),1000000000),1000000000))+ROW()/100000,"")</f>
        <v/>
      </c>
    </row>
    <row r="1051">
      <c r="F1051" s="7">
        <f>IF($A1051="","",E1051*L1051/100)</f>
        <v/>
      </c>
      <c r="J1051" s="7" t="n"/>
      <c r="K1051" s="7">
        <f>IF($A1051="","",N1051*U1051/100)</f>
        <v/>
      </c>
      <c r="L1051" s="7">
        <f>IF($A1051="","",N1051-K1051)</f>
        <v/>
      </c>
      <c r="M1051" s="7">
        <f>IF($A1051="","",L1051-F1051)</f>
        <v/>
      </c>
      <c r="N1051" s="7" t="n"/>
      <c r="O1051" s="7" t="n"/>
      <c r="P1051" s="7" t="n"/>
      <c r="R1051" s="14" t="n"/>
      <c r="V1051">
        <f>IF($A1051="","",IF(COUNTIF($A$2:$A1051,$A1051)=1,1,0))</f>
        <v/>
      </c>
      <c r="W1051">
        <f>IF($V1051=1,SUMPRODUCT(--($Y$2:$Y$1501&lt;$Y1051))+1,"")</f>
        <v/>
      </c>
      <c r="X1051">
        <f>IF($A1051="","",IF(OR($T1051=TRUE(),$T1051="TRUE"),1,0))</f>
        <v/>
      </c>
      <c r="Y1051">
        <f>IF($V1051=1,IFERROR(IF(VALUE($A1051)&lt;100000000,VALUE($A1051),1000000000),IFERROR(IF(VALUE(MID($A1051,2,20))&lt;100000000,VALUE(MID($A1051,2,20)),1000000000),1000000000))+ROW()/100000,"")</f>
        <v/>
      </c>
    </row>
    <row r="1052">
      <c r="F1052" s="7">
        <f>IF($A1052="","",E1052*L1052/100)</f>
        <v/>
      </c>
      <c r="J1052" s="7" t="n"/>
      <c r="K1052" s="7">
        <f>IF($A1052="","",N1052*U1052/100)</f>
        <v/>
      </c>
      <c r="L1052" s="7">
        <f>IF($A1052="","",N1052-K1052)</f>
        <v/>
      </c>
      <c r="M1052" s="7">
        <f>IF($A1052="","",L1052-F1052)</f>
        <v/>
      </c>
      <c r="N1052" s="7" t="n"/>
      <c r="O1052" s="7" t="n"/>
      <c r="P1052" s="7" t="n"/>
      <c r="R1052" s="14" t="n"/>
      <c r="V1052">
        <f>IF($A1052="","",IF(COUNTIF($A$2:$A1052,$A1052)=1,1,0))</f>
        <v/>
      </c>
      <c r="W1052">
        <f>IF($V1052=1,SUMPRODUCT(--($Y$2:$Y$1501&lt;$Y1052))+1,"")</f>
        <v/>
      </c>
      <c r="X1052">
        <f>IF($A1052="","",IF(OR($T1052=TRUE(),$T1052="TRUE"),1,0))</f>
        <v/>
      </c>
      <c r="Y1052">
        <f>IF($V1052=1,IFERROR(IF(VALUE($A1052)&lt;100000000,VALUE($A1052),1000000000),IFERROR(IF(VALUE(MID($A1052,2,20))&lt;100000000,VALUE(MID($A1052,2,20)),1000000000),1000000000))+ROW()/100000,"")</f>
        <v/>
      </c>
    </row>
    <row r="1053">
      <c r="F1053" s="7">
        <f>IF($A1053="","",E1053*L1053/100)</f>
        <v/>
      </c>
      <c r="J1053" s="7" t="n"/>
      <c r="K1053" s="7">
        <f>IF($A1053="","",N1053*U1053/100)</f>
        <v/>
      </c>
      <c r="L1053" s="7">
        <f>IF($A1053="","",N1053-K1053)</f>
        <v/>
      </c>
      <c r="M1053" s="7">
        <f>IF($A1053="","",L1053-F1053)</f>
        <v/>
      </c>
      <c r="N1053" s="7" t="n"/>
      <c r="O1053" s="7" t="n"/>
      <c r="P1053" s="7" t="n"/>
      <c r="R1053" s="14" t="n"/>
      <c r="V1053">
        <f>IF($A1053="","",IF(COUNTIF($A$2:$A1053,$A1053)=1,1,0))</f>
        <v/>
      </c>
      <c r="W1053">
        <f>IF($V1053=1,SUMPRODUCT(--($Y$2:$Y$1501&lt;$Y1053))+1,"")</f>
        <v/>
      </c>
      <c r="X1053">
        <f>IF($A1053="","",IF(OR($T1053=TRUE(),$T1053="TRUE"),1,0))</f>
        <v/>
      </c>
      <c r="Y1053">
        <f>IF($V1053=1,IFERROR(IF(VALUE($A1053)&lt;100000000,VALUE($A1053),1000000000),IFERROR(IF(VALUE(MID($A1053,2,20))&lt;100000000,VALUE(MID($A1053,2,20)),1000000000),1000000000))+ROW()/100000,"")</f>
        <v/>
      </c>
    </row>
    <row r="1054">
      <c r="F1054" s="7">
        <f>IF($A1054="","",E1054*L1054/100)</f>
        <v/>
      </c>
      <c r="J1054" s="7" t="n"/>
      <c r="K1054" s="7">
        <f>IF($A1054="","",N1054*U1054/100)</f>
        <v/>
      </c>
      <c r="L1054" s="7">
        <f>IF($A1054="","",N1054-K1054)</f>
        <v/>
      </c>
      <c r="M1054" s="7">
        <f>IF($A1054="","",L1054-F1054)</f>
        <v/>
      </c>
      <c r="N1054" s="7" t="n"/>
      <c r="O1054" s="7" t="n"/>
      <c r="P1054" s="7" t="n"/>
      <c r="R1054" s="14" t="n"/>
      <c r="V1054">
        <f>IF($A1054="","",IF(COUNTIF($A$2:$A1054,$A1054)=1,1,0))</f>
        <v/>
      </c>
      <c r="W1054">
        <f>IF($V1054=1,SUMPRODUCT(--($Y$2:$Y$1501&lt;$Y1054))+1,"")</f>
        <v/>
      </c>
      <c r="X1054">
        <f>IF($A1054="","",IF(OR($T1054=TRUE(),$T1054="TRUE"),1,0))</f>
        <v/>
      </c>
      <c r="Y1054">
        <f>IF($V1054=1,IFERROR(IF(VALUE($A1054)&lt;100000000,VALUE($A1054),1000000000),IFERROR(IF(VALUE(MID($A1054,2,20))&lt;100000000,VALUE(MID($A1054,2,20)),1000000000),1000000000))+ROW()/100000,"")</f>
        <v/>
      </c>
    </row>
    <row r="1055">
      <c r="F1055" s="7">
        <f>IF($A1055="","",E1055*L1055/100)</f>
        <v/>
      </c>
      <c r="J1055" s="7" t="n"/>
      <c r="K1055" s="7">
        <f>IF($A1055="","",N1055*U1055/100)</f>
        <v/>
      </c>
      <c r="L1055" s="7">
        <f>IF($A1055="","",N1055-K1055)</f>
        <v/>
      </c>
      <c r="M1055" s="7">
        <f>IF($A1055="","",L1055-F1055)</f>
        <v/>
      </c>
      <c r="N1055" s="7" t="n"/>
      <c r="O1055" s="7" t="n"/>
      <c r="P1055" s="7" t="n"/>
      <c r="R1055" s="14" t="n"/>
      <c r="V1055">
        <f>IF($A1055="","",IF(COUNTIF($A$2:$A1055,$A1055)=1,1,0))</f>
        <v/>
      </c>
      <c r="W1055">
        <f>IF($V1055=1,SUMPRODUCT(--($Y$2:$Y$1501&lt;$Y1055))+1,"")</f>
        <v/>
      </c>
      <c r="X1055">
        <f>IF($A1055="","",IF(OR($T1055=TRUE(),$T1055="TRUE"),1,0))</f>
        <v/>
      </c>
      <c r="Y1055">
        <f>IF($V1055=1,IFERROR(IF(VALUE($A1055)&lt;100000000,VALUE($A1055),1000000000),IFERROR(IF(VALUE(MID($A1055,2,20))&lt;100000000,VALUE(MID($A1055,2,20)),1000000000),1000000000))+ROW()/100000,"")</f>
        <v/>
      </c>
    </row>
    <row r="1056">
      <c r="F1056" s="7">
        <f>IF($A1056="","",E1056*L1056/100)</f>
        <v/>
      </c>
      <c r="J1056" s="7" t="n"/>
      <c r="K1056" s="7">
        <f>IF($A1056="","",N1056*U1056/100)</f>
        <v/>
      </c>
      <c r="L1056" s="7">
        <f>IF($A1056="","",N1056-K1056)</f>
        <v/>
      </c>
      <c r="M1056" s="7">
        <f>IF($A1056="","",L1056-F1056)</f>
        <v/>
      </c>
      <c r="N1056" s="7" t="n"/>
      <c r="O1056" s="7" t="n"/>
      <c r="P1056" s="7" t="n"/>
      <c r="R1056" s="14" t="n"/>
      <c r="V1056">
        <f>IF($A1056="","",IF(COUNTIF($A$2:$A1056,$A1056)=1,1,0))</f>
        <v/>
      </c>
      <c r="W1056">
        <f>IF($V1056=1,SUMPRODUCT(--($Y$2:$Y$1501&lt;$Y1056))+1,"")</f>
        <v/>
      </c>
      <c r="X1056">
        <f>IF($A1056="","",IF(OR($T1056=TRUE(),$T1056="TRUE"),1,0))</f>
        <v/>
      </c>
      <c r="Y1056">
        <f>IF($V1056=1,IFERROR(IF(VALUE($A1056)&lt;100000000,VALUE($A1056),1000000000),IFERROR(IF(VALUE(MID($A1056,2,20))&lt;100000000,VALUE(MID($A1056,2,20)),1000000000),1000000000))+ROW()/100000,"")</f>
        <v/>
      </c>
    </row>
    <row r="1057">
      <c r="F1057" s="7">
        <f>IF($A1057="","",E1057*L1057/100)</f>
        <v/>
      </c>
      <c r="J1057" s="7" t="n"/>
      <c r="K1057" s="7">
        <f>IF($A1057="","",N1057*U1057/100)</f>
        <v/>
      </c>
      <c r="L1057" s="7">
        <f>IF($A1057="","",N1057-K1057)</f>
        <v/>
      </c>
      <c r="M1057" s="7">
        <f>IF($A1057="","",L1057-F1057)</f>
        <v/>
      </c>
      <c r="N1057" s="7" t="n"/>
      <c r="O1057" s="7" t="n"/>
      <c r="P1057" s="7" t="n"/>
      <c r="R1057" s="14" t="n"/>
      <c r="V1057">
        <f>IF($A1057="","",IF(COUNTIF($A$2:$A1057,$A1057)=1,1,0))</f>
        <v/>
      </c>
      <c r="W1057">
        <f>IF($V1057=1,SUMPRODUCT(--($Y$2:$Y$1501&lt;$Y1057))+1,"")</f>
        <v/>
      </c>
      <c r="X1057">
        <f>IF($A1057="","",IF(OR($T1057=TRUE(),$T1057="TRUE"),1,0))</f>
        <v/>
      </c>
      <c r="Y1057">
        <f>IF($V1057=1,IFERROR(IF(VALUE($A1057)&lt;100000000,VALUE($A1057),1000000000),IFERROR(IF(VALUE(MID($A1057,2,20))&lt;100000000,VALUE(MID($A1057,2,20)),1000000000),1000000000))+ROW()/100000,"")</f>
        <v/>
      </c>
    </row>
    <row r="1058">
      <c r="F1058" s="7">
        <f>IF($A1058="","",E1058*L1058/100)</f>
        <v/>
      </c>
      <c r="J1058" s="7" t="n"/>
      <c r="K1058" s="7">
        <f>IF($A1058="","",N1058*U1058/100)</f>
        <v/>
      </c>
      <c r="L1058" s="7">
        <f>IF($A1058="","",N1058-K1058)</f>
        <v/>
      </c>
      <c r="M1058" s="7">
        <f>IF($A1058="","",L1058-F1058)</f>
        <v/>
      </c>
      <c r="N1058" s="7" t="n"/>
      <c r="O1058" s="7" t="n"/>
      <c r="P1058" s="7" t="n"/>
      <c r="R1058" s="14" t="n"/>
      <c r="V1058">
        <f>IF($A1058="","",IF(COUNTIF($A$2:$A1058,$A1058)=1,1,0))</f>
        <v/>
      </c>
      <c r="W1058">
        <f>IF($V1058=1,SUMPRODUCT(--($Y$2:$Y$1501&lt;$Y1058))+1,"")</f>
        <v/>
      </c>
      <c r="X1058">
        <f>IF($A1058="","",IF(OR($T1058=TRUE(),$T1058="TRUE"),1,0))</f>
        <v/>
      </c>
      <c r="Y1058">
        <f>IF($V1058=1,IFERROR(IF(VALUE($A1058)&lt;100000000,VALUE($A1058),1000000000),IFERROR(IF(VALUE(MID($A1058,2,20))&lt;100000000,VALUE(MID($A1058,2,20)),1000000000),1000000000))+ROW()/100000,"")</f>
        <v/>
      </c>
    </row>
    <row r="1059">
      <c r="F1059" s="7">
        <f>IF($A1059="","",E1059*L1059/100)</f>
        <v/>
      </c>
      <c r="J1059" s="7" t="n"/>
      <c r="K1059" s="7">
        <f>IF($A1059="","",N1059*U1059/100)</f>
        <v/>
      </c>
      <c r="L1059" s="7">
        <f>IF($A1059="","",N1059-K1059)</f>
        <v/>
      </c>
      <c r="M1059" s="7">
        <f>IF($A1059="","",L1059-F1059)</f>
        <v/>
      </c>
      <c r="N1059" s="7" t="n"/>
      <c r="O1059" s="7" t="n"/>
      <c r="P1059" s="7" t="n"/>
      <c r="R1059" s="14" t="n"/>
      <c r="V1059">
        <f>IF($A1059="","",IF(COUNTIF($A$2:$A1059,$A1059)=1,1,0))</f>
        <v/>
      </c>
      <c r="W1059">
        <f>IF($V1059=1,SUMPRODUCT(--($Y$2:$Y$1501&lt;$Y1059))+1,"")</f>
        <v/>
      </c>
      <c r="X1059">
        <f>IF($A1059="","",IF(OR($T1059=TRUE(),$T1059="TRUE"),1,0))</f>
        <v/>
      </c>
      <c r="Y1059">
        <f>IF($V1059=1,IFERROR(IF(VALUE($A1059)&lt;100000000,VALUE($A1059),1000000000),IFERROR(IF(VALUE(MID($A1059,2,20))&lt;100000000,VALUE(MID($A1059,2,20)),1000000000),1000000000))+ROW()/100000,"")</f>
        <v/>
      </c>
    </row>
    <row r="1060">
      <c r="F1060" s="7">
        <f>IF($A1060="","",E1060*L1060/100)</f>
        <v/>
      </c>
      <c r="J1060" s="7" t="n"/>
      <c r="K1060" s="7">
        <f>IF($A1060="","",N1060*U1060/100)</f>
        <v/>
      </c>
      <c r="L1060" s="7">
        <f>IF($A1060="","",N1060-K1060)</f>
        <v/>
      </c>
      <c r="M1060" s="7">
        <f>IF($A1060="","",L1060-F1060)</f>
        <v/>
      </c>
      <c r="N1060" s="7" t="n"/>
      <c r="O1060" s="7" t="n"/>
      <c r="P1060" s="7" t="n"/>
      <c r="R1060" s="14" t="n"/>
      <c r="V1060">
        <f>IF($A1060="","",IF(COUNTIF($A$2:$A1060,$A1060)=1,1,0))</f>
        <v/>
      </c>
      <c r="W1060">
        <f>IF($V1060=1,SUMPRODUCT(--($Y$2:$Y$1501&lt;$Y1060))+1,"")</f>
        <v/>
      </c>
      <c r="X1060">
        <f>IF($A1060="","",IF(OR($T1060=TRUE(),$T1060="TRUE"),1,0))</f>
        <v/>
      </c>
      <c r="Y1060">
        <f>IF($V1060=1,IFERROR(IF(VALUE($A1060)&lt;100000000,VALUE($A1060),1000000000),IFERROR(IF(VALUE(MID($A1060,2,20))&lt;100000000,VALUE(MID($A1060,2,20)),1000000000),1000000000))+ROW()/100000,"")</f>
        <v/>
      </c>
    </row>
    <row r="1061">
      <c r="F1061" s="7">
        <f>IF($A1061="","",E1061*L1061/100)</f>
        <v/>
      </c>
      <c r="J1061" s="7" t="n"/>
      <c r="K1061" s="7">
        <f>IF($A1061="","",N1061*U1061/100)</f>
        <v/>
      </c>
      <c r="L1061" s="7">
        <f>IF($A1061="","",N1061-K1061)</f>
        <v/>
      </c>
      <c r="M1061" s="7">
        <f>IF($A1061="","",L1061-F1061)</f>
        <v/>
      </c>
      <c r="N1061" s="7" t="n"/>
      <c r="O1061" s="7" t="n"/>
      <c r="P1061" s="7" t="n"/>
      <c r="R1061" s="14" t="n"/>
      <c r="V1061">
        <f>IF($A1061="","",IF(COUNTIF($A$2:$A1061,$A1061)=1,1,0))</f>
        <v/>
      </c>
      <c r="W1061">
        <f>IF($V1061=1,SUMPRODUCT(--($Y$2:$Y$1501&lt;$Y1061))+1,"")</f>
        <v/>
      </c>
      <c r="X1061">
        <f>IF($A1061="","",IF(OR($T1061=TRUE(),$T1061="TRUE"),1,0))</f>
        <v/>
      </c>
      <c r="Y1061">
        <f>IF($V1061=1,IFERROR(IF(VALUE($A1061)&lt;100000000,VALUE($A1061),1000000000),IFERROR(IF(VALUE(MID($A1061,2,20))&lt;100000000,VALUE(MID($A1061,2,20)),1000000000),1000000000))+ROW()/100000,"")</f>
        <v/>
      </c>
    </row>
    <row r="1062">
      <c r="F1062" s="7">
        <f>IF($A1062="","",E1062*L1062/100)</f>
        <v/>
      </c>
      <c r="J1062" s="7" t="n"/>
      <c r="K1062" s="7">
        <f>IF($A1062="","",N1062*U1062/100)</f>
        <v/>
      </c>
      <c r="L1062" s="7">
        <f>IF($A1062="","",N1062-K1062)</f>
        <v/>
      </c>
      <c r="M1062" s="7">
        <f>IF($A1062="","",L1062-F1062)</f>
        <v/>
      </c>
      <c r="N1062" s="7" t="n"/>
      <c r="O1062" s="7" t="n"/>
      <c r="P1062" s="7" t="n"/>
      <c r="R1062" s="14" t="n"/>
      <c r="V1062">
        <f>IF($A1062="","",IF(COUNTIF($A$2:$A1062,$A1062)=1,1,0))</f>
        <v/>
      </c>
      <c r="W1062">
        <f>IF($V1062=1,SUMPRODUCT(--($Y$2:$Y$1501&lt;$Y1062))+1,"")</f>
        <v/>
      </c>
      <c r="X1062">
        <f>IF($A1062="","",IF(OR($T1062=TRUE(),$T1062="TRUE"),1,0))</f>
        <v/>
      </c>
      <c r="Y1062">
        <f>IF($V1062=1,IFERROR(IF(VALUE($A1062)&lt;100000000,VALUE($A1062),1000000000),IFERROR(IF(VALUE(MID($A1062,2,20))&lt;100000000,VALUE(MID($A1062,2,20)),1000000000),1000000000))+ROW()/100000,"")</f>
        <v/>
      </c>
    </row>
    <row r="1063">
      <c r="F1063" s="7">
        <f>IF($A1063="","",E1063*L1063/100)</f>
        <v/>
      </c>
      <c r="J1063" s="7" t="n"/>
      <c r="K1063" s="7">
        <f>IF($A1063="","",N1063*U1063/100)</f>
        <v/>
      </c>
      <c r="L1063" s="7">
        <f>IF($A1063="","",N1063-K1063)</f>
        <v/>
      </c>
      <c r="M1063" s="7">
        <f>IF($A1063="","",L1063-F1063)</f>
        <v/>
      </c>
      <c r="N1063" s="7" t="n"/>
      <c r="O1063" s="7" t="n"/>
      <c r="P1063" s="7" t="n"/>
      <c r="R1063" s="14" t="n"/>
      <c r="V1063">
        <f>IF($A1063="","",IF(COUNTIF($A$2:$A1063,$A1063)=1,1,0))</f>
        <v/>
      </c>
      <c r="W1063">
        <f>IF($V1063=1,SUMPRODUCT(--($Y$2:$Y$1501&lt;$Y1063))+1,"")</f>
        <v/>
      </c>
      <c r="X1063">
        <f>IF($A1063="","",IF(OR($T1063=TRUE(),$T1063="TRUE"),1,0))</f>
        <v/>
      </c>
      <c r="Y1063">
        <f>IF($V1063=1,IFERROR(IF(VALUE($A1063)&lt;100000000,VALUE($A1063),1000000000),IFERROR(IF(VALUE(MID($A1063,2,20))&lt;100000000,VALUE(MID($A1063,2,20)),1000000000),1000000000))+ROW()/100000,"")</f>
        <v/>
      </c>
    </row>
    <row r="1064">
      <c r="F1064" s="7">
        <f>IF($A1064="","",E1064*L1064/100)</f>
        <v/>
      </c>
      <c r="J1064" s="7" t="n"/>
      <c r="K1064" s="7">
        <f>IF($A1064="","",N1064*U1064/100)</f>
        <v/>
      </c>
      <c r="L1064" s="7">
        <f>IF($A1064="","",N1064-K1064)</f>
        <v/>
      </c>
      <c r="M1064" s="7">
        <f>IF($A1064="","",L1064-F1064)</f>
        <v/>
      </c>
      <c r="N1064" s="7" t="n"/>
      <c r="O1064" s="7" t="n"/>
      <c r="P1064" s="7" t="n"/>
      <c r="R1064" s="14" t="n"/>
      <c r="V1064">
        <f>IF($A1064="","",IF(COUNTIF($A$2:$A1064,$A1064)=1,1,0))</f>
        <v/>
      </c>
      <c r="W1064">
        <f>IF($V1064=1,SUMPRODUCT(--($Y$2:$Y$1501&lt;$Y1064))+1,"")</f>
        <v/>
      </c>
      <c r="X1064">
        <f>IF($A1064="","",IF(OR($T1064=TRUE(),$T1064="TRUE"),1,0))</f>
        <v/>
      </c>
      <c r="Y1064">
        <f>IF($V1064=1,IFERROR(IF(VALUE($A1064)&lt;100000000,VALUE($A1064),1000000000),IFERROR(IF(VALUE(MID($A1064,2,20))&lt;100000000,VALUE(MID($A1064,2,20)),1000000000),1000000000))+ROW()/100000,"")</f>
        <v/>
      </c>
    </row>
    <row r="1065">
      <c r="F1065" s="7">
        <f>IF($A1065="","",E1065*L1065/100)</f>
        <v/>
      </c>
      <c r="J1065" s="7" t="n"/>
      <c r="K1065" s="7">
        <f>IF($A1065="","",N1065*U1065/100)</f>
        <v/>
      </c>
      <c r="L1065" s="7">
        <f>IF($A1065="","",N1065-K1065)</f>
        <v/>
      </c>
      <c r="M1065" s="7">
        <f>IF($A1065="","",L1065-F1065)</f>
        <v/>
      </c>
      <c r="N1065" s="7" t="n"/>
      <c r="O1065" s="7" t="n"/>
      <c r="P1065" s="7" t="n"/>
      <c r="R1065" s="14" t="n"/>
      <c r="V1065">
        <f>IF($A1065="","",IF(COUNTIF($A$2:$A1065,$A1065)=1,1,0))</f>
        <v/>
      </c>
      <c r="W1065">
        <f>IF($V1065=1,SUMPRODUCT(--($Y$2:$Y$1501&lt;$Y1065))+1,"")</f>
        <v/>
      </c>
      <c r="X1065">
        <f>IF($A1065="","",IF(OR($T1065=TRUE(),$T1065="TRUE"),1,0))</f>
        <v/>
      </c>
      <c r="Y1065">
        <f>IF($V1065=1,IFERROR(IF(VALUE($A1065)&lt;100000000,VALUE($A1065),1000000000),IFERROR(IF(VALUE(MID($A1065,2,20))&lt;100000000,VALUE(MID($A1065,2,20)),1000000000),1000000000))+ROW()/100000,"")</f>
        <v/>
      </c>
    </row>
    <row r="1066">
      <c r="F1066" s="7">
        <f>IF($A1066="","",E1066*L1066/100)</f>
        <v/>
      </c>
      <c r="J1066" s="7" t="n"/>
      <c r="K1066" s="7">
        <f>IF($A1066="","",N1066*U1066/100)</f>
        <v/>
      </c>
      <c r="L1066" s="7">
        <f>IF($A1066="","",N1066-K1066)</f>
        <v/>
      </c>
      <c r="M1066" s="7">
        <f>IF($A1066="","",L1066-F1066)</f>
        <v/>
      </c>
      <c r="N1066" s="7" t="n"/>
      <c r="O1066" s="7" t="n"/>
      <c r="P1066" s="7" t="n"/>
      <c r="R1066" s="14" t="n"/>
      <c r="V1066">
        <f>IF($A1066="","",IF(COUNTIF($A$2:$A1066,$A1066)=1,1,0))</f>
        <v/>
      </c>
      <c r="W1066">
        <f>IF($V1066=1,SUMPRODUCT(--($Y$2:$Y$1501&lt;$Y1066))+1,"")</f>
        <v/>
      </c>
      <c r="X1066">
        <f>IF($A1066="","",IF(OR($T1066=TRUE(),$T1066="TRUE"),1,0))</f>
        <v/>
      </c>
      <c r="Y1066">
        <f>IF($V1066=1,IFERROR(IF(VALUE($A1066)&lt;100000000,VALUE($A1066),1000000000),IFERROR(IF(VALUE(MID($A1066,2,20))&lt;100000000,VALUE(MID($A1066,2,20)),1000000000),1000000000))+ROW()/100000,"")</f>
        <v/>
      </c>
    </row>
    <row r="1067">
      <c r="F1067" s="7">
        <f>IF($A1067="","",E1067*L1067/100)</f>
        <v/>
      </c>
      <c r="J1067" s="7" t="n"/>
      <c r="K1067" s="7">
        <f>IF($A1067="","",N1067*U1067/100)</f>
        <v/>
      </c>
      <c r="L1067" s="7">
        <f>IF($A1067="","",N1067-K1067)</f>
        <v/>
      </c>
      <c r="M1067" s="7">
        <f>IF($A1067="","",L1067-F1067)</f>
        <v/>
      </c>
      <c r="N1067" s="7" t="n"/>
      <c r="O1067" s="7" t="n"/>
      <c r="P1067" s="7" t="n"/>
      <c r="R1067" s="14" t="n"/>
      <c r="V1067">
        <f>IF($A1067="","",IF(COUNTIF($A$2:$A1067,$A1067)=1,1,0))</f>
        <v/>
      </c>
      <c r="W1067">
        <f>IF($V1067=1,SUMPRODUCT(--($Y$2:$Y$1501&lt;$Y1067))+1,"")</f>
        <v/>
      </c>
      <c r="X1067">
        <f>IF($A1067="","",IF(OR($T1067=TRUE(),$T1067="TRUE"),1,0))</f>
        <v/>
      </c>
      <c r="Y1067">
        <f>IF($V1067=1,IFERROR(IF(VALUE($A1067)&lt;100000000,VALUE($A1067),1000000000),IFERROR(IF(VALUE(MID($A1067,2,20))&lt;100000000,VALUE(MID($A1067,2,20)),1000000000),1000000000))+ROW()/100000,"")</f>
        <v/>
      </c>
    </row>
    <row r="1068">
      <c r="F1068" s="7">
        <f>IF($A1068="","",E1068*L1068/100)</f>
        <v/>
      </c>
      <c r="J1068" s="7" t="n"/>
      <c r="K1068" s="7">
        <f>IF($A1068="","",N1068*U1068/100)</f>
        <v/>
      </c>
      <c r="L1068" s="7">
        <f>IF($A1068="","",N1068-K1068)</f>
        <v/>
      </c>
      <c r="M1068" s="7">
        <f>IF($A1068="","",L1068-F1068)</f>
        <v/>
      </c>
      <c r="N1068" s="7" t="n"/>
      <c r="O1068" s="7" t="n"/>
      <c r="P1068" s="7" t="n"/>
      <c r="R1068" s="14" t="n"/>
      <c r="V1068">
        <f>IF($A1068="","",IF(COUNTIF($A$2:$A1068,$A1068)=1,1,0))</f>
        <v/>
      </c>
      <c r="W1068">
        <f>IF($V1068=1,SUMPRODUCT(--($Y$2:$Y$1501&lt;$Y1068))+1,"")</f>
        <v/>
      </c>
      <c r="X1068">
        <f>IF($A1068="","",IF(OR($T1068=TRUE(),$T1068="TRUE"),1,0))</f>
        <v/>
      </c>
      <c r="Y1068">
        <f>IF($V1068=1,IFERROR(IF(VALUE($A1068)&lt;100000000,VALUE($A1068),1000000000),IFERROR(IF(VALUE(MID($A1068,2,20))&lt;100000000,VALUE(MID($A1068,2,20)),1000000000),1000000000))+ROW()/100000,"")</f>
        <v/>
      </c>
    </row>
    <row r="1069">
      <c r="F1069" s="7">
        <f>IF($A1069="","",E1069*L1069/100)</f>
        <v/>
      </c>
      <c r="J1069" s="7" t="n"/>
      <c r="K1069" s="7">
        <f>IF($A1069="","",N1069*U1069/100)</f>
        <v/>
      </c>
      <c r="L1069" s="7">
        <f>IF($A1069="","",N1069-K1069)</f>
        <v/>
      </c>
      <c r="M1069" s="7">
        <f>IF($A1069="","",L1069-F1069)</f>
        <v/>
      </c>
      <c r="N1069" s="7" t="n"/>
      <c r="O1069" s="7" t="n"/>
      <c r="P1069" s="7" t="n"/>
      <c r="R1069" s="14" t="n"/>
      <c r="V1069">
        <f>IF($A1069="","",IF(COUNTIF($A$2:$A1069,$A1069)=1,1,0))</f>
        <v/>
      </c>
      <c r="W1069">
        <f>IF($V1069=1,SUMPRODUCT(--($Y$2:$Y$1501&lt;$Y1069))+1,"")</f>
        <v/>
      </c>
      <c r="X1069">
        <f>IF($A1069="","",IF(OR($T1069=TRUE(),$T1069="TRUE"),1,0))</f>
        <v/>
      </c>
      <c r="Y1069">
        <f>IF($V1069=1,IFERROR(IF(VALUE($A1069)&lt;100000000,VALUE($A1069),1000000000),IFERROR(IF(VALUE(MID($A1069,2,20))&lt;100000000,VALUE(MID($A1069,2,20)),1000000000),1000000000))+ROW()/100000,"")</f>
        <v/>
      </c>
    </row>
    <row r="1070">
      <c r="F1070" s="7">
        <f>IF($A1070="","",E1070*L1070/100)</f>
        <v/>
      </c>
      <c r="J1070" s="7" t="n"/>
      <c r="K1070" s="7">
        <f>IF($A1070="","",N1070*U1070/100)</f>
        <v/>
      </c>
      <c r="L1070" s="7">
        <f>IF($A1070="","",N1070-K1070)</f>
        <v/>
      </c>
      <c r="M1070" s="7">
        <f>IF($A1070="","",L1070-F1070)</f>
        <v/>
      </c>
      <c r="N1070" s="7" t="n"/>
      <c r="O1070" s="7" t="n"/>
      <c r="P1070" s="7" t="n"/>
      <c r="R1070" s="14" t="n"/>
      <c r="V1070">
        <f>IF($A1070="","",IF(COUNTIF($A$2:$A1070,$A1070)=1,1,0))</f>
        <v/>
      </c>
      <c r="W1070">
        <f>IF($V1070=1,SUMPRODUCT(--($Y$2:$Y$1501&lt;$Y1070))+1,"")</f>
        <v/>
      </c>
      <c r="X1070">
        <f>IF($A1070="","",IF(OR($T1070=TRUE(),$T1070="TRUE"),1,0))</f>
        <v/>
      </c>
      <c r="Y1070">
        <f>IF($V1070=1,IFERROR(IF(VALUE($A1070)&lt;100000000,VALUE($A1070),1000000000),IFERROR(IF(VALUE(MID($A1070,2,20))&lt;100000000,VALUE(MID($A1070,2,20)),1000000000),1000000000))+ROW()/100000,"")</f>
        <v/>
      </c>
    </row>
    <row r="1071">
      <c r="F1071" s="7">
        <f>IF($A1071="","",E1071*L1071/100)</f>
        <v/>
      </c>
      <c r="J1071" s="7" t="n"/>
      <c r="K1071" s="7">
        <f>IF($A1071="","",N1071*U1071/100)</f>
        <v/>
      </c>
      <c r="L1071" s="7">
        <f>IF($A1071="","",N1071-K1071)</f>
        <v/>
      </c>
      <c r="M1071" s="7">
        <f>IF($A1071="","",L1071-F1071)</f>
        <v/>
      </c>
      <c r="N1071" s="7" t="n"/>
      <c r="O1071" s="7" t="n"/>
      <c r="P1071" s="7" t="n"/>
      <c r="R1071" s="14" t="n"/>
      <c r="V1071">
        <f>IF($A1071="","",IF(COUNTIF($A$2:$A1071,$A1071)=1,1,0))</f>
        <v/>
      </c>
      <c r="W1071">
        <f>IF($V1071=1,SUMPRODUCT(--($Y$2:$Y$1501&lt;$Y1071))+1,"")</f>
        <v/>
      </c>
      <c r="X1071">
        <f>IF($A1071="","",IF(OR($T1071=TRUE(),$T1071="TRUE"),1,0))</f>
        <v/>
      </c>
      <c r="Y1071">
        <f>IF($V1071=1,IFERROR(IF(VALUE($A1071)&lt;100000000,VALUE($A1071),1000000000),IFERROR(IF(VALUE(MID($A1071,2,20))&lt;100000000,VALUE(MID($A1071,2,20)),1000000000),1000000000))+ROW()/100000,"")</f>
        <v/>
      </c>
    </row>
    <row r="1072">
      <c r="F1072" s="7">
        <f>IF($A1072="","",E1072*L1072/100)</f>
        <v/>
      </c>
      <c r="J1072" s="7" t="n"/>
      <c r="K1072" s="7">
        <f>IF($A1072="","",N1072*U1072/100)</f>
        <v/>
      </c>
      <c r="L1072" s="7">
        <f>IF($A1072="","",N1072-K1072)</f>
        <v/>
      </c>
      <c r="M1072" s="7">
        <f>IF($A1072="","",L1072-F1072)</f>
        <v/>
      </c>
      <c r="N1072" s="7" t="n"/>
      <c r="O1072" s="7" t="n"/>
      <c r="P1072" s="7" t="n"/>
      <c r="R1072" s="14" t="n"/>
      <c r="V1072">
        <f>IF($A1072="","",IF(COUNTIF($A$2:$A1072,$A1072)=1,1,0))</f>
        <v/>
      </c>
      <c r="W1072">
        <f>IF($V1072=1,SUMPRODUCT(--($Y$2:$Y$1501&lt;$Y1072))+1,"")</f>
        <v/>
      </c>
      <c r="X1072">
        <f>IF($A1072="","",IF(OR($T1072=TRUE(),$T1072="TRUE"),1,0))</f>
        <v/>
      </c>
      <c r="Y1072">
        <f>IF($V1072=1,IFERROR(IF(VALUE($A1072)&lt;100000000,VALUE($A1072),1000000000),IFERROR(IF(VALUE(MID($A1072,2,20))&lt;100000000,VALUE(MID($A1072,2,20)),1000000000),1000000000))+ROW()/100000,"")</f>
        <v/>
      </c>
    </row>
    <row r="1073">
      <c r="F1073" s="7">
        <f>IF($A1073="","",E1073*L1073/100)</f>
        <v/>
      </c>
      <c r="J1073" s="7" t="n"/>
      <c r="K1073" s="7">
        <f>IF($A1073="","",N1073*U1073/100)</f>
        <v/>
      </c>
      <c r="L1073" s="7">
        <f>IF($A1073="","",N1073-K1073)</f>
        <v/>
      </c>
      <c r="M1073" s="7">
        <f>IF($A1073="","",L1073-F1073)</f>
        <v/>
      </c>
      <c r="N1073" s="7" t="n"/>
      <c r="O1073" s="7" t="n"/>
      <c r="P1073" s="7" t="n"/>
      <c r="R1073" s="14" t="n"/>
      <c r="V1073">
        <f>IF($A1073="","",IF(COUNTIF($A$2:$A1073,$A1073)=1,1,0))</f>
        <v/>
      </c>
      <c r="W1073">
        <f>IF($V1073=1,SUMPRODUCT(--($Y$2:$Y$1501&lt;$Y1073))+1,"")</f>
        <v/>
      </c>
      <c r="X1073">
        <f>IF($A1073="","",IF(OR($T1073=TRUE(),$T1073="TRUE"),1,0))</f>
        <v/>
      </c>
      <c r="Y1073">
        <f>IF($V1073=1,IFERROR(IF(VALUE($A1073)&lt;100000000,VALUE($A1073),1000000000),IFERROR(IF(VALUE(MID($A1073,2,20))&lt;100000000,VALUE(MID($A1073,2,20)),1000000000),1000000000))+ROW()/100000,"")</f>
        <v/>
      </c>
    </row>
    <row r="1074">
      <c r="F1074" s="7">
        <f>IF($A1074="","",E1074*L1074/100)</f>
        <v/>
      </c>
      <c r="J1074" s="7" t="n"/>
      <c r="K1074" s="7">
        <f>IF($A1074="","",N1074*U1074/100)</f>
        <v/>
      </c>
      <c r="L1074" s="7">
        <f>IF($A1074="","",N1074-K1074)</f>
        <v/>
      </c>
      <c r="M1074" s="7">
        <f>IF($A1074="","",L1074-F1074)</f>
        <v/>
      </c>
      <c r="N1074" s="7" t="n"/>
      <c r="O1074" s="7" t="n"/>
      <c r="P1074" s="7" t="n"/>
      <c r="R1074" s="14" t="n"/>
      <c r="V1074">
        <f>IF($A1074="","",IF(COUNTIF($A$2:$A1074,$A1074)=1,1,0))</f>
        <v/>
      </c>
      <c r="W1074">
        <f>IF($V1074=1,SUMPRODUCT(--($Y$2:$Y$1501&lt;$Y1074))+1,"")</f>
        <v/>
      </c>
      <c r="X1074">
        <f>IF($A1074="","",IF(OR($T1074=TRUE(),$T1074="TRUE"),1,0))</f>
        <v/>
      </c>
      <c r="Y1074">
        <f>IF($V1074=1,IFERROR(IF(VALUE($A1074)&lt;100000000,VALUE($A1074),1000000000),IFERROR(IF(VALUE(MID($A1074,2,20))&lt;100000000,VALUE(MID($A1074,2,20)),1000000000),1000000000))+ROW()/100000,"")</f>
        <v/>
      </c>
    </row>
    <row r="1075">
      <c r="F1075" s="7">
        <f>IF($A1075="","",E1075*L1075/100)</f>
        <v/>
      </c>
      <c r="J1075" s="7" t="n"/>
      <c r="K1075" s="7">
        <f>IF($A1075="","",N1075*U1075/100)</f>
        <v/>
      </c>
      <c r="L1075" s="7">
        <f>IF($A1075="","",N1075-K1075)</f>
        <v/>
      </c>
      <c r="M1075" s="7">
        <f>IF($A1075="","",L1075-F1075)</f>
        <v/>
      </c>
      <c r="N1075" s="7" t="n"/>
      <c r="O1075" s="7" t="n"/>
      <c r="P1075" s="7" t="n"/>
      <c r="R1075" s="14" t="n"/>
      <c r="V1075">
        <f>IF($A1075="","",IF(COUNTIF($A$2:$A1075,$A1075)=1,1,0))</f>
        <v/>
      </c>
      <c r="W1075">
        <f>IF($V1075=1,SUMPRODUCT(--($Y$2:$Y$1501&lt;$Y1075))+1,"")</f>
        <v/>
      </c>
      <c r="X1075">
        <f>IF($A1075="","",IF(OR($T1075=TRUE(),$T1075="TRUE"),1,0))</f>
        <v/>
      </c>
      <c r="Y1075">
        <f>IF($V1075=1,IFERROR(IF(VALUE($A1075)&lt;100000000,VALUE($A1075),1000000000),IFERROR(IF(VALUE(MID($A1075,2,20))&lt;100000000,VALUE(MID($A1075,2,20)),1000000000),1000000000))+ROW()/100000,"")</f>
        <v/>
      </c>
    </row>
    <row r="1076">
      <c r="F1076" s="7">
        <f>IF($A1076="","",E1076*L1076/100)</f>
        <v/>
      </c>
      <c r="J1076" s="7" t="n"/>
      <c r="K1076" s="7">
        <f>IF($A1076="","",N1076*U1076/100)</f>
        <v/>
      </c>
      <c r="L1076" s="7">
        <f>IF($A1076="","",N1076-K1076)</f>
        <v/>
      </c>
      <c r="M1076" s="7">
        <f>IF($A1076="","",L1076-F1076)</f>
        <v/>
      </c>
      <c r="N1076" s="7" t="n"/>
      <c r="O1076" s="7" t="n"/>
      <c r="P1076" s="7" t="n"/>
      <c r="R1076" s="14" t="n"/>
      <c r="V1076">
        <f>IF($A1076="","",IF(COUNTIF($A$2:$A1076,$A1076)=1,1,0))</f>
        <v/>
      </c>
      <c r="W1076">
        <f>IF($V1076=1,SUMPRODUCT(--($Y$2:$Y$1501&lt;$Y1076))+1,"")</f>
        <v/>
      </c>
      <c r="X1076">
        <f>IF($A1076="","",IF(OR($T1076=TRUE(),$T1076="TRUE"),1,0))</f>
        <v/>
      </c>
      <c r="Y1076">
        <f>IF($V1076=1,IFERROR(IF(VALUE($A1076)&lt;100000000,VALUE($A1076),1000000000),IFERROR(IF(VALUE(MID($A1076,2,20))&lt;100000000,VALUE(MID($A1076,2,20)),1000000000),1000000000))+ROW()/100000,"")</f>
        <v/>
      </c>
    </row>
    <row r="1077">
      <c r="F1077" s="7">
        <f>IF($A1077="","",E1077*L1077/100)</f>
        <v/>
      </c>
      <c r="J1077" s="7" t="n"/>
      <c r="K1077" s="7">
        <f>IF($A1077="","",N1077*U1077/100)</f>
        <v/>
      </c>
      <c r="L1077" s="7">
        <f>IF($A1077="","",N1077-K1077)</f>
        <v/>
      </c>
      <c r="M1077" s="7">
        <f>IF($A1077="","",L1077-F1077)</f>
        <v/>
      </c>
      <c r="N1077" s="7" t="n"/>
      <c r="O1077" s="7" t="n"/>
      <c r="P1077" s="7" t="n"/>
      <c r="R1077" s="14" t="n"/>
      <c r="V1077">
        <f>IF($A1077="","",IF(COUNTIF($A$2:$A1077,$A1077)=1,1,0))</f>
        <v/>
      </c>
      <c r="W1077">
        <f>IF($V1077=1,SUMPRODUCT(--($Y$2:$Y$1501&lt;$Y1077))+1,"")</f>
        <v/>
      </c>
      <c r="X1077">
        <f>IF($A1077="","",IF(OR($T1077=TRUE(),$T1077="TRUE"),1,0))</f>
        <v/>
      </c>
      <c r="Y1077">
        <f>IF($V1077=1,IFERROR(IF(VALUE($A1077)&lt;100000000,VALUE($A1077),1000000000),IFERROR(IF(VALUE(MID($A1077,2,20))&lt;100000000,VALUE(MID($A1077,2,20)),1000000000),1000000000))+ROW()/100000,"")</f>
        <v/>
      </c>
    </row>
    <row r="1078">
      <c r="F1078" s="7">
        <f>IF($A1078="","",E1078*L1078/100)</f>
        <v/>
      </c>
      <c r="J1078" s="7" t="n"/>
      <c r="K1078" s="7">
        <f>IF($A1078="","",N1078*U1078/100)</f>
        <v/>
      </c>
      <c r="L1078" s="7">
        <f>IF($A1078="","",N1078-K1078)</f>
        <v/>
      </c>
      <c r="M1078" s="7">
        <f>IF($A1078="","",L1078-F1078)</f>
        <v/>
      </c>
      <c r="N1078" s="7" t="n"/>
      <c r="O1078" s="7" t="n"/>
      <c r="P1078" s="7" t="n"/>
      <c r="R1078" s="14" t="n"/>
      <c r="V1078">
        <f>IF($A1078="","",IF(COUNTIF($A$2:$A1078,$A1078)=1,1,0))</f>
        <v/>
      </c>
      <c r="W1078">
        <f>IF($V1078=1,SUMPRODUCT(--($Y$2:$Y$1501&lt;$Y1078))+1,"")</f>
        <v/>
      </c>
      <c r="X1078">
        <f>IF($A1078="","",IF(OR($T1078=TRUE(),$T1078="TRUE"),1,0))</f>
        <v/>
      </c>
      <c r="Y1078">
        <f>IF($V1078=1,IFERROR(IF(VALUE($A1078)&lt;100000000,VALUE($A1078),1000000000),IFERROR(IF(VALUE(MID($A1078,2,20))&lt;100000000,VALUE(MID($A1078,2,20)),1000000000),1000000000))+ROW()/100000,"")</f>
        <v/>
      </c>
    </row>
    <row r="1079">
      <c r="F1079" s="7">
        <f>IF($A1079="","",E1079*L1079/100)</f>
        <v/>
      </c>
      <c r="J1079" s="7" t="n"/>
      <c r="K1079" s="7">
        <f>IF($A1079="","",N1079*U1079/100)</f>
        <v/>
      </c>
      <c r="L1079" s="7">
        <f>IF($A1079="","",N1079-K1079)</f>
        <v/>
      </c>
      <c r="M1079" s="7">
        <f>IF($A1079="","",L1079-F1079)</f>
        <v/>
      </c>
      <c r="N1079" s="7" t="n"/>
      <c r="O1079" s="7" t="n"/>
      <c r="P1079" s="7" t="n"/>
      <c r="R1079" s="14" t="n"/>
      <c r="V1079">
        <f>IF($A1079="","",IF(COUNTIF($A$2:$A1079,$A1079)=1,1,0))</f>
        <v/>
      </c>
      <c r="W1079">
        <f>IF($V1079=1,SUMPRODUCT(--($Y$2:$Y$1501&lt;$Y1079))+1,"")</f>
        <v/>
      </c>
      <c r="X1079">
        <f>IF($A1079="","",IF(OR($T1079=TRUE(),$T1079="TRUE"),1,0))</f>
        <v/>
      </c>
      <c r="Y1079">
        <f>IF($V1079=1,IFERROR(IF(VALUE($A1079)&lt;100000000,VALUE($A1079),1000000000),IFERROR(IF(VALUE(MID($A1079,2,20))&lt;100000000,VALUE(MID($A1079,2,20)),1000000000),1000000000))+ROW()/100000,"")</f>
        <v/>
      </c>
    </row>
    <row r="1080">
      <c r="F1080" s="7">
        <f>IF($A1080="","",E1080*L1080/100)</f>
        <v/>
      </c>
      <c r="J1080" s="7" t="n"/>
      <c r="K1080" s="7">
        <f>IF($A1080="","",N1080*U1080/100)</f>
        <v/>
      </c>
      <c r="L1080" s="7">
        <f>IF($A1080="","",N1080-K1080)</f>
        <v/>
      </c>
      <c r="M1080" s="7">
        <f>IF($A1080="","",L1080-F1080)</f>
        <v/>
      </c>
      <c r="N1080" s="7" t="n"/>
      <c r="O1080" s="7" t="n"/>
      <c r="P1080" s="7" t="n"/>
      <c r="R1080" s="14" t="n"/>
      <c r="V1080">
        <f>IF($A1080="","",IF(COUNTIF($A$2:$A1080,$A1080)=1,1,0))</f>
        <v/>
      </c>
      <c r="W1080">
        <f>IF($V1080=1,SUMPRODUCT(--($Y$2:$Y$1501&lt;$Y1080))+1,"")</f>
        <v/>
      </c>
      <c r="X1080">
        <f>IF($A1080="","",IF(OR($T1080=TRUE(),$T1080="TRUE"),1,0))</f>
        <v/>
      </c>
      <c r="Y1080">
        <f>IF($V1080=1,IFERROR(IF(VALUE($A1080)&lt;100000000,VALUE($A1080),1000000000),IFERROR(IF(VALUE(MID($A1080,2,20))&lt;100000000,VALUE(MID($A1080,2,20)),1000000000),1000000000))+ROW()/100000,"")</f>
        <v/>
      </c>
    </row>
    <row r="1081">
      <c r="F1081" s="7">
        <f>IF($A1081="","",E1081*L1081/100)</f>
        <v/>
      </c>
      <c r="J1081" s="7" t="n"/>
      <c r="K1081" s="7">
        <f>IF($A1081="","",N1081*U1081/100)</f>
        <v/>
      </c>
      <c r="L1081" s="7">
        <f>IF($A1081="","",N1081-K1081)</f>
        <v/>
      </c>
      <c r="M1081" s="7">
        <f>IF($A1081="","",L1081-F1081)</f>
        <v/>
      </c>
      <c r="N1081" s="7" t="n"/>
      <c r="O1081" s="7" t="n"/>
      <c r="P1081" s="7" t="n"/>
      <c r="R1081" s="14" t="n"/>
      <c r="V1081">
        <f>IF($A1081="","",IF(COUNTIF($A$2:$A1081,$A1081)=1,1,0))</f>
        <v/>
      </c>
      <c r="W1081">
        <f>IF($V1081=1,SUMPRODUCT(--($Y$2:$Y$1501&lt;$Y1081))+1,"")</f>
        <v/>
      </c>
      <c r="X1081">
        <f>IF($A1081="","",IF(OR($T1081=TRUE(),$T1081="TRUE"),1,0))</f>
        <v/>
      </c>
      <c r="Y1081">
        <f>IF($V1081=1,IFERROR(IF(VALUE($A1081)&lt;100000000,VALUE($A1081),1000000000),IFERROR(IF(VALUE(MID($A1081,2,20))&lt;100000000,VALUE(MID($A1081,2,20)),1000000000),1000000000))+ROW()/100000,"")</f>
        <v/>
      </c>
    </row>
    <row r="1082">
      <c r="F1082" s="7">
        <f>IF($A1082="","",E1082*L1082/100)</f>
        <v/>
      </c>
      <c r="J1082" s="7" t="n"/>
      <c r="K1082" s="7">
        <f>IF($A1082="","",N1082*U1082/100)</f>
        <v/>
      </c>
      <c r="L1082" s="7">
        <f>IF($A1082="","",N1082-K1082)</f>
        <v/>
      </c>
      <c r="M1082" s="7">
        <f>IF($A1082="","",L1082-F1082)</f>
        <v/>
      </c>
      <c r="N1082" s="7" t="n"/>
      <c r="O1082" s="7" t="n"/>
      <c r="P1082" s="7" t="n"/>
      <c r="R1082" s="14" t="n"/>
      <c r="V1082">
        <f>IF($A1082="","",IF(COUNTIF($A$2:$A1082,$A1082)=1,1,0))</f>
        <v/>
      </c>
      <c r="W1082">
        <f>IF($V1082=1,SUMPRODUCT(--($Y$2:$Y$1501&lt;$Y1082))+1,"")</f>
        <v/>
      </c>
      <c r="X1082">
        <f>IF($A1082="","",IF(OR($T1082=TRUE(),$T1082="TRUE"),1,0))</f>
        <v/>
      </c>
      <c r="Y1082">
        <f>IF($V1082=1,IFERROR(IF(VALUE($A1082)&lt;100000000,VALUE($A1082),1000000000),IFERROR(IF(VALUE(MID($A1082,2,20))&lt;100000000,VALUE(MID($A1082,2,20)),1000000000),1000000000))+ROW()/100000,"")</f>
        <v/>
      </c>
    </row>
    <row r="1083">
      <c r="F1083" s="7">
        <f>IF($A1083="","",E1083*L1083/100)</f>
        <v/>
      </c>
      <c r="J1083" s="7" t="n"/>
      <c r="K1083" s="7">
        <f>IF($A1083="","",N1083*U1083/100)</f>
        <v/>
      </c>
      <c r="L1083" s="7">
        <f>IF($A1083="","",N1083-K1083)</f>
        <v/>
      </c>
      <c r="M1083" s="7">
        <f>IF($A1083="","",L1083-F1083)</f>
        <v/>
      </c>
      <c r="N1083" s="7" t="n"/>
      <c r="O1083" s="7" t="n"/>
      <c r="P1083" s="7" t="n"/>
      <c r="R1083" s="14" t="n"/>
      <c r="V1083">
        <f>IF($A1083="","",IF(COUNTIF($A$2:$A1083,$A1083)=1,1,0))</f>
        <v/>
      </c>
      <c r="W1083">
        <f>IF($V1083=1,SUMPRODUCT(--($Y$2:$Y$1501&lt;$Y1083))+1,"")</f>
        <v/>
      </c>
      <c r="X1083">
        <f>IF($A1083="","",IF(OR($T1083=TRUE(),$T1083="TRUE"),1,0))</f>
        <v/>
      </c>
      <c r="Y1083">
        <f>IF($V1083=1,IFERROR(IF(VALUE($A1083)&lt;100000000,VALUE($A1083),1000000000),IFERROR(IF(VALUE(MID($A1083,2,20))&lt;100000000,VALUE(MID($A1083,2,20)),1000000000),1000000000))+ROW()/100000,"")</f>
        <v/>
      </c>
    </row>
    <row r="1084">
      <c r="F1084" s="7">
        <f>IF($A1084="","",E1084*L1084/100)</f>
        <v/>
      </c>
      <c r="J1084" s="7" t="n"/>
      <c r="K1084" s="7">
        <f>IF($A1084="","",N1084*U1084/100)</f>
        <v/>
      </c>
      <c r="L1084" s="7">
        <f>IF($A1084="","",N1084-K1084)</f>
        <v/>
      </c>
      <c r="M1084" s="7">
        <f>IF($A1084="","",L1084-F1084)</f>
        <v/>
      </c>
      <c r="N1084" s="7" t="n"/>
      <c r="O1084" s="7" t="n"/>
      <c r="P1084" s="7" t="n"/>
      <c r="R1084" s="14" t="n"/>
      <c r="V1084">
        <f>IF($A1084="","",IF(COUNTIF($A$2:$A1084,$A1084)=1,1,0))</f>
        <v/>
      </c>
      <c r="W1084">
        <f>IF($V1084=1,SUMPRODUCT(--($Y$2:$Y$1501&lt;$Y1084))+1,"")</f>
        <v/>
      </c>
      <c r="X1084">
        <f>IF($A1084="","",IF(OR($T1084=TRUE(),$T1084="TRUE"),1,0))</f>
        <v/>
      </c>
      <c r="Y1084">
        <f>IF($V1084=1,IFERROR(IF(VALUE($A1084)&lt;100000000,VALUE($A1084),1000000000),IFERROR(IF(VALUE(MID($A1084,2,20))&lt;100000000,VALUE(MID($A1084,2,20)),1000000000),1000000000))+ROW()/100000,"")</f>
        <v/>
      </c>
    </row>
    <row r="1085">
      <c r="F1085" s="7">
        <f>IF($A1085="","",E1085*L1085/100)</f>
        <v/>
      </c>
      <c r="J1085" s="7" t="n"/>
      <c r="K1085" s="7">
        <f>IF($A1085="","",N1085*U1085/100)</f>
        <v/>
      </c>
      <c r="L1085" s="7">
        <f>IF($A1085="","",N1085-K1085)</f>
        <v/>
      </c>
      <c r="M1085" s="7">
        <f>IF($A1085="","",L1085-F1085)</f>
        <v/>
      </c>
      <c r="N1085" s="7" t="n"/>
      <c r="O1085" s="7" t="n"/>
      <c r="P1085" s="7" t="n"/>
      <c r="R1085" s="14" t="n"/>
      <c r="V1085">
        <f>IF($A1085="","",IF(COUNTIF($A$2:$A1085,$A1085)=1,1,0))</f>
        <v/>
      </c>
      <c r="W1085">
        <f>IF($V1085=1,SUMPRODUCT(--($Y$2:$Y$1501&lt;$Y1085))+1,"")</f>
        <v/>
      </c>
      <c r="X1085">
        <f>IF($A1085="","",IF(OR($T1085=TRUE(),$T1085="TRUE"),1,0))</f>
        <v/>
      </c>
      <c r="Y1085">
        <f>IF($V1085=1,IFERROR(IF(VALUE($A1085)&lt;100000000,VALUE($A1085),1000000000),IFERROR(IF(VALUE(MID($A1085,2,20))&lt;100000000,VALUE(MID($A1085,2,20)),1000000000),1000000000))+ROW()/100000,"")</f>
        <v/>
      </c>
    </row>
    <row r="1086">
      <c r="F1086" s="7">
        <f>IF($A1086="","",E1086*L1086/100)</f>
        <v/>
      </c>
      <c r="J1086" s="7" t="n"/>
      <c r="K1086" s="7">
        <f>IF($A1086="","",N1086*U1086/100)</f>
        <v/>
      </c>
      <c r="L1086" s="7">
        <f>IF($A1086="","",N1086-K1086)</f>
        <v/>
      </c>
      <c r="M1086" s="7">
        <f>IF($A1086="","",L1086-F1086)</f>
        <v/>
      </c>
      <c r="N1086" s="7" t="n"/>
      <c r="O1086" s="7" t="n"/>
      <c r="P1086" s="7" t="n"/>
      <c r="R1086" s="14" t="n"/>
      <c r="V1086">
        <f>IF($A1086="","",IF(COUNTIF($A$2:$A1086,$A1086)=1,1,0))</f>
        <v/>
      </c>
      <c r="W1086">
        <f>IF($V1086=1,SUMPRODUCT(--($Y$2:$Y$1501&lt;$Y1086))+1,"")</f>
        <v/>
      </c>
      <c r="X1086">
        <f>IF($A1086="","",IF(OR($T1086=TRUE(),$T1086="TRUE"),1,0))</f>
        <v/>
      </c>
      <c r="Y1086">
        <f>IF($V1086=1,IFERROR(IF(VALUE($A1086)&lt;100000000,VALUE($A1086),1000000000),IFERROR(IF(VALUE(MID($A1086,2,20))&lt;100000000,VALUE(MID($A1086,2,20)),1000000000),1000000000))+ROW()/100000,"")</f>
        <v/>
      </c>
    </row>
    <row r="1087">
      <c r="F1087" s="7">
        <f>IF($A1087="","",E1087*L1087/100)</f>
        <v/>
      </c>
      <c r="J1087" s="7" t="n"/>
      <c r="K1087" s="7">
        <f>IF($A1087="","",N1087*U1087/100)</f>
        <v/>
      </c>
      <c r="L1087" s="7">
        <f>IF($A1087="","",N1087-K1087)</f>
        <v/>
      </c>
      <c r="M1087" s="7">
        <f>IF($A1087="","",L1087-F1087)</f>
        <v/>
      </c>
      <c r="N1087" s="7" t="n"/>
      <c r="O1087" s="7" t="n"/>
      <c r="P1087" s="7" t="n"/>
      <c r="R1087" s="14" t="n"/>
      <c r="V1087">
        <f>IF($A1087="","",IF(COUNTIF($A$2:$A1087,$A1087)=1,1,0))</f>
        <v/>
      </c>
      <c r="W1087">
        <f>IF($V1087=1,SUMPRODUCT(--($Y$2:$Y$1501&lt;$Y1087))+1,"")</f>
        <v/>
      </c>
      <c r="X1087">
        <f>IF($A1087="","",IF(OR($T1087=TRUE(),$T1087="TRUE"),1,0))</f>
        <v/>
      </c>
      <c r="Y1087">
        <f>IF($V1087=1,IFERROR(IF(VALUE($A1087)&lt;100000000,VALUE($A1087),1000000000),IFERROR(IF(VALUE(MID($A1087,2,20))&lt;100000000,VALUE(MID($A1087,2,20)),1000000000),1000000000))+ROW()/100000,"")</f>
        <v/>
      </c>
    </row>
    <row r="1088">
      <c r="F1088" s="7">
        <f>IF($A1088="","",E1088*L1088/100)</f>
        <v/>
      </c>
      <c r="J1088" s="7" t="n"/>
      <c r="K1088" s="7">
        <f>IF($A1088="","",N1088*U1088/100)</f>
        <v/>
      </c>
      <c r="L1088" s="7">
        <f>IF($A1088="","",N1088-K1088)</f>
        <v/>
      </c>
      <c r="M1088" s="7">
        <f>IF($A1088="","",L1088-F1088)</f>
        <v/>
      </c>
      <c r="N1088" s="7" t="n"/>
      <c r="O1088" s="7" t="n"/>
      <c r="P1088" s="7" t="n"/>
      <c r="R1088" s="14" t="n"/>
      <c r="V1088">
        <f>IF($A1088="","",IF(COUNTIF($A$2:$A1088,$A1088)=1,1,0))</f>
        <v/>
      </c>
      <c r="W1088">
        <f>IF($V1088=1,SUMPRODUCT(--($Y$2:$Y$1501&lt;$Y1088))+1,"")</f>
        <v/>
      </c>
      <c r="X1088">
        <f>IF($A1088="","",IF(OR($T1088=TRUE(),$T1088="TRUE"),1,0))</f>
        <v/>
      </c>
      <c r="Y1088">
        <f>IF($V1088=1,IFERROR(IF(VALUE($A1088)&lt;100000000,VALUE($A1088),1000000000),IFERROR(IF(VALUE(MID($A1088,2,20))&lt;100000000,VALUE(MID($A1088,2,20)),1000000000),1000000000))+ROW()/100000,"")</f>
        <v/>
      </c>
    </row>
    <row r="1089">
      <c r="F1089" s="7">
        <f>IF($A1089="","",E1089*L1089/100)</f>
        <v/>
      </c>
      <c r="J1089" s="7" t="n"/>
      <c r="K1089" s="7">
        <f>IF($A1089="","",N1089*U1089/100)</f>
        <v/>
      </c>
      <c r="L1089" s="7">
        <f>IF($A1089="","",N1089-K1089)</f>
        <v/>
      </c>
      <c r="M1089" s="7">
        <f>IF($A1089="","",L1089-F1089)</f>
        <v/>
      </c>
      <c r="N1089" s="7" t="n"/>
      <c r="O1089" s="7" t="n"/>
      <c r="P1089" s="7" t="n"/>
      <c r="R1089" s="14" t="n"/>
      <c r="V1089">
        <f>IF($A1089="","",IF(COUNTIF($A$2:$A1089,$A1089)=1,1,0))</f>
        <v/>
      </c>
      <c r="W1089">
        <f>IF($V1089=1,SUMPRODUCT(--($Y$2:$Y$1501&lt;$Y1089))+1,"")</f>
        <v/>
      </c>
      <c r="X1089">
        <f>IF($A1089="","",IF(OR($T1089=TRUE(),$T1089="TRUE"),1,0))</f>
        <v/>
      </c>
      <c r="Y1089">
        <f>IF($V1089=1,IFERROR(IF(VALUE($A1089)&lt;100000000,VALUE($A1089),1000000000),IFERROR(IF(VALUE(MID($A1089,2,20))&lt;100000000,VALUE(MID($A1089,2,20)),1000000000),1000000000))+ROW()/100000,"")</f>
        <v/>
      </c>
    </row>
    <row r="1090">
      <c r="F1090" s="7">
        <f>IF($A1090="","",E1090*L1090/100)</f>
        <v/>
      </c>
      <c r="J1090" s="7" t="n"/>
      <c r="K1090" s="7">
        <f>IF($A1090="","",N1090*U1090/100)</f>
        <v/>
      </c>
      <c r="L1090" s="7">
        <f>IF($A1090="","",N1090-K1090)</f>
        <v/>
      </c>
      <c r="M1090" s="7">
        <f>IF($A1090="","",L1090-F1090)</f>
        <v/>
      </c>
      <c r="N1090" s="7" t="n"/>
      <c r="O1090" s="7" t="n"/>
      <c r="P1090" s="7" t="n"/>
      <c r="R1090" s="14" t="n"/>
      <c r="V1090">
        <f>IF($A1090="","",IF(COUNTIF($A$2:$A1090,$A1090)=1,1,0))</f>
        <v/>
      </c>
      <c r="W1090">
        <f>IF($V1090=1,SUMPRODUCT(--($Y$2:$Y$1501&lt;$Y1090))+1,"")</f>
        <v/>
      </c>
      <c r="X1090">
        <f>IF($A1090="","",IF(OR($T1090=TRUE(),$T1090="TRUE"),1,0))</f>
        <v/>
      </c>
      <c r="Y1090">
        <f>IF($V1090=1,IFERROR(IF(VALUE($A1090)&lt;100000000,VALUE($A1090),1000000000),IFERROR(IF(VALUE(MID($A1090,2,20))&lt;100000000,VALUE(MID($A1090,2,20)),1000000000),1000000000))+ROW()/100000,"")</f>
        <v/>
      </c>
    </row>
    <row r="1091">
      <c r="F1091" s="7">
        <f>IF($A1091="","",E1091*L1091/100)</f>
        <v/>
      </c>
      <c r="J1091" s="7" t="n"/>
      <c r="K1091" s="7">
        <f>IF($A1091="","",N1091*U1091/100)</f>
        <v/>
      </c>
      <c r="L1091" s="7">
        <f>IF($A1091="","",N1091-K1091)</f>
        <v/>
      </c>
      <c r="M1091" s="7">
        <f>IF($A1091="","",L1091-F1091)</f>
        <v/>
      </c>
      <c r="N1091" s="7" t="n"/>
      <c r="O1091" s="7" t="n"/>
      <c r="P1091" s="7" t="n"/>
      <c r="R1091" s="14" t="n"/>
      <c r="V1091">
        <f>IF($A1091="","",IF(COUNTIF($A$2:$A1091,$A1091)=1,1,0))</f>
        <v/>
      </c>
      <c r="W1091">
        <f>IF($V1091=1,SUMPRODUCT(--($Y$2:$Y$1501&lt;$Y1091))+1,"")</f>
        <v/>
      </c>
      <c r="X1091">
        <f>IF($A1091="","",IF(OR($T1091=TRUE(),$T1091="TRUE"),1,0))</f>
        <v/>
      </c>
      <c r="Y1091">
        <f>IF($V1091=1,IFERROR(IF(VALUE($A1091)&lt;100000000,VALUE($A1091),1000000000),IFERROR(IF(VALUE(MID($A1091,2,20))&lt;100000000,VALUE(MID($A1091,2,20)),1000000000),1000000000))+ROW()/100000,"")</f>
        <v/>
      </c>
    </row>
    <row r="1092">
      <c r="F1092" s="7">
        <f>IF($A1092="","",E1092*L1092/100)</f>
        <v/>
      </c>
      <c r="J1092" s="7" t="n"/>
      <c r="K1092" s="7">
        <f>IF($A1092="","",N1092*U1092/100)</f>
        <v/>
      </c>
      <c r="L1092" s="7">
        <f>IF($A1092="","",N1092-K1092)</f>
        <v/>
      </c>
      <c r="M1092" s="7">
        <f>IF($A1092="","",L1092-F1092)</f>
        <v/>
      </c>
      <c r="N1092" s="7" t="n"/>
      <c r="O1092" s="7" t="n"/>
      <c r="P1092" s="7" t="n"/>
      <c r="R1092" s="14" t="n"/>
      <c r="V1092">
        <f>IF($A1092="","",IF(COUNTIF($A$2:$A1092,$A1092)=1,1,0))</f>
        <v/>
      </c>
      <c r="W1092">
        <f>IF($V1092=1,SUMPRODUCT(--($Y$2:$Y$1501&lt;$Y1092))+1,"")</f>
        <v/>
      </c>
      <c r="X1092">
        <f>IF($A1092="","",IF(OR($T1092=TRUE(),$T1092="TRUE"),1,0))</f>
        <v/>
      </c>
      <c r="Y1092">
        <f>IF($V1092=1,IFERROR(IF(VALUE($A1092)&lt;100000000,VALUE($A1092),1000000000),IFERROR(IF(VALUE(MID($A1092,2,20))&lt;100000000,VALUE(MID($A1092,2,20)),1000000000),1000000000))+ROW()/100000,"")</f>
        <v/>
      </c>
    </row>
    <row r="1093">
      <c r="F1093" s="7">
        <f>IF($A1093="","",E1093*L1093/100)</f>
        <v/>
      </c>
      <c r="J1093" s="7" t="n"/>
      <c r="K1093" s="7">
        <f>IF($A1093="","",N1093*U1093/100)</f>
        <v/>
      </c>
      <c r="L1093" s="7">
        <f>IF($A1093="","",N1093-K1093)</f>
        <v/>
      </c>
      <c r="M1093" s="7">
        <f>IF($A1093="","",L1093-F1093)</f>
        <v/>
      </c>
      <c r="N1093" s="7" t="n"/>
      <c r="O1093" s="7" t="n"/>
      <c r="P1093" s="7" t="n"/>
      <c r="R1093" s="14" t="n"/>
      <c r="V1093">
        <f>IF($A1093="","",IF(COUNTIF($A$2:$A1093,$A1093)=1,1,0))</f>
        <v/>
      </c>
      <c r="W1093">
        <f>IF($V1093=1,SUMPRODUCT(--($Y$2:$Y$1501&lt;$Y1093))+1,"")</f>
        <v/>
      </c>
      <c r="X1093">
        <f>IF($A1093="","",IF(OR($T1093=TRUE(),$T1093="TRUE"),1,0))</f>
        <v/>
      </c>
      <c r="Y1093">
        <f>IF($V1093=1,IFERROR(IF(VALUE($A1093)&lt;100000000,VALUE($A1093),1000000000),IFERROR(IF(VALUE(MID($A1093,2,20))&lt;100000000,VALUE(MID($A1093,2,20)),1000000000),1000000000))+ROW()/100000,"")</f>
        <v/>
      </c>
    </row>
    <row r="1094">
      <c r="F1094" s="7">
        <f>IF($A1094="","",E1094*L1094/100)</f>
        <v/>
      </c>
      <c r="J1094" s="7" t="n"/>
      <c r="K1094" s="7">
        <f>IF($A1094="","",N1094*U1094/100)</f>
        <v/>
      </c>
      <c r="L1094" s="7">
        <f>IF($A1094="","",N1094-K1094)</f>
        <v/>
      </c>
      <c r="M1094" s="7">
        <f>IF($A1094="","",L1094-F1094)</f>
        <v/>
      </c>
      <c r="N1094" s="7" t="n"/>
      <c r="O1094" s="7" t="n"/>
      <c r="P1094" s="7" t="n"/>
      <c r="R1094" s="14" t="n"/>
      <c r="V1094">
        <f>IF($A1094="","",IF(COUNTIF($A$2:$A1094,$A1094)=1,1,0))</f>
        <v/>
      </c>
      <c r="W1094">
        <f>IF($V1094=1,SUMPRODUCT(--($Y$2:$Y$1501&lt;$Y1094))+1,"")</f>
        <v/>
      </c>
      <c r="X1094">
        <f>IF($A1094="","",IF(OR($T1094=TRUE(),$T1094="TRUE"),1,0))</f>
        <v/>
      </c>
      <c r="Y1094">
        <f>IF($V1094=1,IFERROR(IF(VALUE($A1094)&lt;100000000,VALUE($A1094),1000000000),IFERROR(IF(VALUE(MID($A1094,2,20))&lt;100000000,VALUE(MID($A1094,2,20)),1000000000),1000000000))+ROW()/100000,"")</f>
        <v/>
      </c>
    </row>
    <row r="1095">
      <c r="F1095" s="7">
        <f>IF($A1095="","",E1095*L1095/100)</f>
        <v/>
      </c>
      <c r="J1095" s="7" t="n"/>
      <c r="K1095" s="7">
        <f>IF($A1095="","",N1095*U1095/100)</f>
        <v/>
      </c>
      <c r="L1095" s="7">
        <f>IF($A1095="","",N1095-K1095)</f>
        <v/>
      </c>
      <c r="M1095" s="7">
        <f>IF($A1095="","",L1095-F1095)</f>
        <v/>
      </c>
      <c r="N1095" s="7" t="n"/>
      <c r="O1095" s="7" t="n"/>
      <c r="P1095" s="7" t="n"/>
      <c r="R1095" s="14" t="n"/>
      <c r="V1095">
        <f>IF($A1095="","",IF(COUNTIF($A$2:$A1095,$A1095)=1,1,0))</f>
        <v/>
      </c>
      <c r="W1095">
        <f>IF($V1095=1,SUMPRODUCT(--($Y$2:$Y$1501&lt;$Y1095))+1,"")</f>
        <v/>
      </c>
      <c r="X1095">
        <f>IF($A1095="","",IF(OR($T1095=TRUE(),$T1095="TRUE"),1,0))</f>
        <v/>
      </c>
      <c r="Y1095">
        <f>IF($V1095=1,IFERROR(IF(VALUE($A1095)&lt;100000000,VALUE($A1095),1000000000),IFERROR(IF(VALUE(MID($A1095,2,20))&lt;100000000,VALUE(MID($A1095,2,20)),1000000000),1000000000))+ROW()/100000,"")</f>
        <v/>
      </c>
    </row>
    <row r="1096">
      <c r="F1096" s="7">
        <f>IF($A1096="","",E1096*L1096/100)</f>
        <v/>
      </c>
      <c r="J1096" s="7" t="n"/>
      <c r="K1096" s="7">
        <f>IF($A1096="","",N1096*U1096/100)</f>
        <v/>
      </c>
      <c r="L1096" s="7">
        <f>IF($A1096="","",N1096-K1096)</f>
        <v/>
      </c>
      <c r="M1096" s="7">
        <f>IF($A1096="","",L1096-F1096)</f>
        <v/>
      </c>
      <c r="N1096" s="7" t="n"/>
      <c r="O1096" s="7" t="n"/>
      <c r="P1096" s="7" t="n"/>
      <c r="R1096" s="14" t="n"/>
      <c r="V1096">
        <f>IF($A1096="","",IF(COUNTIF($A$2:$A1096,$A1096)=1,1,0))</f>
        <v/>
      </c>
      <c r="W1096">
        <f>IF($V1096=1,SUMPRODUCT(--($Y$2:$Y$1501&lt;$Y1096))+1,"")</f>
        <v/>
      </c>
      <c r="X1096">
        <f>IF($A1096="","",IF(OR($T1096=TRUE(),$T1096="TRUE"),1,0))</f>
        <v/>
      </c>
      <c r="Y1096">
        <f>IF($V1096=1,IFERROR(IF(VALUE($A1096)&lt;100000000,VALUE($A1096),1000000000),IFERROR(IF(VALUE(MID($A1096,2,20))&lt;100000000,VALUE(MID($A1096,2,20)),1000000000),1000000000))+ROW()/100000,"")</f>
        <v/>
      </c>
    </row>
    <row r="1097">
      <c r="F1097" s="7">
        <f>IF($A1097="","",E1097*L1097/100)</f>
        <v/>
      </c>
      <c r="J1097" s="7" t="n"/>
      <c r="K1097" s="7">
        <f>IF($A1097="","",N1097*U1097/100)</f>
        <v/>
      </c>
      <c r="L1097" s="7">
        <f>IF($A1097="","",N1097-K1097)</f>
        <v/>
      </c>
      <c r="M1097" s="7">
        <f>IF($A1097="","",L1097-F1097)</f>
        <v/>
      </c>
      <c r="N1097" s="7" t="n"/>
      <c r="O1097" s="7" t="n"/>
      <c r="P1097" s="7" t="n"/>
      <c r="R1097" s="14" t="n"/>
      <c r="V1097">
        <f>IF($A1097="","",IF(COUNTIF($A$2:$A1097,$A1097)=1,1,0))</f>
        <v/>
      </c>
      <c r="W1097">
        <f>IF($V1097=1,SUMPRODUCT(--($Y$2:$Y$1501&lt;$Y1097))+1,"")</f>
        <v/>
      </c>
      <c r="X1097">
        <f>IF($A1097="","",IF(OR($T1097=TRUE(),$T1097="TRUE"),1,0))</f>
        <v/>
      </c>
      <c r="Y1097">
        <f>IF($V1097=1,IFERROR(IF(VALUE($A1097)&lt;100000000,VALUE($A1097),1000000000),IFERROR(IF(VALUE(MID($A1097,2,20))&lt;100000000,VALUE(MID($A1097,2,20)),1000000000),1000000000))+ROW()/100000,"")</f>
        <v/>
      </c>
    </row>
    <row r="1098">
      <c r="F1098" s="7">
        <f>IF($A1098="","",E1098*L1098/100)</f>
        <v/>
      </c>
      <c r="J1098" s="7" t="n"/>
      <c r="K1098" s="7">
        <f>IF($A1098="","",N1098*U1098/100)</f>
        <v/>
      </c>
      <c r="L1098" s="7">
        <f>IF($A1098="","",N1098-K1098)</f>
        <v/>
      </c>
      <c r="M1098" s="7">
        <f>IF($A1098="","",L1098-F1098)</f>
        <v/>
      </c>
      <c r="N1098" s="7" t="n"/>
      <c r="O1098" s="7" t="n"/>
      <c r="P1098" s="7" t="n"/>
      <c r="R1098" s="14" t="n"/>
      <c r="V1098">
        <f>IF($A1098="","",IF(COUNTIF($A$2:$A1098,$A1098)=1,1,0))</f>
        <v/>
      </c>
      <c r="W1098">
        <f>IF($V1098=1,SUMPRODUCT(--($Y$2:$Y$1501&lt;$Y1098))+1,"")</f>
        <v/>
      </c>
      <c r="X1098">
        <f>IF($A1098="","",IF(OR($T1098=TRUE(),$T1098="TRUE"),1,0))</f>
        <v/>
      </c>
      <c r="Y1098">
        <f>IF($V1098=1,IFERROR(IF(VALUE($A1098)&lt;100000000,VALUE($A1098),1000000000),IFERROR(IF(VALUE(MID($A1098,2,20))&lt;100000000,VALUE(MID($A1098,2,20)),1000000000),1000000000))+ROW()/100000,"")</f>
        <v/>
      </c>
    </row>
    <row r="1099">
      <c r="F1099" s="7">
        <f>IF($A1099="","",E1099*L1099/100)</f>
        <v/>
      </c>
      <c r="J1099" s="7" t="n"/>
      <c r="K1099" s="7">
        <f>IF($A1099="","",N1099*U1099/100)</f>
        <v/>
      </c>
      <c r="L1099" s="7">
        <f>IF($A1099="","",N1099-K1099)</f>
        <v/>
      </c>
      <c r="M1099" s="7">
        <f>IF($A1099="","",L1099-F1099)</f>
        <v/>
      </c>
      <c r="N1099" s="7" t="n"/>
      <c r="O1099" s="7" t="n"/>
      <c r="P1099" s="7" t="n"/>
      <c r="R1099" s="14" t="n"/>
      <c r="V1099">
        <f>IF($A1099="","",IF(COUNTIF($A$2:$A1099,$A1099)=1,1,0))</f>
        <v/>
      </c>
      <c r="W1099">
        <f>IF($V1099=1,SUMPRODUCT(--($Y$2:$Y$1501&lt;$Y1099))+1,"")</f>
        <v/>
      </c>
      <c r="X1099">
        <f>IF($A1099="","",IF(OR($T1099=TRUE(),$T1099="TRUE"),1,0))</f>
        <v/>
      </c>
      <c r="Y1099">
        <f>IF($V1099=1,IFERROR(IF(VALUE($A1099)&lt;100000000,VALUE($A1099),1000000000),IFERROR(IF(VALUE(MID($A1099,2,20))&lt;100000000,VALUE(MID($A1099,2,20)),1000000000),1000000000))+ROW()/100000,"")</f>
        <v/>
      </c>
    </row>
    <row r="1100">
      <c r="F1100" s="7">
        <f>IF($A1100="","",E1100*L1100/100)</f>
        <v/>
      </c>
      <c r="J1100" s="7" t="n"/>
      <c r="K1100" s="7">
        <f>IF($A1100="","",N1100*U1100/100)</f>
        <v/>
      </c>
      <c r="L1100" s="7">
        <f>IF($A1100="","",N1100-K1100)</f>
        <v/>
      </c>
      <c r="M1100" s="7">
        <f>IF($A1100="","",L1100-F1100)</f>
        <v/>
      </c>
      <c r="N1100" s="7" t="n"/>
      <c r="O1100" s="7" t="n"/>
      <c r="P1100" s="7" t="n"/>
      <c r="R1100" s="14" t="n"/>
      <c r="V1100">
        <f>IF($A1100="","",IF(COUNTIF($A$2:$A1100,$A1100)=1,1,0))</f>
        <v/>
      </c>
      <c r="W1100">
        <f>IF($V1100=1,SUMPRODUCT(--($Y$2:$Y$1501&lt;$Y1100))+1,"")</f>
        <v/>
      </c>
      <c r="X1100">
        <f>IF($A1100="","",IF(OR($T1100=TRUE(),$T1100="TRUE"),1,0))</f>
        <v/>
      </c>
      <c r="Y1100">
        <f>IF($V1100=1,IFERROR(IF(VALUE($A1100)&lt;100000000,VALUE($A1100),1000000000),IFERROR(IF(VALUE(MID($A1100,2,20))&lt;100000000,VALUE(MID($A1100,2,20)),1000000000),1000000000))+ROW()/100000,"")</f>
        <v/>
      </c>
    </row>
    <row r="1101">
      <c r="F1101" s="7">
        <f>IF($A1101="","",E1101*L1101/100)</f>
        <v/>
      </c>
      <c r="J1101" s="7" t="n"/>
      <c r="K1101" s="7">
        <f>IF($A1101="","",N1101*U1101/100)</f>
        <v/>
      </c>
      <c r="L1101" s="7">
        <f>IF($A1101="","",N1101-K1101)</f>
        <v/>
      </c>
      <c r="M1101" s="7">
        <f>IF($A1101="","",L1101-F1101)</f>
        <v/>
      </c>
      <c r="N1101" s="7" t="n"/>
      <c r="O1101" s="7" t="n"/>
      <c r="P1101" s="7" t="n"/>
      <c r="R1101" s="14" t="n"/>
      <c r="V1101">
        <f>IF($A1101="","",IF(COUNTIF($A$2:$A1101,$A1101)=1,1,0))</f>
        <v/>
      </c>
      <c r="W1101">
        <f>IF($V1101=1,SUMPRODUCT(--($Y$2:$Y$1501&lt;$Y1101))+1,"")</f>
        <v/>
      </c>
      <c r="X1101">
        <f>IF($A1101="","",IF(OR($T1101=TRUE(),$T1101="TRUE"),1,0))</f>
        <v/>
      </c>
      <c r="Y1101">
        <f>IF($V1101=1,IFERROR(IF(VALUE($A1101)&lt;100000000,VALUE($A1101),1000000000),IFERROR(IF(VALUE(MID($A1101,2,20))&lt;100000000,VALUE(MID($A1101,2,20)),1000000000),1000000000))+ROW()/100000,"")</f>
        <v/>
      </c>
    </row>
    <row r="1102">
      <c r="F1102" s="7">
        <f>IF($A1102="","",E1102*L1102/100)</f>
        <v/>
      </c>
      <c r="J1102" s="7" t="n"/>
      <c r="K1102" s="7">
        <f>IF($A1102="","",N1102*U1102/100)</f>
        <v/>
      </c>
      <c r="L1102" s="7">
        <f>IF($A1102="","",N1102-K1102)</f>
        <v/>
      </c>
      <c r="M1102" s="7">
        <f>IF($A1102="","",L1102-F1102)</f>
        <v/>
      </c>
      <c r="N1102" s="7" t="n"/>
      <c r="O1102" s="7" t="n"/>
      <c r="P1102" s="7" t="n"/>
      <c r="R1102" s="14" t="n"/>
      <c r="V1102">
        <f>IF($A1102="","",IF(COUNTIF($A$2:$A1102,$A1102)=1,1,0))</f>
        <v/>
      </c>
      <c r="W1102">
        <f>IF($V1102=1,SUMPRODUCT(--($Y$2:$Y$1501&lt;$Y1102))+1,"")</f>
        <v/>
      </c>
      <c r="X1102">
        <f>IF($A1102="","",IF(OR($T1102=TRUE(),$T1102="TRUE"),1,0))</f>
        <v/>
      </c>
      <c r="Y1102">
        <f>IF($V1102=1,IFERROR(IF(VALUE($A1102)&lt;100000000,VALUE($A1102),1000000000),IFERROR(IF(VALUE(MID($A1102,2,20))&lt;100000000,VALUE(MID($A1102,2,20)),1000000000),1000000000))+ROW()/100000,"")</f>
        <v/>
      </c>
    </row>
    <row r="1103">
      <c r="F1103" s="7">
        <f>IF($A1103="","",E1103*L1103/100)</f>
        <v/>
      </c>
      <c r="J1103" s="7" t="n"/>
      <c r="K1103" s="7">
        <f>IF($A1103="","",N1103*U1103/100)</f>
        <v/>
      </c>
      <c r="L1103" s="7">
        <f>IF($A1103="","",N1103-K1103)</f>
        <v/>
      </c>
      <c r="M1103" s="7">
        <f>IF($A1103="","",L1103-F1103)</f>
        <v/>
      </c>
      <c r="N1103" s="7" t="n"/>
      <c r="O1103" s="7" t="n"/>
      <c r="P1103" s="7" t="n"/>
      <c r="R1103" s="14" t="n"/>
      <c r="V1103">
        <f>IF($A1103="","",IF(COUNTIF($A$2:$A1103,$A1103)=1,1,0))</f>
        <v/>
      </c>
      <c r="W1103">
        <f>IF($V1103=1,SUMPRODUCT(--($Y$2:$Y$1501&lt;$Y1103))+1,"")</f>
        <v/>
      </c>
      <c r="X1103">
        <f>IF($A1103="","",IF(OR($T1103=TRUE(),$T1103="TRUE"),1,0))</f>
        <v/>
      </c>
      <c r="Y1103">
        <f>IF($V1103=1,IFERROR(IF(VALUE($A1103)&lt;100000000,VALUE($A1103),1000000000),IFERROR(IF(VALUE(MID($A1103,2,20))&lt;100000000,VALUE(MID($A1103,2,20)),1000000000),1000000000))+ROW()/100000,"")</f>
        <v/>
      </c>
    </row>
    <row r="1104">
      <c r="F1104" s="7">
        <f>IF($A1104="","",E1104*L1104/100)</f>
        <v/>
      </c>
      <c r="J1104" s="7" t="n"/>
      <c r="K1104" s="7">
        <f>IF($A1104="","",N1104*U1104/100)</f>
        <v/>
      </c>
      <c r="L1104" s="7">
        <f>IF($A1104="","",N1104-K1104)</f>
        <v/>
      </c>
      <c r="M1104" s="7">
        <f>IF($A1104="","",L1104-F1104)</f>
        <v/>
      </c>
      <c r="N1104" s="7" t="n"/>
      <c r="O1104" s="7" t="n"/>
      <c r="P1104" s="7" t="n"/>
      <c r="R1104" s="14" t="n"/>
      <c r="V1104">
        <f>IF($A1104="","",IF(COUNTIF($A$2:$A1104,$A1104)=1,1,0))</f>
        <v/>
      </c>
      <c r="W1104">
        <f>IF($V1104=1,SUMPRODUCT(--($Y$2:$Y$1501&lt;$Y1104))+1,"")</f>
        <v/>
      </c>
      <c r="X1104">
        <f>IF($A1104="","",IF(OR($T1104=TRUE(),$T1104="TRUE"),1,0))</f>
        <v/>
      </c>
      <c r="Y1104">
        <f>IF($V1104=1,IFERROR(IF(VALUE($A1104)&lt;100000000,VALUE($A1104),1000000000),IFERROR(IF(VALUE(MID($A1104,2,20))&lt;100000000,VALUE(MID($A1104,2,20)),1000000000),1000000000))+ROW()/100000,"")</f>
        <v/>
      </c>
    </row>
    <row r="1105">
      <c r="F1105" s="7">
        <f>IF($A1105="","",E1105*L1105/100)</f>
        <v/>
      </c>
      <c r="J1105" s="7" t="n"/>
      <c r="K1105" s="7">
        <f>IF($A1105="","",N1105*U1105/100)</f>
        <v/>
      </c>
      <c r="L1105" s="7">
        <f>IF($A1105="","",N1105-K1105)</f>
        <v/>
      </c>
      <c r="M1105" s="7">
        <f>IF($A1105="","",L1105-F1105)</f>
        <v/>
      </c>
      <c r="N1105" s="7" t="n"/>
      <c r="O1105" s="7" t="n"/>
      <c r="P1105" s="7" t="n"/>
      <c r="R1105" s="14" t="n"/>
      <c r="V1105">
        <f>IF($A1105="","",IF(COUNTIF($A$2:$A1105,$A1105)=1,1,0))</f>
        <v/>
      </c>
      <c r="W1105">
        <f>IF($V1105=1,SUMPRODUCT(--($Y$2:$Y$1501&lt;$Y1105))+1,"")</f>
        <v/>
      </c>
      <c r="X1105">
        <f>IF($A1105="","",IF(OR($T1105=TRUE(),$T1105="TRUE"),1,0))</f>
        <v/>
      </c>
      <c r="Y1105">
        <f>IF($V1105=1,IFERROR(IF(VALUE($A1105)&lt;100000000,VALUE($A1105),1000000000),IFERROR(IF(VALUE(MID($A1105,2,20))&lt;100000000,VALUE(MID($A1105,2,20)),1000000000),1000000000))+ROW()/100000,"")</f>
        <v/>
      </c>
    </row>
    <row r="1106">
      <c r="F1106" s="7">
        <f>IF($A1106="","",E1106*L1106/100)</f>
        <v/>
      </c>
      <c r="J1106" s="7" t="n"/>
      <c r="K1106" s="7">
        <f>IF($A1106="","",N1106*U1106/100)</f>
        <v/>
      </c>
      <c r="L1106" s="7">
        <f>IF($A1106="","",N1106-K1106)</f>
        <v/>
      </c>
      <c r="M1106" s="7">
        <f>IF($A1106="","",L1106-F1106)</f>
        <v/>
      </c>
      <c r="N1106" s="7" t="n"/>
      <c r="O1106" s="7" t="n"/>
      <c r="P1106" s="7" t="n"/>
      <c r="R1106" s="14" t="n"/>
      <c r="V1106">
        <f>IF($A1106="","",IF(COUNTIF($A$2:$A1106,$A1106)=1,1,0))</f>
        <v/>
      </c>
      <c r="W1106">
        <f>IF($V1106=1,SUMPRODUCT(--($Y$2:$Y$1501&lt;$Y1106))+1,"")</f>
        <v/>
      </c>
      <c r="X1106">
        <f>IF($A1106="","",IF(OR($T1106=TRUE(),$T1106="TRUE"),1,0))</f>
        <v/>
      </c>
      <c r="Y1106">
        <f>IF($V1106=1,IFERROR(IF(VALUE($A1106)&lt;100000000,VALUE($A1106),1000000000),IFERROR(IF(VALUE(MID($A1106,2,20))&lt;100000000,VALUE(MID($A1106,2,20)),1000000000),1000000000))+ROW()/100000,"")</f>
        <v/>
      </c>
    </row>
    <row r="1107">
      <c r="F1107" s="7">
        <f>IF($A1107="","",E1107*L1107/100)</f>
        <v/>
      </c>
      <c r="J1107" s="7" t="n"/>
      <c r="K1107" s="7">
        <f>IF($A1107="","",N1107*U1107/100)</f>
        <v/>
      </c>
      <c r="L1107" s="7">
        <f>IF($A1107="","",N1107-K1107)</f>
        <v/>
      </c>
      <c r="M1107" s="7">
        <f>IF($A1107="","",L1107-F1107)</f>
        <v/>
      </c>
      <c r="N1107" s="7" t="n"/>
      <c r="O1107" s="7" t="n"/>
      <c r="P1107" s="7" t="n"/>
      <c r="R1107" s="14" t="n"/>
      <c r="V1107">
        <f>IF($A1107="","",IF(COUNTIF($A$2:$A1107,$A1107)=1,1,0))</f>
        <v/>
      </c>
      <c r="W1107">
        <f>IF($V1107=1,SUMPRODUCT(--($Y$2:$Y$1501&lt;$Y1107))+1,"")</f>
        <v/>
      </c>
      <c r="X1107">
        <f>IF($A1107="","",IF(OR($T1107=TRUE(),$T1107="TRUE"),1,0))</f>
        <v/>
      </c>
      <c r="Y1107">
        <f>IF($V1107=1,IFERROR(IF(VALUE($A1107)&lt;100000000,VALUE($A1107),1000000000),IFERROR(IF(VALUE(MID($A1107,2,20))&lt;100000000,VALUE(MID($A1107,2,20)),1000000000),1000000000))+ROW()/100000,"")</f>
        <v/>
      </c>
    </row>
    <row r="1108">
      <c r="F1108" s="7">
        <f>IF($A1108="","",E1108*L1108/100)</f>
        <v/>
      </c>
      <c r="J1108" s="7" t="n"/>
      <c r="K1108" s="7">
        <f>IF($A1108="","",N1108*U1108/100)</f>
        <v/>
      </c>
      <c r="L1108" s="7">
        <f>IF($A1108="","",N1108-K1108)</f>
        <v/>
      </c>
      <c r="M1108" s="7">
        <f>IF($A1108="","",L1108-F1108)</f>
        <v/>
      </c>
      <c r="N1108" s="7" t="n"/>
      <c r="O1108" s="7" t="n"/>
      <c r="P1108" s="7" t="n"/>
      <c r="R1108" s="14" t="n"/>
      <c r="V1108">
        <f>IF($A1108="","",IF(COUNTIF($A$2:$A1108,$A1108)=1,1,0))</f>
        <v/>
      </c>
      <c r="W1108">
        <f>IF($V1108=1,SUMPRODUCT(--($Y$2:$Y$1501&lt;$Y1108))+1,"")</f>
        <v/>
      </c>
      <c r="X1108">
        <f>IF($A1108="","",IF(OR($T1108=TRUE(),$T1108="TRUE"),1,0))</f>
        <v/>
      </c>
      <c r="Y1108">
        <f>IF($V1108=1,IFERROR(IF(VALUE($A1108)&lt;100000000,VALUE($A1108),1000000000),IFERROR(IF(VALUE(MID($A1108,2,20))&lt;100000000,VALUE(MID($A1108,2,20)),1000000000),1000000000))+ROW()/100000,"")</f>
        <v/>
      </c>
    </row>
    <row r="1109">
      <c r="F1109" s="7">
        <f>IF($A1109="","",E1109*L1109/100)</f>
        <v/>
      </c>
      <c r="J1109" s="7" t="n"/>
      <c r="K1109" s="7">
        <f>IF($A1109="","",N1109*U1109/100)</f>
        <v/>
      </c>
      <c r="L1109" s="7">
        <f>IF($A1109="","",N1109-K1109)</f>
        <v/>
      </c>
      <c r="M1109" s="7">
        <f>IF($A1109="","",L1109-F1109)</f>
        <v/>
      </c>
      <c r="N1109" s="7" t="n"/>
      <c r="O1109" s="7" t="n"/>
      <c r="P1109" s="7" t="n"/>
      <c r="R1109" s="14" t="n"/>
      <c r="V1109">
        <f>IF($A1109="","",IF(COUNTIF($A$2:$A1109,$A1109)=1,1,0))</f>
        <v/>
      </c>
      <c r="W1109">
        <f>IF($V1109=1,SUMPRODUCT(--($Y$2:$Y$1501&lt;$Y1109))+1,"")</f>
        <v/>
      </c>
      <c r="X1109">
        <f>IF($A1109="","",IF(OR($T1109=TRUE(),$T1109="TRUE"),1,0))</f>
        <v/>
      </c>
      <c r="Y1109">
        <f>IF($V1109=1,IFERROR(IF(VALUE($A1109)&lt;100000000,VALUE($A1109),1000000000),IFERROR(IF(VALUE(MID($A1109,2,20))&lt;100000000,VALUE(MID($A1109,2,20)),1000000000),1000000000))+ROW()/100000,"")</f>
        <v/>
      </c>
    </row>
    <row r="1110">
      <c r="F1110" s="7">
        <f>IF($A1110="","",E1110*L1110/100)</f>
        <v/>
      </c>
      <c r="J1110" s="7" t="n"/>
      <c r="K1110" s="7">
        <f>IF($A1110="","",N1110*U1110/100)</f>
        <v/>
      </c>
      <c r="L1110" s="7">
        <f>IF($A1110="","",N1110-K1110)</f>
        <v/>
      </c>
      <c r="M1110" s="7">
        <f>IF($A1110="","",L1110-F1110)</f>
        <v/>
      </c>
      <c r="N1110" s="7" t="n"/>
      <c r="O1110" s="7" t="n"/>
      <c r="P1110" s="7" t="n"/>
      <c r="R1110" s="14" t="n"/>
      <c r="V1110">
        <f>IF($A1110="","",IF(COUNTIF($A$2:$A1110,$A1110)=1,1,0))</f>
        <v/>
      </c>
      <c r="W1110">
        <f>IF($V1110=1,SUMPRODUCT(--($Y$2:$Y$1501&lt;$Y1110))+1,"")</f>
        <v/>
      </c>
      <c r="X1110">
        <f>IF($A1110="","",IF(OR($T1110=TRUE(),$T1110="TRUE"),1,0))</f>
        <v/>
      </c>
      <c r="Y1110">
        <f>IF($V1110=1,IFERROR(IF(VALUE($A1110)&lt;100000000,VALUE($A1110),1000000000),IFERROR(IF(VALUE(MID($A1110,2,20))&lt;100000000,VALUE(MID($A1110,2,20)),1000000000),1000000000))+ROW()/100000,"")</f>
        <v/>
      </c>
    </row>
    <row r="1111">
      <c r="F1111" s="7">
        <f>IF($A1111="","",E1111*L1111/100)</f>
        <v/>
      </c>
      <c r="J1111" s="7" t="n"/>
      <c r="K1111" s="7">
        <f>IF($A1111="","",N1111*U1111/100)</f>
        <v/>
      </c>
      <c r="L1111" s="7">
        <f>IF($A1111="","",N1111-K1111)</f>
        <v/>
      </c>
      <c r="M1111" s="7">
        <f>IF($A1111="","",L1111-F1111)</f>
        <v/>
      </c>
      <c r="N1111" s="7" t="n"/>
      <c r="O1111" s="7" t="n"/>
      <c r="P1111" s="7" t="n"/>
      <c r="R1111" s="14" t="n"/>
      <c r="V1111">
        <f>IF($A1111="","",IF(COUNTIF($A$2:$A1111,$A1111)=1,1,0))</f>
        <v/>
      </c>
      <c r="W1111">
        <f>IF($V1111=1,SUMPRODUCT(--($Y$2:$Y$1501&lt;$Y1111))+1,"")</f>
        <v/>
      </c>
      <c r="X1111">
        <f>IF($A1111="","",IF(OR($T1111=TRUE(),$T1111="TRUE"),1,0))</f>
        <v/>
      </c>
      <c r="Y1111">
        <f>IF($V1111=1,IFERROR(IF(VALUE($A1111)&lt;100000000,VALUE($A1111),1000000000),IFERROR(IF(VALUE(MID($A1111,2,20))&lt;100000000,VALUE(MID($A1111,2,20)),1000000000),1000000000))+ROW()/100000,"")</f>
        <v/>
      </c>
    </row>
    <row r="1112">
      <c r="F1112" s="7">
        <f>IF($A1112="","",E1112*L1112/100)</f>
        <v/>
      </c>
      <c r="J1112" s="7" t="n"/>
      <c r="K1112" s="7">
        <f>IF($A1112="","",N1112*U1112/100)</f>
        <v/>
      </c>
      <c r="L1112" s="7">
        <f>IF($A1112="","",N1112-K1112)</f>
        <v/>
      </c>
      <c r="M1112" s="7">
        <f>IF($A1112="","",L1112-F1112)</f>
        <v/>
      </c>
      <c r="N1112" s="7" t="n"/>
      <c r="O1112" s="7" t="n"/>
      <c r="P1112" s="7" t="n"/>
      <c r="R1112" s="14" t="n"/>
      <c r="V1112">
        <f>IF($A1112="","",IF(COUNTIF($A$2:$A1112,$A1112)=1,1,0))</f>
        <v/>
      </c>
      <c r="W1112">
        <f>IF($V1112=1,SUMPRODUCT(--($Y$2:$Y$1501&lt;$Y1112))+1,"")</f>
        <v/>
      </c>
      <c r="X1112">
        <f>IF($A1112="","",IF(OR($T1112=TRUE(),$T1112="TRUE"),1,0))</f>
        <v/>
      </c>
      <c r="Y1112">
        <f>IF($V1112=1,IFERROR(IF(VALUE($A1112)&lt;100000000,VALUE($A1112),1000000000),IFERROR(IF(VALUE(MID($A1112,2,20))&lt;100000000,VALUE(MID($A1112,2,20)),1000000000),1000000000))+ROW()/100000,"")</f>
        <v/>
      </c>
    </row>
    <row r="1113">
      <c r="F1113" s="7">
        <f>IF($A1113="","",E1113*L1113/100)</f>
        <v/>
      </c>
      <c r="J1113" s="7" t="n"/>
      <c r="K1113" s="7">
        <f>IF($A1113="","",N1113*U1113/100)</f>
        <v/>
      </c>
      <c r="L1113" s="7">
        <f>IF($A1113="","",N1113-K1113)</f>
        <v/>
      </c>
      <c r="M1113" s="7">
        <f>IF($A1113="","",L1113-F1113)</f>
        <v/>
      </c>
      <c r="N1113" s="7" t="n"/>
      <c r="O1113" s="7" t="n"/>
      <c r="P1113" s="7" t="n"/>
      <c r="R1113" s="14" t="n"/>
      <c r="V1113">
        <f>IF($A1113="","",IF(COUNTIF($A$2:$A1113,$A1113)=1,1,0))</f>
        <v/>
      </c>
      <c r="W1113">
        <f>IF($V1113=1,SUMPRODUCT(--($Y$2:$Y$1501&lt;$Y1113))+1,"")</f>
        <v/>
      </c>
      <c r="X1113">
        <f>IF($A1113="","",IF(OR($T1113=TRUE(),$T1113="TRUE"),1,0))</f>
        <v/>
      </c>
      <c r="Y1113">
        <f>IF($V1113=1,IFERROR(IF(VALUE($A1113)&lt;100000000,VALUE($A1113),1000000000),IFERROR(IF(VALUE(MID($A1113,2,20))&lt;100000000,VALUE(MID($A1113,2,20)),1000000000),1000000000))+ROW()/100000,"")</f>
        <v/>
      </c>
    </row>
    <row r="1114">
      <c r="F1114" s="7">
        <f>IF($A1114="","",E1114*L1114/100)</f>
        <v/>
      </c>
      <c r="J1114" s="7" t="n"/>
      <c r="K1114" s="7">
        <f>IF($A1114="","",N1114*U1114/100)</f>
        <v/>
      </c>
      <c r="L1114" s="7">
        <f>IF($A1114="","",N1114-K1114)</f>
        <v/>
      </c>
      <c r="M1114" s="7">
        <f>IF($A1114="","",L1114-F1114)</f>
        <v/>
      </c>
      <c r="N1114" s="7" t="n"/>
      <c r="O1114" s="7" t="n"/>
      <c r="P1114" s="7" t="n"/>
      <c r="R1114" s="14" t="n"/>
      <c r="V1114">
        <f>IF($A1114="","",IF(COUNTIF($A$2:$A1114,$A1114)=1,1,0))</f>
        <v/>
      </c>
      <c r="W1114">
        <f>IF($V1114=1,SUMPRODUCT(--($Y$2:$Y$1501&lt;$Y1114))+1,"")</f>
        <v/>
      </c>
      <c r="X1114">
        <f>IF($A1114="","",IF(OR($T1114=TRUE(),$T1114="TRUE"),1,0))</f>
        <v/>
      </c>
      <c r="Y1114">
        <f>IF($V1114=1,IFERROR(IF(VALUE($A1114)&lt;100000000,VALUE($A1114),1000000000),IFERROR(IF(VALUE(MID($A1114,2,20))&lt;100000000,VALUE(MID($A1114,2,20)),1000000000),1000000000))+ROW()/100000,"")</f>
        <v/>
      </c>
    </row>
    <row r="1115">
      <c r="F1115" s="7">
        <f>IF($A1115="","",E1115*L1115/100)</f>
        <v/>
      </c>
      <c r="J1115" s="7" t="n"/>
      <c r="K1115" s="7">
        <f>IF($A1115="","",N1115*U1115/100)</f>
        <v/>
      </c>
      <c r="L1115" s="7">
        <f>IF($A1115="","",N1115-K1115)</f>
        <v/>
      </c>
      <c r="M1115" s="7">
        <f>IF($A1115="","",L1115-F1115)</f>
        <v/>
      </c>
      <c r="N1115" s="7" t="n"/>
      <c r="O1115" s="7" t="n"/>
      <c r="P1115" s="7" t="n"/>
      <c r="R1115" s="14" t="n"/>
      <c r="V1115">
        <f>IF($A1115="","",IF(COUNTIF($A$2:$A1115,$A1115)=1,1,0))</f>
        <v/>
      </c>
      <c r="W1115">
        <f>IF($V1115=1,SUMPRODUCT(--($Y$2:$Y$1501&lt;$Y1115))+1,"")</f>
        <v/>
      </c>
      <c r="X1115">
        <f>IF($A1115="","",IF(OR($T1115=TRUE(),$T1115="TRUE"),1,0))</f>
        <v/>
      </c>
      <c r="Y1115">
        <f>IF($V1115=1,IFERROR(IF(VALUE($A1115)&lt;100000000,VALUE($A1115),1000000000),IFERROR(IF(VALUE(MID($A1115,2,20))&lt;100000000,VALUE(MID($A1115,2,20)),1000000000),1000000000))+ROW()/100000,"")</f>
        <v/>
      </c>
    </row>
    <row r="1116">
      <c r="F1116" s="7">
        <f>IF($A1116="","",E1116*L1116/100)</f>
        <v/>
      </c>
      <c r="J1116" s="7" t="n"/>
      <c r="K1116" s="7">
        <f>IF($A1116="","",N1116*U1116/100)</f>
        <v/>
      </c>
      <c r="L1116" s="7">
        <f>IF($A1116="","",N1116-K1116)</f>
        <v/>
      </c>
      <c r="M1116" s="7">
        <f>IF($A1116="","",L1116-F1116)</f>
        <v/>
      </c>
      <c r="N1116" s="7" t="n"/>
      <c r="O1116" s="7" t="n"/>
      <c r="P1116" s="7" t="n"/>
      <c r="R1116" s="14" t="n"/>
      <c r="V1116">
        <f>IF($A1116="","",IF(COUNTIF($A$2:$A1116,$A1116)=1,1,0))</f>
        <v/>
      </c>
      <c r="W1116">
        <f>IF($V1116=1,SUMPRODUCT(--($Y$2:$Y$1501&lt;$Y1116))+1,"")</f>
        <v/>
      </c>
      <c r="X1116">
        <f>IF($A1116="","",IF(OR($T1116=TRUE(),$T1116="TRUE"),1,0))</f>
        <v/>
      </c>
      <c r="Y1116">
        <f>IF($V1116=1,IFERROR(IF(VALUE($A1116)&lt;100000000,VALUE($A1116),1000000000),IFERROR(IF(VALUE(MID($A1116,2,20))&lt;100000000,VALUE(MID($A1116,2,20)),1000000000),1000000000))+ROW()/100000,"")</f>
        <v/>
      </c>
    </row>
    <row r="1117">
      <c r="F1117" s="7">
        <f>IF($A1117="","",E1117*L1117/100)</f>
        <v/>
      </c>
      <c r="J1117" s="7" t="n"/>
      <c r="K1117" s="7">
        <f>IF($A1117="","",N1117*U1117/100)</f>
        <v/>
      </c>
      <c r="L1117" s="7">
        <f>IF($A1117="","",N1117-K1117)</f>
        <v/>
      </c>
      <c r="M1117" s="7">
        <f>IF($A1117="","",L1117-F1117)</f>
        <v/>
      </c>
      <c r="N1117" s="7" t="n"/>
      <c r="O1117" s="7" t="n"/>
      <c r="P1117" s="7" t="n"/>
      <c r="R1117" s="14" t="n"/>
      <c r="V1117">
        <f>IF($A1117="","",IF(COUNTIF($A$2:$A1117,$A1117)=1,1,0))</f>
        <v/>
      </c>
      <c r="W1117">
        <f>IF($V1117=1,SUMPRODUCT(--($Y$2:$Y$1501&lt;$Y1117))+1,"")</f>
        <v/>
      </c>
      <c r="X1117">
        <f>IF($A1117="","",IF(OR($T1117=TRUE(),$T1117="TRUE"),1,0))</f>
        <v/>
      </c>
      <c r="Y1117">
        <f>IF($V1117=1,IFERROR(IF(VALUE($A1117)&lt;100000000,VALUE($A1117),1000000000),IFERROR(IF(VALUE(MID($A1117,2,20))&lt;100000000,VALUE(MID($A1117,2,20)),1000000000),1000000000))+ROW()/100000,"")</f>
        <v/>
      </c>
    </row>
    <row r="1118">
      <c r="F1118" s="7">
        <f>IF($A1118="","",E1118*L1118/100)</f>
        <v/>
      </c>
      <c r="J1118" s="7" t="n"/>
      <c r="K1118" s="7">
        <f>IF($A1118="","",N1118*U1118/100)</f>
        <v/>
      </c>
      <c r="L1118" s="7">
        <f>IF($A1118="","",N1118-K1118)</f>
        <v/>
      </c>
      <c r="M1118" s="7">
        <f>IF($A1118="","",L1118-F1118)</f>
        <v/>
      </c>
      <c r="N1118" s="7" t="n"/>
      <c r="O1118" s="7" t="n"/>
      <c r="P1118" s="7" t="n"/>
      <c r="R1118" s="14" t="n"/>
      <c r="V1118">
        <f>IF($A1118="","",IF(COUNTIF($A$2:$A1118,$A1118)=1,1,0))</f>
        <v/>
      </c>
      <c r="W1118">
        <f>IF($V1118=1,SUMPRODUCT(--($Y$2:$Y$1501&lt;$Y1118))+1,"")</f>
        <v/>
      </c>
      <c r="X1118">
        <f>IF($A1118="","",IF(OR($T1118=TRUE(),$T1118="TRUE"),1,0))</f>
        <v/>
      </c>
      <c r="Y1118">
        <f>IF($V1118=1,IFERROR(IF(VALUE($A1118)&lt;100000000,VALUE($A1118),1000000000),IFERROR(IF(VALUE(MID($A1118,2,20))&lt;100000000,VALUE(MID($A1118,2,20)),1000000000),1000000000))+ROW()/100000,"")</f>
        <v/>
      </c>
    </row>
    <row r="1119">
      <c r="F1119" s="7">
        <f>IF($A1119="","",E1119*L1119/100)</f>
        <v/>
      </c>
      <c r="J1119" s="7" t="n"/>
      <c r="K1119" s="7">
        <f>IF($A1119="","",N1119*U1119/100)</f>
        <v/>
      </c>
      <c r="L1119" s="7">
        <f>IF($A1119="","",N1119-K1119)</f>
        <v/>
      </c>
      <c r="M1119" s="7">
        <f>IF($A1119="","",L1119-F1119)</f>
        <v/>
      </c>
      <c r="N1119" s="7" t="n"/>
      <c r="O1119" s="7" t="n"/>
      <c r="P1119" s="7" t="n"/>
      <c r="R1119" s="14" t="n"/>
      <c r="V1119">
        <f>IF($A1119="","",IF(COUNTIF($A$2:$A1119,$A1119)=1,1,0))</f>
        <v/>
      </c>
      <c r="W1119">
        <f>IF($V1119=1,SUMPRODUCT(--($Y$2:$Y$1501&lt;$Y1119))+1,"")</f>
        <v/>
      </c>
      <c r="X1119">
        <f>IF($A1119="","",IF(OR($T1119=TRUE(),$T1119="TRUE"),1,0))</f>
        <v/>
      </c>
      <c r="Y1119">
        <f>IF($V1119=1,IFERROR(IF(VALUE($A1119)&lt;100000000,VALUE($A1119),1000000000),IFERROR(IF(VALUE(MID($A1119,2,20))&lt;100000000,VALUE(MID($A1119,2,20)),1000000000),1000000000))+ROW()/100000,"")</f>
        <v/>
      </c>
    </row>
    <row r="1120">
      <c r="F1120" s="7">
        <f>IF($A1120="","",E1120*L1120/100)</f>
        <v/>
      </c>
      <c r="J1120" s="7" t="n"/>
      <c r="K1120" s="7">
        <f>IF($A1120="","",N1120*U1120/100)</f>
        <v/>
      </c>
      <c r="L1120" s="7">
        <f>IF($A1120="","",N1120-K1120)</f>
        <v/>
      </c>
      <c r="M1120" s="7">
        <f>IF($A1120="","",L1120-F1120)</f>
        <v/>
      </c>
      <c r="N1120" s="7" t="n"/>
      <c r="O1120" s="7" t="n"/>
      <c r="P1120" s="7" t="n"/>
      <c r="R1120" s="14" t="n"/>
      <c r="V1120">
        <f>IF($A1120="","",IF(COUNTIF($A$2:$A1120,$A1120)=1,1,0))</f>
        <v/>
      </c>
      <c r="W1120">
        <f>IF($V1120=1,SUMPRODUCT(--($Y$2:$Y$1501&lt;$Y1120))+1,"")</f>
        <v/>
      </c>
      <c r="X1120">
        <f>IF($A1120="","",IF(OR($T1120=TRUE(),$T1120="TRUE"),1,0))</f>
        <v/>
      </c>
      <c r="Y1120">
        <f>IF($V1120=1,IFERROR(IF(VALUE($A1120)&lt;100000000,VALUE($A1120),1000000000),IFERROR(IF(VALUE(MID($A1120,2,20))&lt;100000000,VALUE(MID($A1120,2,20)),1000000000),1000000000))+ROW()/100000,"")</f>
        <v/>
      </c>
    </row>
    <row r="1121">
      <c r="F1121" s="7">
        <f>IF($A1121="","",E1121*L1121/100)</f>
        <v/>
      </c>
      <c r="J1121" s="7" t="n"/>
      <c r="K1121" s="7">
        <f>IF($A1121="","",N1121*U1121/100)</f>
        <v/>
      </c>
      <c r="L1121" s="7">
        <f>IF($A1121="","",N1121-K1121)</f>
        <v/>
      </c>
      <c r="M1121" s="7">
        <f>IF($A1121="","",L1121-F1121)</f>
        <v/>
      </c>
      <c r="N1121" s="7" t="n"/>
      <c r="O1121" s="7" t="n"/>
      <c r="P1121" s="7" t="n"/>
      <c r="R1121" s="14" t="n"/>
      <c r="V1121">
        <f>IF($A1121="","",IF(COUNTIF($A$2:$A1121,$A1121)=1,1,0))</f>
        <v/>
      </c>
      <c r="W1121">
        <f>IF($V1121=1,SUMPRODUCT(--($Y$2:$Y$1501&lt;$Y1121))+1,"")</f>
        <v/>
      </c>
      <c r="X1121">
        <f>IF($A1121="","",IF(OR($T1121=TRUE(),$T1121="TRUE"),1,0))</f>
        <v/>
      </c>
      <c r="Y1121">
        <f>IF($V1121=1,IFERROR(IF(VALUE($A1121)&lt;100000000,VALUE($A1121),1000000000),IFERROR(IF(VALUE(MID($A1121,2,20))&lt;100000000,VALUE(MID($A1121,2,20)),1000000000),1000000000))+ROW()/100000,"")</f>
        <v/>
      </c>
    </row>
    <row r="1122">
      <c r="F1122" s="7">
        <f>IF($A1122="","",E1122*L1122/100)</f>
        <v/>
      </c>
      <c r="J1122" s="7" t="n"/>
      <c r="K1122" s="7">
        <f>IF($A1122="","",N1122*U1122/100)</f>
        <v/>
      </c>
      <c r="L1122" s="7">
        <f>IF($A1122="","",N1122-K1122)</f>
        <v/>
      </c>
      <c r="M1122" s="7">
        <f>IF($A1122="","",L1122-F1122)</f>
        <v/>
      </c>
      <c r="N1122" s="7" t="n"/>
      <c r="O1122" s="7" t="n"/>
      <c r="P1122" s="7" t="n"/>
      <c r="R1122" s="14" t="n"/>
      <c r="V1122">
        <f>IF($A1122="","",IF(COUNTIF($A$2:$A1122,$A1122)=1,1,0))</f>
        <v/>
      </c>
      <c r="W1122">
        <f>IF($V1122=1,SUMPRODUCT(--($Y$2:$Y$1501&lt;$Y1122))+1,"")</f>
        <v/>
      </c>
      <c r="X1122">
        <f>IF($A1122="","",IF(OR($T1122=TRUE(),$T1122="TRUE"),1,0))</f>
        <v/>
      </c>
      <c r="Y1122">
        <f>IF($V1122=1,IFERROR(IF(VALUE($A1122)&lt;100000000,VALUE($A1122),1000000000),IFERROR(IF(VALUE(MID($A1122,2,20))&lt;100000000,VALUE(MID($A1122,2,20)),1000000000),1000000000))+ROW()/100000,"")</f>
        <v/>
      </c>
    </row>
    <row r="1123">
      <c r="F1123" s="7">
        <f>IF($A1123="","",E1123*L1123/100)</f>
        <v/>
      </c>
      <c r="J1123" s="7" t="n"/>
      <c r="K1123" s="7">
        <f>IF($A1123="","",N1123*U1123/100)</f>
        <v/>
      </c>
      <c r="L1123" s="7">
        <f>IF($A1123="","",N1123-K1123)</f>
        <v/>
      </c>
      <c r="M1123" s="7">
        <f>IF($A1123="","",L1123-F1123)</f>
        <v/>
      </c>
      <c r="N1123" s="7" t="n"/>
      <c r="O1123" s="7" t="n"/>
      <c r="P1123" s="7" t="n"/>
      <c r="R1123" s="14" t="n"/>
      <c r="V1123">
        <f>IF($A1123="","",IF(COUNTIF($A$2:$A1123,$A1123)=1,1,0))</f>
        <v/>
      </c>
      <c r="W1123">
        <f>IF($V1123=1,SUMPRODUCT(--($Y$2:$Y$1501&lt;$Y1123))+1,"")</f>
        <v/>
      </c>
      <c r="X1123">
        <f>IF($A1123="","",IF(OR($T1123=TRUE(),$T1123="TRUE"),1,0))</f>
        <v/>
      </c>
      <c r="Y1123">
        <f>IF($V1123=1,IFERROR(IF(VALUE($A1123)&lt;100000000,VALUE($A1123),1000000000),IFERROR(IF(VALUE(MID($A1123,2,20))&lt;100000000,VALUE(MID($A1123,2,20)),1000000000),1000000000))+ROW()/100000,"")</f>
        <v/>
      </c>
    </row>
    <row r="1124">
      <c r="F1124" s="7">
        <f>IF($A1124="","",E1124*L1124/100)</f>
        <v/>
      </c>
      <c r="J1124" s="7" t="n"/>
      <c r="K1124" s="7">
        <f>IF($A1124="","",N1124*U1124/100)</f>
        <v/>
      </c>
      <c r="L1124" s="7">
        <f>IF($A1124="","",N1124-K1124)</f>
        <v/>
      </c>
      <c r="M1124" s="7">
        <f>IF($A1124="","",L1124-F1124)</f>
        <v/>
      </c>
      <c r="N1124" s="7" t="n"/>
      <c r="O1124" s="7" t="n"/>
      <c r="P1124" s="7" t="n"/>
      <c r="R1124" s="14" t="n"/>
      <c r="V1124">
        <f>IF($A1124="","",IF(COUNTIF($A$2:$A1124,$A1124)=1,1,0))</f>
        <v/>
      </c>
      <c r="W1124">
        <f>IF($V1124=1,SUMPRODUCT(--($Y$2:$Y$1501&lt;$Y1124))+1,"")</f>
        <v/>
      </c>
      <c r="X1124">
        <f>IF($A1124="","",IF(OR($T1124=TRUE(),$T1124="TRUE"),1,0))</f>
        <v/>
      </c>
      <c r="Y1124">
        <f>IF($V1124=1,IFERROR(IF(VALUE($A1124)&lt;100000000,VALUE($A1124),1000000000),IFERROR(IF(VALUE(MID($A1124,2,20))&lt;100000000,VALUE(MID($A1124,2,20)),1000000000),1000000000))+ROW()/100000,"")</f>
        <v/>
      </c>
    </row>
    <row r="1125">
      <c r="F1125" s="7">
        <f>IF($A1125="","",E1125*L1125/100)</f>
        <v/>
      </c>
      <c r="J1125" s="7" t="n"/>
      <c r="K1125" s="7">
        <f>IF($A1125="","",N1125*U1125/100)</f>
        <v/>
      </c>
      <c r="L1125" s="7">
        <f>IF($A1125="","",N1125-K1125)</f>
        <v/>
      </c>
      <c r="M1125" s="7">
        <f>IF($A1125="","",L1125-F1125)</f>
        <v/>
      </c>
      <c r="N1125" s="7" t="n"/>
      <c r="O1125" s="7" t="n"/>
      <c r="P1125" s="7" t="n"/>
      <c r="R1125" s="14" t="n"/>
      <c r="V1125">
        <f>IF($A1125="","",IF(COUNTIF($A$2:$A1125,$A1125)=1,1,0))</f>
        <v/>
      </c>
      <c r="W1125">
        <f>IF($V1125=1,SUMPRODUCT(--($Y$2:$Y$1501&lt;$Y1125))+1,"")</f>
        <v/>
      </c>
      <c r="X1125">
        <f>IF($A1125="","",IF(OR($T1125=TRUE(),$T1125="TRUE"),1,0))</f>
        <v/>
      </c>
      <c r="Y1125">
        <f>IF($V1125=1,IFERROR(IF(VALUE($A1125)&lt;100000000,VALUE($A1125),1000000000),IFERROR(IF(VALUE(MID($A1125,2,20))&lt;100000000,VALUE(MID($A1125,2,20)),1000000000),1000000000))+ROW()/100000,"")</f>
        <v/>
      </c>
    </row>
    <row r="1126">
      <c r="F1126" s="7">
        <f>IF($A1126="","",E1126*L1126/100)</f>
        <v/>
      </c>
      <c r="J1126" s="7" t="n"/>
      <c r="K1126" s="7">
        <f>IF($A1126="","",N1126*U1126/100)</f>
        <v/>
      </c>
      <c r="L1126" s="7">
        <f>IF($A1126="","",N1126-K1126)</f>
        <v/>
      </c>
      <c r="M1126" s="7">
        <f>IF($A1126="","",L1126-F1126)</f>
        <v/>
      </c>
      <c r="N1126" s="7" t="n"/>
      <c r="O1126" s="7" t="n"/>
      <c r="P1126" s="7" t="n"/>
      <c r="R1126" s="14" t="n"/>
      <c r="V1126">
        <f>IF($A1126="","",IF(COUNTIF($A$2:$A1126,$A1126)=1,1,0))</f>
        <v/>
      </c>
      <c r="W1126">
        <f>IF($V1126=1,SUMPRODUCT(--($Y$2:$Y$1501&lt;$Y1126))+1,"")</f>
        <v/>
      </c>
      <c r="X1126">
        <f>IF($A1126="","",IF(OR($T1126=TRUE(),$T1126="TRUE"),1,0))</f>
        <v/>
      </c>
      <c r="Y1126">
        <f>IF($V1126=1,IFERROR(IF(VALUE($A1126)&lt;100000000,VALUE($A1126),1000000000),IFERROR(IF(VALUE(MID($A1126,2,20))&lt;100000000,VALUE(MID($A1126,2,20)),1000000000),1000000000))+ROW()/100000,"")</f>
        <v/>
      </c>
    </row>
    <row r="1127">
      <c r="F1127" s="7">
        <f>IF($A1127="","",E1127*L1127/100)</f>
        <v/>
      </c>
      <c r="J1127" s="7" t="n"/>
      <c r="K1127" s="7">
        <f>IF($A1127="","",N1127*U1127/100)</f>
        <v/>
      </c>
      <c r="L1127" s="7">
        <f>IF($A1127="","",N1127-K1127)</f>
        <v/>
      </c>
      <c r="M1127" s="7">
        <f>IF($A1127="","",L1127-F1127)</f>
        <v/>
      </c>
      <c r="N1127" s="7" t="n"/>
      <c r="O1127" s="7" t="n"/>
      <c r="P1127" s="7" t="n"/>
      <c r="R1127" s="14" t="n"/>
      <c r="V1127">
        <f>IF($A1127="","",IF(COUNTIF($A$2:$A1127,$A1127)=1,1,0))</f>
        <v/>
      </c>
      <c r="W1127">
        <f>IF($V1127=1,SUMPRODUCT(--($Y$2:$Y$1501&lt;$Y1127))+1,"")</f>
        <v/>
      </c>
      <c r="X1127">
        <f>IF($A1127="","",IF(OR($T1127=TRUE(),$T1127="TRUE"),1,0))</f>
        <v/>
      </c>
      <c r="Y1127">
        <f>IF($V1127=1,IFERROR(IF(VALUE($A1127)&lt;100000000,VALUE($A1127),1000000000),IFERROR(IF(VALUE(MID($A1127,2,20))&lt;100000000,VALUE(MID($A1127,2,20)),1000000000),1000000000))+ROW()/100000,"")</f>
        <v/>
      </c>
    </row>
    <row r="1128">
      <c r="F1128" s="7">
        <f>IF($A1128="","",E1128*L1128/100)</f>
        <v/>
      </c>
      <c r="J1128" s="7" t="n"/>
      <c r="K1128" s="7">
        <f>IF($A1128="","",N1128*U1128/100)</f>
        <v/>
      </c>
      <c r="L1128" s="7">
        <f>IF($A1128="","",N1128-K1128)</f>
        <v/>
      </c>
      <c r="M1128" s="7">
        <f>IF($A1128="","",L1128-F1128)</f>
        <v/>
      </c>
      <c r="N1128" s="7" t="n"/>
      <c r="O1128" s="7" t="n"/>
      <c r="P1128" s="7" t="n"/>
      <c r="R1128" s="14" t="n"/>
      <c r="V1128">
        <f>IF($A1128="","",IF(COUNTIF($A$2:$A1128,$A1128)=1,1,0))</f>
        <v/>
      </c>
      <c r="W1128">
        <f>IF($V1128=1,SUMPRODUCT(--($Y$2:$Y$1501&lt;$Y1128))+1,"")</f>
        <v/>
      </c>
      <c r="X1128">
        <f>IF($A1128="","",IF(OR($T1128=TRUE(),$T1128="TRUE"),1,0))</f>
        <v/>
      </c>
      <c r="Y1128">
        <f>IF($V1128=1,IFERROR(IF(VALUE($A1128)&lt;100000000,VALUE($A1128),1000000000),IFERROR(IF(VALUE(MID($A1128,2,20))&lt;100000000,VALUE(MID($A1128,2,20)),1000000000),1000000000))+ROW()/100000,"")</f>
        <v/>
      </c>
    </row>
    <row r="1129">
      <c r="F1129" s="7">
        <f>IF($A1129="","",E1129*L1129/100)</f>
        <v/>
      </c>
      <c r="J1129" s="7" t="n"/>
      <c r="K1129" s="7">
        <f>IF($A1129="","",N1129*U1129/100)</f>
        <v/>
      </c>
      <c r="L1129" s="7">
        <f>IF($A1129="","",N1129-K1129)</f>
        <v/>
      </c>
      <c r="M1129" s="7">
        <f>IF($A1129="","",L1129-F1129)</f>
        <v/>
      </c>
      <c r="N1129" s="7" t="n"/>
      <c r="O1129" s="7" t="n"/>
      <c r="P1129" s="7" t="n"/>
      <c r="R1129" s="14" t="n"/>
      <c r="V1129">
        <f>IF($A1129="","",IF(COUNTIF($A$2:$A1129,$A1129)=1,1,0))</f>
        <v/>
      </c>
      <c r="W1129">
        <f>IF($V1129=1,SUMPRODUCT(--($Y$2:$Y$1501&lt;$Y1129))+1,"")</f>
        <v/>
      </c>
      <c r="X1129">
        <f>IF($A1129="","",IF(OR($T1129=TRUE(),$T1129="TRUE"),1,0))</f>
        <v/>
      </c>
      <c r="Y1129">
        <f>IF($V1129=1,IFERROR(IF(VALUE($A1129)&lt;100000000,VALUE($A1129),1000000000),IFERROR(IF(VALUE(MID($A1129,2,20))&lt;100000000,VALUE(MID($A1129,2,20)),1000000000),1000000000))+ROW()/100000,"")</f>
        <v/>
      </c>
    </row>
    <row r="1130">
      <c r="F1130" s="7">
        <f>IF($A1130="","",E1130*L1130/100)</f>
        <v/>
      </c>
      <c r="J1130" s="7" t="n"/>
      <c r="K1130" s="7">
        <f>IF($A1130="","",N1130*U1130/100)</f>
        <v/>
      </c>
      <c r="L1130" s="7">
        <f>IF($A1130="","",N1130-K1130)</f>
        <v/>
      </c>
      <c r="M1130" s="7">
        <f>IF($A1130="","",L1130-F1130)</f>
        <v/>
      </c>
      <c r="N1130" s="7" t="n"/>
      <c r="O1130" s="7" t="n"/>
      <c r="P1130" s="7" t="n"/>
      <c r="R1130" s="14" t="n"/>
      <c r="V1130">
        <f>IF($A1130="","",IF(COUNTIF($A$2:$A1130,$A1130)=1,1,0))</f>
        <v/>
      </c>
      <c r="W1130">
        <f>IF($V1130=1,SUMPRODUCT(--($Y$2:$Y$1501&lt;$Y1130))+1,"")</f>
        <v/>
      </c>
      <c r="X1130">
        <f>IF($A1130="","",IF(OR($T1130=TRUE(),$T1130="TRUE"),1,0))</f>
        <v/>
      </c>
      <c r="Y1130">
        <f>IF($V1130=1,IFERROR(IF(VALUE($A1130)&lt;100000000,VALUE($A1130),1000000000),IFERROR(IF(VALUE(MID($A1130,2,20))&lt;100000000,VALUE(MID($A1130,2,20)),1000000000),1000000000))+ROW()/100000,"")</f>
        <v/>
      </c>
    </row>
    <row r="1131">
      <c r="F1131" s="7">
        <f>IF($A1131="","",E1131*L1131/100)</f>
        <v/>
      </c>
      <c r="J1131" s="7" t="n"/>
      <c r="K1131" s="7">
        <f>IF($A1131="","",N1131*U1131/100)</f>
        <v/>
      </c>
      <c r="L1131" s="7">
        <f>IF($A1131="","",N1131-K1131)</f>
        <v/>
      </c>
      <c r="M1131" s="7">
        <f>IF($A1131="","",L1131-F1131)</f>
        <v/>
      </c>
      <c r="N1131" s="7" t="n"/>
      <c r="O1131" s="7" t="n"/>
      <c r="P1131" s="7" t="n"/>
      <c r="R1131" s="14" t="n"/>
      <c r="V1131">
        <f>IF($A1131="","",IF(COUNTIF($A$2:$A1131,$A1131)=1,1,0))</f>
        <v/>
      </c>
      <c r="W1131">
        <f>IF($V1131=1,SUMPRODUCT(--($Y$2:$Y$1501&lt;$Y1131))+1,"")</f>
        <v/>
      </c>
      <c r="X1131">
        <f>IF($A1131="","",IF(OR($T1131=TRUE(),$T1131="TRUE"),1,0))</f>
        <v/>
      </c>
      <c r="Y1131">
        <f>IF($V1131=1,IFERROR(IF(VALUE($A1131)&lt;100000000,VALUE($A1131),1000000000),IFERROR(IF(VALUE(MID($A1131,2,20))&lt;100000000,VALUE(MID($A1131,2,20)),1000000000),1000000000))+ROW()/100000,"")</f>
        <v/>
      </c>
    </row>
    <row r="1132">
      <c r="F1132" s="7">
        <f>IF($A1132="","",E1132*L1132/100)</f>
        <v/>
      </c>
      <c r="J1132" s="7" t="n"/>
      <c r="K1132" s="7">
        <f>IF($A1132="","",N1132*U1132/100)</f>
        <v/>
      </c>
      <c r="L1132" s="7">
        <f>IF($A1132="","",N1132-K1132)</f>
        <v/>
      </c>
      <c r="M1132" s="7">
        <f>IF($A1132="","",L1132-F1132)</f>
        <v/>
      </c>
      <c r="N1132" s="7" t="n"/>
      <c r="O1132" s="7" t="n"/>
      <c r="P1132" s="7" t="n"/>
      <c r="R1132" s="14" t="n"/>
      <c r="V1132">
        <f>IF($A1132="","",IF(COUNTIF($A$2:$A1132,$A1132)=1,1,0))</f>
        <v/>
      </c>
      <c r="W1132">
        <f>IF($V1132=1,SUMPRODUCT(--($Y$2:$Y$1501&lt;$Y1132))+1,"")</f>
        <v/>
      </c>
      <c r="X1132">
        <f>IF($A1132="","",IF(OR($T1132=TRUE(),$T1132="TRUE"),1,0))</f>
        <v/>
      </c>
      <c r="Y1132">
        <f>IF($V1132=1,IFERROR(IF(VALUE($A1132)&lt;100000000,VALUE($A1132),1000000000),IFERROR(IF(VALUE(MID($A1132,2,20))&lt;100000000,VALUE(MID($A1132,2,20)),1000000000),1000000000))+ROW()/100000,"")</f>
        <v/>
      </c>
    </row>
    <row r="1133">
      <c r="F1133" s="7">
        <f>IF($A1133="","",E1133*L1133/100)</f>
        <v/>
      </c>
      <c r="J1133" s="7" t="n"/>
      <c r="K1133" s="7">
        <f>IF($A1133="","",N1133*U1133/100)</f>
        <v/>
      </c>
      <c r="L1133" s="7">
        <f>IF($A1133="","",N1133-K1133)</f>
        <v/>
      </c>
      <c r="M1133" s="7">
        <f>IF($A1133="","",L1133-F1133)</f>
        <v/>
      </c>
      <c r="N1133" s="7" t="n"/>
      <c r="O1133" s="7" t="n"/>
      <c r="P1133" s="7" t="n"/>
      <c r="R1133" s="14" t="n"/>
      <c r="V1133">
        <f>IF($A1133="","",IF(COUNTIF($A$2:$A1133,$A1133)=1,1,0))</f>
        <v/>
      </c>
      <c r="W1133">
        <f>IF($V1133=1,SUMPRODUCT(--($Y$2:$Y$1501&lt;$Y1133))+1,"")</f>
        <v/>
      </c>
      <c r="X1133">
        <f>IF($A1133="","",IF(OR($T1133=TRUE(),$T1133="TRUE"),1,0))</f>
        <v/>
      </c>
      <c r="Y1133">
        <f>IF($V1133=1,IFERROR(IF(VALUE($A1133)&lt;100000000,VALUE($A1133),1000000000),IFERROR(IF(VALUE(MID($A1133,2,20))&lt;100000000,VALUE(MID($A1133,2,20)),1000000000),1000000000))+ROW()/100000,"")</f>
        <v/>
      </c>
    </row>
    <row r="1134">
      <c r="F1134" s="7">
        <f>IF($A1134="","",E1134*L1134/100)</f>
        <v/>
      </c>
      <c r="J1134" s="7" t="n"/>
      <c r="K1134" s="7">
        <f>IF($A1134="","",N1134*U1134/100)</f>
        <v/>
      </c>
      <c r="L1134" s="7">
        <f>IF($A1134="","",N1134-K1134)</f>
        <v/>
      </c>
      <c r="M1134" s="7">
        <f>IF($A1134="","",L1134-F1134)</f>
        <v/>
      </c>
      <c r="N1134" s="7" t="n"/>
      <c r="O1134" s="7" t="n"/>
      <c r="P1134" s="7" t="n"/>
      <c r="R1134" s="14" t="n"/>
      <c r="V1134">
        <f>IF($A1134="","",IF(COUNTIF($A$2:$A1134,$A1134)=1,1,0))</f>
        <v/>
      </c>
      <c r="W1134">
        <f>IF($V1134=1,SUMPRODUCT(--($Y$2:$Y$1501&lt;$Y1134))+1,"")</f>
        <v/>
      </c>
      <c r="X1134">
        <f>IF($A1134="","",IF(OR($T1134=TRUE(),$T1134="TRUE"),1,0))</f>
        <v/>
      </c>
      <c r="Y1134">
        <f>IF($V1134=1,IFERROR(IF(VALUE($A1134)&lt;100000000,VALUE($A1134),1000000000),IFERROR(IF(VALUE(MID($A1134,2,20))&lt;100000000,VALUE(MID($A1134,2,20)),1000000000),1000000000))+ROW()/100000,"")</f>
        <v/>
      </c>
    </row>
    <row r="1135">
      <c r="F1135" s="7">
        <f>IF($A1135="","",E1135*L1135/100)</f>
        <v/>
      </c>
      <c r="J1135" s="7" t="n"/>
      <c r="K1135" s="7">
        <f>IF($A1135="","",N1135*U1135/100)</f>
        <v/>
      </c>
      <c r="L1135" s="7">
        <f>IF($A1135="","",N1135-K1135)</f>
        <v/>
      </c>
      <c r="M1135" s="7">
        <f>IF($A1135="","",L1135-F1135)</f>
        <v/>
      </c>
      <c r="N1135" s="7" t="n"/>
      <c r="O1135" s="7" t="n"/>
      <c r="P1135" s="7" t="n"/>
      <c r="R1135" s="14" t="n"/>
      <c r="V1135">
        <f>IF($A1135="","",IF(COUNTIF($A$2:$A1135,$A1135)=1,1,0))</f>
        <v/>
      </c>
      <c r="W1135">
        <f>IF($V1135=1,SUMPRODUCT(--($Y$2:$Y$1501&lt;$Y1135))+1,"")</f>
        <v/>
      </c>
      <c r="X1135">
        <f>IF($A1135="","",IF(OR($T1135=TRUE(),$T1135="TRUE"),1,0))</f>
        <v/>
      </c>
      <c r="Y1135">
        <f>IF($V1135=1,IFERROR(IF(VALUE($A1135)&lt;100000000,VALUE($A1135),1000000000),IFERROR(IF(VALUE(MID($A1135,2,20))&lt;100000000,VALUE(MID($A1135,2,20)),1000000000),1000000000))+ROW()/100000,"")</f>
        <v/>
      </c>
    </row>
    <row r="1136">
      <c r="F1136" s="7">
        <f>IF($A1136="","",E1136*L1136/100)</f>
        <v/>
      </c>
      <c r="J1136" s="7" t="n"/>
      <c r="K1136" s="7">
        <f>IF($A1136="","",N1136*U1136/100)</f>
        <v/>
      </c>
      <c r="L1136" s="7">
        <f>IF($A1136="","",N1136-K1136)</f>
        <v/>
      </c>
      <c r="M1136" s="7">
        <f>IF($A1136="","",L1136-F1136)</f>
        <v/>
      </c>
      <c r="N1136" s="7" t="n"/>
      <c r="O1136" s="7" t="n"/>
      <c r="P1136" s="7" t="n"/>
      <c r="R1136" s="14" t="n"/>
      <c r="V1136">
        <f>IF($A1136="","",IF(COUNTIF($A$2:$A1136,$A1136)=1,1,0))</f>
        <v/>
      </c>
      <c r="W1136">
        <f>IF($V1136=1,SUMPRODUCT(--($Y$2:$Y$1501&lt;$Y1136))+1,"")</f>
        <v/>
      </c>
      <c r="X1136">
        <f>IF($A1136="","",IF(OR($T1136=TRUE(),$T1136="TRUE"),1,0))</f>
        <v/>
      </c>
      <c r="Y1136">
        <f>IF($V1136=1,IFERROR(IF(VALUE($A1136)&lt;100000000,VALUE($A1136),1000000000),IFERROR(IF(VALUE(MID($A1136,2,20))&lt;100000000,VALUE(MID($A1136,2,20)),1000000000),1000000000))+ROW()/100000,"")</f>
        <v/>
      </c>
    </row>
    <row r="1137">
      <c r="F1137" s="7">
        <f>IF($A1137="","",E1137*L1137/100)</f>
        <v/>
      </c>
      <c r="J1137" s="7" t="n"/>
      <c r="K1137" s="7">
        <f>IF($A1137="","",N1137*U1137/100)</f>
        <v/>
      </c>
      <c r="L1137" s="7">
        <f>IF($A1137="","",N1137-K1137)</f>
        <v/>
      </c>
      <c r="M1137" s="7">
        <f>IF($A1137="","",L1137-F1137)</f>
        <v/>
      </c>
      <c r="N1137" s="7" t="n"/>
      <c r="O1137" s="7" t="n"/>
      <c r="P1137" s="7" t="n"/>
      <c r="R1137" s="14" t="n"/>
      <c r="V1137">
        <f>IF($A1137="","",IF(COUNTIF($A$2:$A1137,$A1137)=1,1,0))</f>
        <v/>
      </c>
      <c r="W1137">
        <f>IF($V1137=1,SUMPRODUCT(--($Y$2:$Y$1501&lt;$Y1137))+1,"")</f>
        <v/>
      </c>
      <c r="X1137">
        <f>IF($A1137="","",IF(OR($T1137=TRUE(),$T1137="TRUE"),1,0))</f>
        <v/>
      </c>
      <c r="Y1137">
        <f>IF($V1137=1,IFERROR(IF(VALUE($A1137)&lt;100000000,VALUE($A1137),1000000000),IFERROR(IF(VALUE(MID($A1137,2,20))&lt;100000000,VALUE(MID($A1137,2,20)),1000000000),1000000000))+ROW()/100000,"")</f>
        <v/>
      </c>
    </row>
    <row r="1138">
      <c r="F1138" s="7">
        <f>IF($A1138="","",E1138*L1138/100)</f>
        <v/>
      </c>
      <c r="J1138" s="7" t="n"/>
      <c r="K1138" s="7">
        <f>IF($A1138="","",N1138*U1138/100)</f>
        <v/>
      </c>
      <c r="L1138" s="7">
        <f>IF($A1138="","",N1138-K1138)</f>
        <v/>
      </c>
      <c r="M1138" s="7">
        <f>IF($A1138="","",L1138-F1138)</f>
        <v/>
      </c>
      <c r="N1138" s="7" t="n"/>
      <c r="O1138" s="7" t="n"/>
      <c r="P1138" s="7" t="n"/>
      <c r="R1138" s="14" t="n"/>
      <c r="V1138">
        <f>IF($A1138="","",IF(COUNTIF($A$2:$A1138,$A1138)=1,1,0))</f>
        <v/>
      </c>
      <c r="W1138">
        <f>IF($V1138=1,SUMPRODUCT(--($Y$2:$Y$1501&lt;$Y1138))+1,"")</f>
        <v/>
      </c>
      <c r="X1138">
        <f>IF($A1138="","",IF(OR($T1138=TRUE(),$T1138="TRUE"),1,0))</f>
        <v/>
      </c>
      <c r="Y1138">
        <f>IF($V1138=1,IFERROR(IF(VALUE($A1138)&lt;100000000,VALUE($A1138),1000000000),IFERROR(IF(VALUE(MID($A1138,2,20))&lt;100000000,VALUE(MID($A1138,2,20)),1000000000),1000000000))+ROW()/100000,"")</f>
        <v/>
      </c>
    </row>
    <row r="1139">
      <c r="F1139" s="7">
        <f>IF($A1139="","",E1139*L1139/100)</f>
        <v/>
      </c>
      <c r="J1139" s="7" t="n"/>
      <c r="K1139" s="7">
        <f>IF($A1139="","",N1139*U1139/100)</f>
        <v/>
      </c>
      <c r="L1139" s="7">
        <f>IF($A1139="","",N1139-K1139)</f>
        <v/>
      </c>
      <c r="M1139" s="7">
        <f>IF($A1139="","",L1139-F1139)</f>
        <v/>
      </c>
      <c r="N1139" s="7" t="n"/>
      <c r="O1139" s="7" t="n"/>
      <c r="P1139" s="7" t="n"/>
      <c r="R1139" s="14" t="n"/>
      <c r="V1139">
        <f>IF($A1139="","",IF(COUNTIF($A$2:$A1139,$A1139)=1,1,0))</f>
        <v/>
      </c>
      <c r="W1139">
        <f>IF($V1139=1,SUMPRODUCT(--($Y$2:$Y$1501&lt;$Y1139))+1,"")</f>
        <v/>
      </c>
      <c r="X1139">
        <f>IF($A1139="","",IF(OR($T1139=TRUE(),$T1139="TRUE"),1,0))</f>
        <v/>
      </c>
      <c r="Y1139">
        <f>IF($V1139=1,IFERROR(IF(VALUE($A1139)&lt;100000000,VALUE($A1139),1000000000),IFERROR(IF(VALUE(MID($A1139,2,20))&lt;100000000,VALUE(MID($A1139,2,20)),1000000000),1000000000))+ROW()/100000,"")</f>
        <v/>
      </c>
    </row>
    <row r="1140">
      <c r="F1140" s="7">
        <f>IF($A1140="","",E1140*L1140/100)</f>
        <v/>
      </c>
      <c r="J1140" s="7" t="n"/>
      <c r="K1140" s="7">
        <f>IF($A1140="","",N1140*U1140/100)</f>
        <v/>
      </c>
      <c r="L1140" s="7">
        <f>IF($A1140="","",N1140-K1140)</f>
        <v/>
      </c>
      <c r="M1140" s="7">
        <f>IF($A1140="","",L1140-F1140)</f>
        <v/>
      </c>
      <c r="N1140" s="7" t="n"/>
      <c r="O1140" s="7" t="n"/>
      <c r="P1140" s="7" t="n"/>
      <c r="R1140" s="14" t="n"/>
      <c r="V1140">
        <f>IF($A1140="","",IF(COUNTIF($A$2:$A1140,$A1140)=1,1,0))</f>
        <v/>
      </c>
      <c r="W1140">
        <f>IF($V1140=1,SUMPRODUCT(--($Y$2:$Y$1501&lt;$Y1140))+1,"")</f>
        <v/>
      </c>
      <c r="X1140">
        <f>IF($A1140="","",IF(OR($T1140=TRUE(),$T1140="TRUE"),1,0))</f>
        <v/>
      </c>
      <c r="Y1140">
        <f>IF($V1140=1,IFERROR(IF(VALUE($A1140)&lt;100000000,VALUE($A1140),1000000000),IFERROR(IF(VALUE(MID($A1140,2,20))&lt;100000000,VALUE(MID($A1140,2,20)),1000000000),1000000000))+ROW()/100000,"")</f>
        <v/>
      </c>
    </row>
    <row r="1141">
      <c r="F1141" s="7">
        <f>IF($A1141="","",E1141*L1141/100)</f>
        <v/>
      </c>
      <c r="J1141" s="7" t="n"/>
      <c r="K1141" s="7">
        <f>IF($A1141="","",N1141*U1141/100)</f>
        <v/>
      </c>
      <c r="L1141" s="7">
        <f>IF($A1141="","",N1141-K1141)</f>
        <v/>
      </c>
      <c r="M1141" s="7">
        <f>IF($A1141="","",L1141-F1141)</f>
        <v/>
      </c>
      <c r="N1141" s="7" t="n"/>
      <c r="O1141" s="7" t="n"/>
      <c r="P1141" s="7" t="n"/>
      <c r="R1141" s="14" t="n"/>
      <c r="V1141">
        <f>IF($A1141="","",IF(COUNTIF($A$2:$A1141,$A1141)=1,1,0))</f>
        <v/>
      </c>
      <c r="W1141">
        <f>IF($V1141=1,SUMPRODUCT(--($Y$2:$Y$1501&lt;$Y1141))+1,"")</f>
        <v/>
      </c>
      <c r="X1141">
        <f>IF($A1141="","",IF(OR($T1141=TRUE(),$T1141="TRUE"),1,0))</f>
        <v/>
      </c>
      <c r="Y1141">
        <f>IF($V1141=1,IFERROR(IF(VALUE($A1141)&lt;100000000,VALUE($A1141),1000000000),IFERROR(IF(VALUE(MID($A1141,2,20))&lt;100000000,VALUE(MID($A1141,2,20)),1000000000),1000000000))+ROW()/100000,"")</f>
        <v/>
      </c>
    </row>
    <row r="1142">
      <c r="F1142" s="7">
        <f>IF($A1142="","",E1142*L1142/100)</f>
        <v/>
      </c>
      <c r="J1142" s="7" t="n"/>
      <c r="K1142" s="7">
        <f>IF($A1142="","",N1142*U1142/100)</f>
        <v/>
      </c>
      <c r="L1142" s="7">
        <f>IF($A1142="","",N1142-K1142)</f>
        <v/>
      </c>
      <c r="M1142" s="7">
        <f>IF($A1142="","",L1142-F1142)</f>
        <v/>
      </c>
      <c r="N1142" s="7" t="n"/>
      <c r="O1142" s="7" t="n"/>
      <c r="P1142" s="7" t="n"/>
      <c r="R1142" s="14" t="n"/>
      <c r="V1142">
        <f>IF($A1142="","",IF(COUNTIF($A$2:$A1142,$A1142)=1,1,0))</f>
        <v/>
      </c>
      <c r="W1142">
        <f>IF($V1142=1,SUMPRODUCT(--($Y$2:$Y$1501&lt;$Y1142))+1,"")</f>
        <v/>
      </c>
      <c r="X1142">
        <f>IF($A1142="","",IF(OR($T1142=TRUE(),$T1142="TRUE"),1,0))</f>
        <v/>
      </c>
      <c r="Y1142">
        <f>IF($V1142=1,IFERROR(IF(VALUE($A1142)&lt;100000000,VALUE($A1142),1000000000),IFERROR(IF(VALUE(MID($A1142,2,20))&lt;100000000,VALUE(MID($A1142,2,20)),1000000000),1000000000))+ROW()/100000,"")</f>
        <v/>
      </c>
    </row>
    <row r="1143">
      <c r="F1143" s="7">
        <f>IF($A1143="","",E1143*L1143/100)</f>
        <v/>
      </c>
      <c r="J1143" s="7" t="n"/>
      <c r="K1143" s="7">
        <f>IF($A1143="","",N1143*U1143/100)</f>
        <v/>
      </c>
      <c r="L1143" s="7">
        <f>IF($A1143="","",N1143-K1143)</f>
        <v/>
      </c>
      <c r="M1143" s="7">
        <f>IF($A1143="","",L1143-F1143)</f>
        <v/>
      </c>
      <c r="N1143" s="7" t="n"/>
      <c r="O1143" s="7" t="n"/>
      <c r="P1143" s="7" t="n"/>
      <c r="R1143" s="14" t="n"/>
      <c r="V1143">
        <f>IF($A1143="","",IF(COUNTIF($A$2:$A1143,$A1143)=1,1,0))</f>
        <v/>
      </c>
      <c r="W1143">
        <f>IF($V1143=1,SUMPRODUCT(--($Y$2:$Y$1501&lt;$Y1143))+1,"")</f>
        <v/>
      </c>
      <c r="X1143">
        <f>IF($A1143="","",IF(OR($T1143=TRUE(),$T1143="TRUE"),1,0))</f>
        <v/>
      </c>
      <c r="Y1143">
        <f>IF($V1143=1,IFERROR(IF(VALUE($A1143)&lt;100000000,VALUE($A1143),1000000000),IFERROR(IF(VALUE(MID($A1143,2,20))&lt;100000000,VALUE(MID($A1143,2,20)),1000000000),1000000000))+ROW()/100000,"")</f>
        <v/>
      </c>
    </row>
    <row r="1144">
      <c r="F1144" s="7">
        <f>IF($A1144="","",E1144*L1144/100)</f>
        <v/>
      </c>
      <c r="J1144" s="7" t="n"/>
      <c r="K1144" s="7">
        <f>IF($A1144="","",N1144*U1144/100)</f>
        <v/>
      </c>
      <c r="L1144" s="7">
        <f>IF($A1144="","",N1144-K1144)</f>
        <v/>
      </c>
      <c r="M1144" s="7">
        <f>IF($A1144="","",L1144-F1144)</f>
        <v/>
      </c>
      <c r="N1144" s="7" t="n"/>
      <c r="O1144" s="7" t="n"/>
      <c r="P1144" s="7" t="n"/>
      <c r="R1144" s="14" t="n"/>
      <c r="V1144">
        <f>IF($A1144="","",IF(COUNTIF($A$2:$A1144,$A1144)=1,1,0))</f>
        <v/>
      </c>
      <c r="W1144">
        <f>IF($V1144=1,SUMPRODUCT(--($Y$2:$Y$1501&lt;$Y1144))+1,"")</f>
        <v/>
      </c>
      <c r="X1144">
        <f>IF($A1144="","",IF(OR($T1144=TRUE(),$T1144="TRUE"),1,0))</f>
        <v/>
      </c>
      <c r="Y1144">
        <f>IF($V1144=1,IFERROR(IF(VALUE($A1144)&lt;100000000,VALUE($A1144),1000000000),IFERROR(IF(VALUE(MID($A1144,2,20))&lt;100000000,VALUE(MID($A1144,2,20)),1000000000),1000000000))+ROW()/100000,"")</f>
        <v/>
      </c>
    </row>
    <row r="1145">
      <c r="F1145" s="7">
        <f>IF($A1145="","",E1145*L1145/100)</f>
        <v/>
      </c>
      <c r="J1145" s="7" t="n"/>
      <c r="K1145" s="7">
        <f>IF($A1145="","",N1145*U1145/100)</f>
        <v/>
      </c>
      <c r="L1145" s="7">
        <f>IF($A1145="","",N1145-K1145)</f>
        <v/>
      </c>
      <c r="M1145" s="7">
        <f>IF($A1145="","",L1145-F1145)</f>
        <v/>
      </c>
      <c r="N1145" s="7" t="n"/>
      <c r="O1145" s="7" t="n"/>
      <c r="P1145" s="7" t="n"/>
      <c r="R1145" s="14" t="n"/>
      <c r="V1145">
        <f>IF($A1145="","",IF(COUNTIF($A$2:$A1145,$A1145)=1,1,0))</f>
        <v/>
      </c>
      <c r="W1145">
        <f>IF($V1145=1,SUMPRODUCT(--($Y$2:$Y$1501&lt;$Y1145))+1,"")</f>
        <v/>
      </c>
      <c r="X1145">
        <f>IF($A1145="","",IF(OR($T1145=TRUE(),$T1145="TRUE"),1,0))</f>
        <v/>
      </c>
      <c r="Y1145">
        <f>IF($V1145=1,IFERROR(IF(VALUE($A1145)&lt;100000000,VALUE($A1145),1000000000),IFERROR(IF(VALUE(MID($A1145,2,20))&lt;100000000,VALUE(MID($A1145,2,20)),1000000000),1000000000))+ROW()/100000,"")</f>
        <v/>
      </c>
    </row>
    <row r="1146">
      <c r="F1146" s="7">
        <f>IF($A1146="","",E1146*L1146/100)</f>
        <v/>
      </c>
      <c r="J1146" s="7" t="n"/>
      <c r="K1146" s="7">
        <f>IF($A1146="","",N1146*U1146/100)</f>
        <v/>
      </c>
      <c r="L1146" s="7">
        <f>IF($A1146="","",N1146-K1146)</f>
        <v/>
      </c>
      <c r="M1146" s="7">
        <f>IF($A1146="","",L1146-F1146)</f>
        <v/>
      </c>
      <c r="N1146" s="7" t="n"/>
      <c r="O1146" s="7" t="n"/>
      <c r="P1146" s="7" t="n"/>
      <c r="R1146" s="14" t="n"/>
      <c r="V1146">
        <f>IF($A1146="","",IF(COUNTIF($A$2:$A1146,$A1146)=1,1,0))</f>
        <v/>
      </c>
      <c r="W1146">
        <f>IF($V1146=1,SUMPRODUCT(--($Y$2:$Y$1501&lt;$Y1146))+1,"")</f>
        <v/>
      </c>
      <c r="X1146">
        <f>IF($A1146="","",IF(OR($T1146=TRUE(),$T1146="TRUE"),1,0))</f>
        <v/>
      </c>
      <c r="Y1146">
        <f>IF($V1146=1,IFERROR(IF(VALUE($A1146)&lt;100000000,VALUE($A1146),1000000000),IFERROR(IF(VALUE(MID($A1146,2,20))&lt;100000000,VALUE(MID($A1146,2,20)),1000000000),1000000000))+ROW()/100000,"")</f>
        <v/>
      </c>
    </row>
    <row r="1147">
      <c r="F1147" s="7">
        <f>IF($A1147="","",E1147*L1147/100)</f>
        <v/>
      </c>
      <c r="J1147" s="7" t="n"/>
      <c r="K1147" s="7">
        <f>IF($A1147="","",N1147*U1147/100)</f>
        <v/>
      </c>
      <c r="L1147" s="7">
        <f>IF($A1147="","",N1147-K1147)</f>
        <v/>
      </c>
      <c r="M1147" s="7">
        <f>IF($A1147="","",L1147-F1147)</f>
        <v/>
      </c>
      <c r="N1147" s="7" t="n"/>
      <c r="O1147" s="7" t="n"/>
      <c r="P1147" s="7" t="n"/>
      <c r="R1147" s="14" t="n"/>
      <c r="V1147">
        <f>IF($A1147="","",IF(COUNTIF($A$2:$A1147,$A1147)=1,1,0))</f>
        <v/>
      </c>
      <c r="W1147">
        <f>IF($V1147=1,SUMPRODUCT(--($Y$2:$Y$1501&lt;$Y1147))+1,"")</f>
        <v/>
      </c>
      <c r="X1147">
        <f>IF($A1147="","",IF(OR($T1147=TRUE(),$T1147="TRUE"),1,0))</f>
        <v/>
      </c>
      <c r="Y1147">
        <f>IF($V1147=1,IFERROR(IF(VALUE($A1147)&lt;100000000,VALUE($A1147),1000000000),IFERROR(IF(VALUE(MID($A1147,2,20))&lt;100000000,VALUE(MID($A1147,2,20)),1000000000),1000000000))+ROW()/100000,"")</f>
        <v/>
      </c>
    </row>
    <row r="1148">
      <c r="F1148" s="7">
        <f>IF($A1148="","",E1148*L1148/100)</f>
        <v/>
      </c>
      <c r="J1148" s="7" t="n"/>
      <c r="K1148" s="7">
        <f>IF($A1148="","",N1148*U1148/100)</f>
        <v/>
      </c>
      <c r="L1148" s="7">
        <f>IF($A1148="","",N1148-K1148)</f>
        <v/>
      </c>
      <c r="M1148" s="7">
        <f>IF($A1148="","",L1148-F1148)</f>
        <v/>
      </c>
      <c r="N1148" s="7" t="n"/>
      <c r="O1148" s="7" t="n"/>
      <c r="P1148" s="7" t="n"/>
      <c r="R1148" s="14" t="n"/>
      <c r="V1148">
        <f>IF($A1148="","",IF(COUNTIF($A$2:$A1148,$A1148)=1,1,0))</f>
        <v/>
      </c>
      <c r="W1148">
        <f>IF($V1148=1,SUMPRODUCT(--($Y$2:$Y$1501&lt;$Y1148))+1,"")</f>
        <v/>
      </c>
      <c r="X1148">
        <f>IF($A1148="","",IF(OR($T1148=TRUE(),$T1148="TRUE"),1,0))</f>
        <v/>
      </c>
      <c r="Y1148">
        <f>IF($V1148=1,IFERROR(IF(VALUE($A1148)&lt;100000000,VALUE($A1148),1000000000),IFERROR(IF(VALUE(MID($A1148,2,20))&lt;100000000,VALUE(MID($A1148,2,20)),1000000000),1000000000))+ROW()/100000,"")</f>
        <v/>
      </c>
    </row>
    <row r="1149">
      <c r="F1149" s="7">
        <f>IF($A1149="","",E1149*L1149/100)</f>
        <v/>
      </c>
      <c r="J1149" s="7" t="n"/>
      <c r="K1149" s="7">
        <f>IF($A1149="","",N1149*U1149/100)</f>
        <v/>
      </c>
      <c r="L1149" s="7">
        <f>IF($A1149="","",N1149-K1149)</f>
        <v/>
      </c>
      <c r="M1149" s="7">
        <f>IF($A1149="","",L1149-F1149)</f>
        <v/>
      </c>
      <c r="N1149" s="7" t="n"/>
      <c r="O1149" s="7" t="n"/>
      <c r="P1149" s="7" t="n"/>
      <c r="R1149" s="14" t="n"/>
      <c r="V1149">
        <f>IF($A1149="","",IF(COUNTIF($A$2:$A1149,$A1149)=1,1,0))</f>
        <v/>
      </c>
      <c r="W1149">
        <f>IF($V1149=1,SUMPRODUCT(--($Y$2:$Y$1501&lt;$Y1149))+1,"")</f>
        <v/>
      </c>
      <c r="X1149">
        <f>IF($A1149="","",IF(OR($T1149=TRUE(),$T1149="TRUE"),1,0))</f>
        <v/>
      </c>
      <c r="Y1149">
        <f>IF($V1149=1,IFERROR(IF(VALUE($A1149)&lt;100000000,VALUE($A1149),1000000000),IFERROR(IF(VALUE(MID($A1149,2,20))&lt;100000000,VALUE(MID($A1149,2,20)),1000000000),1000000000))+ROW()/100000,"")</f>
        <v/>
      </c>
    </row>
    <row r="1150">
      <c r="F1150" s="7">
        <f>IF($A1150="","",E1150*L1150/100)</f>
        <v/>
      </c>
      <c r="J1150" s="7" t="n"/>
      <c r="K1150" s="7">
        <f>IF($A1150="","",N1150*U1150/100)</f>
        <v/>
      </c>
      <c r="L1150" s="7">
        <f>IF($A1150="","",N1150-K1150)</f>
        <v/>
      </c>
      <c r="M1150" s="7">
        <f>IF($A1150="","",L1150-F1150)</f>
        <v/>
      </c>
      <c r="N1150" s="7" t="n"/>
      <c r="O1150" s="7" t="n"/>
      <c r="P1150" s="7" t="n"/>
      <c r="R1150" s="14" t="n"/>
      <c r="V1150">
        <f>IF($A1150="","",IF(COUNTIF($A$2:$A1150,$A1150)=1,1,0))</f>
        <v/>
      </c>
      <c r="W1150">
        <f>IF($V1150=1,SUMPRODUCT(--($Y$2:$Y$1501&lt;$Y1150))+1,"")</f>
        <v/>
      </c>
      <c r="X1150">
        <f>IF($A1150="","",IF(OR($T1150=TRUE(),$T1150="TRUE"),1,0))</f>
        <v/>
      </c>
      <c r="Y1150">
        <f>IF($V1150=1,IFERROR(IF(VALUE($A1150)&lt;100000000,VALUE($A1150),1000000000),IFERROR(IF(VALUE(MID($A1150,2,20))&lt;100000000,VALUE(MID($A1150,2,20)),1000000000),1000000000))+ROW()/100000,"")</f>
        <v/>
      </c>
    </row>
    <row r="1151">
      <c r="F1151" s="7">
        <f>IF($A1151="","",E1151*L1151/100)</f>
        <v/>
      </c>
      <c r="J1151" s="7" t="n"/>
      <c r="K1151" s="7">
        <f>IF($A1151="","",N1151*U1151/100)</f>
        <v/>
      </c>
      <c r="L1151" s="7">
        <f>IF($A1151="","",N1151-K1151)</f>
        <v/>
      </c>
      <c r="M1151" s="7">
        <f>IF($A1151="","",L1151-F1151)</f>
        <v/>
      </c>
      <c r="N1151" s="7" t="n"/>
      <c r="O1151" s="7" t="n"/>
      <c r="P1151" s="7" t="n"/>
      <c r="R1151" s="14" t="n"/>
      <c r="V1151">
        <f>IF($A1151="","",IF(COUNTIF($A$2:$A1151,$A1151)=1,1,0))</f>
        <v/>
      </c>
      <c r="W1151">
        <f>IF($V1151=1,SUMPRODUCT(--($Y$2:$Y$1501&lt;$Y1151))+1,"")</f>
        <v/>
      </c>
      <c r="X1151">
        <f>IF($A1151="","",IF(OR($T1151=TRUE(),$T1151="TRUE"),1,0))</f>
        <v/>
      </c>
      <c r="Y1151">
        <f>IF($V1151=1,IFERROR(IF(VALUE($A1151)&lt;100000000,VALUE($A1151),1000000000),IFERROR(IF(VALUE(MID($A1151,2,20))&lt;100000000,VALUE(MID($A1151,2,20)),1000000000),1000000000))+ROW()/100000,"")</f>
        <v/>
      </c>
    </row>
    <row r="1152">
      <c r="F1152" s="7">
        <f>IF($A1152="","",E1152*L1152/100)</f>
        <v/>
      </c>
      <c r="J1152" s="7" t="n"/>
      <c r="K1152" s="7">
        <f>IF($A1152="","",N1152*U1152/100)</f>
        <v/>
      </c>
      <c r="L1152" s="7">
        <f>IF($A1152="","",N1152-K1152)</f>
        <v/>
      </c>
      <c r="M1152" s="7">
        <f>IF($A1152="","",L1152-F1152)</f>
        <v/>
      </c>
      <c r="N1152" s="7" t="n"/>
      <c r="O1152" s="7" t="n"/>
      <c r="P1152" s="7" t="n"/>
      <c r="R1152" s="14" t="n"/>
      <c r="V1152">
        <f>IF($A1152="","",IF(COUNTIF($A$2:$A1152,$A1152)=1,1,0))</f>
        <v/>
      </c>
      <c r="W1152">
        <f>IF($V1152=1,SUMPRODUCT(--($Y$2:$Y$1501&lt;$Y1152))+1,"")</f>
        <v/>
      </c>
      <c r="X1152">
        <f>IF($A1152="","",IF(OR($T1152=TRUE(),$T1152="TRUE"),1,0))</f>
        <v/>
      </c>
      <c r="Y1152">
        <f>IF($V1152=1,IFERROR(IF(VALUE($A1152)&lt;100000000,VALUE($A1152),1000000000),IFERROR(IF(VALUE(MID($A1152,2,20))&lt;100000000,VALUE(MID($A1152,2,20)),1000000000),1000000000))+ROW()/100000,"")</f>
        <v/>
      </c>
    </row>
    <row r="1153">
      <c r="F1153" s="7">
        <f>IF($A1153="","",E1153*L1153/100)</f>
        <v/>
      </c>
      <c r="J1153" s="7" t="n"/>
      <c r="K1153" s="7">
        <f>IF($A1153="","",N1153*U1153/100)</f>
        <v/>
      </c>
      <c r="L1153" s="7">
        <f>IF($A1153="","",N1153-K1153)</f>
        <v/>
      </c>
      <c r="M1153" s="7">
        <f>IF($A1153="","",L1153-F1153)</f>
        <v/>
      </c>
      <c r="N1153" s="7" t="n"/>
      <c r="O1153" s="7" t="n"/>
      <c r="P1153" s="7" t="n"/>
      <c r="R1153" s="14" t="n"/>
      <c r="V1153">
        <f>IF($A1153="","",IF(COUNTIF($A$2:$A1153,$A1153)=1,1,0))</f>
        <v/>
      </c>
      <c r="W1153">
        <f>IF($V1153=1,SUMPRODUCT(--($Y$2:$Y$1501&lt;$Y1153))+1,"")</f>
        <v/>
      </c>
      <c r="X1153">
        <f>IF($A1153="","",IF(OR($T1153=TRUE(),$T1153="TRUE"),1,0))</f>
        <v/>
      </c>
      <c r="Y1153">
        <f>IF($V1153=1,IFERROR(IF(VALUE($A1153)&lt;100000000,VALUE($A1153),1000000000),IFERROR(IF(VALUE(MID($A1153,2,20))&lt;100000000,VALUE(MID($A1153,2,20)),1000000000),1000000000))+ROW()/100000,"")</f>
        <v/>
      </c>
    </row>
    <row r="1154">
      <c r="F1154" s="7">
        <f>IF($A1154="","",E1154*L1154/100)</f>
        <v/>
      </c>
      <c r="J1154" s="7" t="n"/>
      <c r="K1154" s="7">
        <f>IF($A1154="","",N1154*U1154/100)</f>
        <v/>
      </c>
      <c r="L1154" s="7">
        <f>IF($A1154="","",N1154-K1154)</f>
        <v/>
      </c>
      <c r="M1154" s="7">
        <f>IF($A1154="","",L1154-F1154)</f>
        <v/>
      </c>
      <c r="N1154" s="7" t="n"/>
      <c r="O1154" s="7" t="n"/>
      <c r="P1154" s="7" t="n"/>
      <c r="R1154" s="14" t="n"/>
      <c r="V1154">
        <f>IF($A1154="","",IF(COUNTIF($A$2:$A1154,$A1154)=1,1,0))</f>
        <v/>
      </c>
      <c r="W1154">
        <f>IF($V1154=1,SUMPRODUCT(--($Y$2:$Y$1501&lt;$Y1154))+1,"")</f>
        <v/>
      </c>
      <c r="X1154">
        <f>IF($A1154="","",IF(OR($T1154=TRUE(),$T1154="TRUE"),1,0))</f>
        <v/>
      </c>
      <c r="Y1154">
        <f>IF($V1154=1,IFERROR(IF(VALUE($A1154)&lt;100000000,VALUE($A1154),1000000000),IFERROR(IF(VALUE(MID($A1154,2,20))&lt;100000000,VALUE(MID($A1154,2,20)),1000000000),1000000000))+ROW()/100000,"")</f>
        <v/>
      </c>
    </row>
    <row r="1155">
      <c r="F1155" s="7">
        <f>IF($A1155="","",E1155*L1155/100)</f>
        <v/>
      </c>
      <c r="J1155" s="7" t="n"/>
      <c r="K1155" s="7">
        <f>IF($A1155="","",N1155*U1155/100)</f>
        <v/>
      </c>
      <c r="L1155" s="7">
        <f>IF($A1155="","",N1155-K1155)</f>
        <v/>
      </c>
      <c r="M1155" s="7">
        <f>IF($A1155="","",L1155-F1155)</f>
        <v/>
      </c>
      <c r="N1155" s="7" t="n"/>
      <c r="O1155" s="7" t="n"/>
      <c r="P1155" s="7" t="n"/>
      <c r="R1155" s="14" t="n"/>
      <c r="V1155">
        <f>IF($A1155="","",IF(COUNTIF($A$2:$A1155,$A1155)=1,1,0))</f>
        <v/>
      </c>
      <c r="W1155">
        <f>IF($V1155=1,SUMPRODUCT(--($Y$2:$Y$1501&lt;$Y1155))+1,"")</f>
        <v/>
      </c>
      <c r="X1155">
        <f>IF($A1155="","",IF(OR($T1155=TRUE(),$T1155="TRUE"),1,0))</f>
        <v/>
      </c>
      <c r="Y1155">
        <f>IF($V1155=1,IFERROR(IF(VALUE($A1155)&lt;100000000,VALUE($A1155),1000000000),IFERROR(IF(VALUE(MID($A1155,2,20))&lt;100000000,VALUE(MID($A1155,2,20)),1000000000),1000000000))+ROW()/100000,"")</f>
        <v/>
      </c>
    </row>
    <row r="1156">
      <c r="F1156" s="7">
        <f>IF($A1156="","",E1156*L1156/100)</f>
        <v/>
      </c>
      <c r="J1156" s="7" t="n"/>
      <c r="K1156" s="7">
        <f>IF($A1156="","",N1156*U1156/100)</f>
        <v/>
      </c>
      <c r="L1156" s="7">
        <f>IF($A1156="","",N1156-K1156)</f>
        <v/>
      </c>
      <c r="M1156" s="7">
        <f>IF($A1156="","",L1156-F1156)</f>
        <v/>
      </c>
      <c r="N1156" s="7" t="n"/>
      <c r="O1156" s="7" t="n"/>
      <c r="P1156" s="7" t="n"/>
      <c r="R1156" s="14" t="n"/>
      <c r="V1156">
        <f>IF($A1156="","",IF(COUNTIF($A$2:$A1156,$A1156)=1,1,0))</f>
        <v/>
      </c>
      <c r="W1156">
        <f>IF($V1156=1,SUMPRODUCT(--($Y$2:$Y$1501&lt;$Y1156))+1,"")</f>
        <v/>
      </c>
      <c r="X1156">
        <f>IF($A1156="","",IF(OR($T1156=TRUE(),$T1156="TRUE"),1,0))</f>
        <v/>
      </c>
      <c r="Y1156">
        <f>IF($V1156=1,IFERROR(IF(VALUE($A1156)&lt;100000000,VALUE($A1156),1000000000),IFERROR(IF(VALUE(MID($A1156,2,20))&lt;100000000,VALUE(MID($A1156,2,20)),1000000000),1000000000))+ROW()/100000,"")</f>
        <v/>
      </c>
    </row>
    <row r="1157">
      <c r="F1157" s="7">
        <f>IF($A1157="","",E1157*L1157/100)</f>
        <v/>
      </c>
      <c r="J1157" s="7" t="n"/>
      <c r="K1157" s="7">
        <f>IF($A1157="","",N1157*U1157/100)</f>
        <v/>
      </c>
      <c r="L1157" s="7">
        <f>IF($A1157="","",N1157-K1157)</f>
        <v/>
      </c>
      <c r="M1157" s="7">
        <f>IF($A1157="","",L1157-F1157)</f>
        <v/>
      </c>
      <c r="N1157" s="7" t="n"/>
      <c r="O1157" s="7" t="n"/>
      <c r="P1157" s="7" t="n"/>
      <c r="R1157" s="14" t="n"/>
      <c r="V1157">
        <f>IF($A1157="","",IF(COUNTIF($A$2:$A1157,$A1157)=1,1,0))</f>
        <v/>
      </c>
      <c r="W1157">
        <f>IF($V1157=1,SUMPRODUCT(--($Y$2:$Y$1501&lt;$Y1157))+1,"")</f>
        <v/>
      </c>
      <c r="X1157">
        <f>IF($A1157="","",IF(OR($T1157=TRUE(),$T1157="TRUE"),1,0))</f>
        <v/>
      </c>
      <c r="Y1157">
        <f>IF($V1157=1,IFERROR(IF(VALUE($A1157)&lt;100000000,VALUE($A1157),1000000000),IFERROR(IF(VALUE(MID($A1157,2,20))&lt;100000000,VALUE(MID($A1157,2,20)),1000000000),1000000000))+ROW()/100000,"")</f>
        <v/>
      </c>
    </row>
    <row r="1158">
      <c r="F1158" s="7">
        <f>IF($A1158="","",E1158*L1158/100)</f>
        <v/>
      </c>
      <c r="J1158" s="7" t="n"/>
      <c r="K1158" s="7">
        <f>IF($A1158="","",N1158*U1158/100)</f>
        <v/>
      </c>
      <c r="L1158" s="7">
        <f>IF($A1158="","",N1158-K1158)</f>
        <v/>
      </c>
      <c r="M1158" s="7">
        <f>IF($A1158="","",L1158-F1158)</f>
        <v/>
      </c>
      <c r="N1158" s="7" t="n"/>
      <c r="O1158" s="7" t="n"/>
      <c r="P1158" s="7" t="n"/>
      <c r="R1158" s="14" t="n"/>
      <c r="V1158">
        <f>IF($A1158="","",IF(COUNTIF($A$2:$A1158,$A1158)=1,1,0))</f>
        <v/>
      </c>
      <c r="W1158">
        <f>IF($V1158=1,SUMPRODUCT(--($Y$2:$Y$1501&lt;$Y1158))+1,"")</f>
        <v/>
      </c>
      <c r="X1158">
        <f>IF($A1158="","",IF(OR($T1158=TRUE(),$T1158="TRUE"),1,0))</f>
        <v/>
      </c>
      <c r="Y1158">
        <f>IF($V1158=1,IFERROR(IF(VALUE($A1158)&lt;100000000,VALUE($A1158),1000000000),IFERROR(IF(VALUE(MID($A1158,2,20))&lt;100000000,VALUE(MID($A1158,2,20)),1000000000),1000000000))+ROW()/100000,"")</f>
        <v/>
      </c>
    </row>
    <row r="1159">
      <c r="F1159" s="7">
        <f>IF($A1159="","",E1159*L1159/100)</f>
        <v/>
      </c>
      <c r="J1159" s="7" t="n"/>
      <c r="K1159" s="7">
        <f>IF($A1159="","",N1159*U1159/100)</f>
        <v/>
      </c>
      <c r="L1159" s="7">
        <f>IF($A1159="","",N1159-K1159)</f>
        <v/>
      </c>
      <c r="M1159" s="7">
        <f>IF($A1159="","",L1159-F1159)</f>
        <v/>
      </c>
      <c r="N1159" s="7" t="n"/>
      <c r="O1159" s="7" t="n"/>
      <c r="P1159" s="7" t="n"/>
      <c r="R1159" s="14" t="n"/>
      <c r="V1159">
        <f>IF($A1159="","",IF(COUNTIF($A$2:$A1159,$A1159)=1,1,0))</f>
        <v/>
      </c>
      <c r="W1159">
        <f>IF($V1159=1,SUMPRODUCT(--($Y$2:$Y$1501&lt;$Y1159))+1,"")</f>
        <v/>
      </c>
      <c r="X1159">
        <f>IF($A1159="","",IF(OR($T1159=TRUE(),$T1159="TRUE"),1,0))</f>
        <v/>
      </c>
      <c r="Y1159">
        <f>IF($V1159=1,IFERROR(IF(VALUE($A1159)&lt;100000000,VALUE($A1159),1000000000),IFERROR(IF(VALUE(MID($A1159,2,20))&lt;100000000,VALUE(MID($A1159,2,20)),1000000000),1000000000))+ROW()/100000,"")</f>
        <v/>
      </c>
    </row>
    <row r="1160">
      <c r="F1160" s="7">
        <f>IF($A1160="","",E1160*L1160/100)</f>
        <v/>
      </c>
      <c r="J1160" s="7" t="n"/>
      <c r="K1160" s="7">
        <f>IF($A1160="","",N1160*U1160/100)</f>
        <v/>
      </c>
      <c r="L1160" s="7">
        <f>IF($A1160="","",N1160-K1160)</f>
        <v/>
      </c>
      <c r="M1160" s="7">
        <f>IF($A1160="","",L1160-F1160)</f>
        <v/>
      </c>
      <c r="N1160" s="7" t="n"/>
      <c r="O1160" s="7" t="n"/>
      <c r="P1160" s="7" t="n"/>
      <c r="R1160" s="14" t="n"/>
      <c r="V1160">
        <f>IF($A1160="","",IF(COUNTIF($A$2:$A1160,$A1160)=1,1,0))</f>
        <v/>
      </c>
      <c r="W1160">
        <f>IF($V1160=1,SUMPRODUCT(--($Y$2:$Y$1501&lt;$Y1160))+1,"")</f>
        <v/>
      </c>
      <c r="X1160">
        <f>IF($A1160="","",IF(OR($T1160=TRUE(),$T1160="TRUE"),1,0))</f>
        <v/>
      </c>
      <c r="Y1160">
        <f>IF($V1160=1,IFERROR(IF(VALUE($A1160)&lt;100000000,VALUE($A1160),1000000000),IFERROR(IF(VALUE(MID($A1160,2,20))&lt;100000000,VALUE(MID($A1160,2,20)),1000000000),1000000000))+ROW()/100000,"")</f>
        <v/>
      </c>
    </row>
    <row r="1161">
      <c r="F1161" s="7">
        <f>IF($A1161="","",E1161*L1161/100)</f>
        <v/>
      </c>
      <c r="J1161" s="7" t="n"/>
      <c r="K1161" s="7">
        <f>IF($A1161="","",N1161*U1161/100)</f>
        <v/>
      </c>
      <c r="L1161" s="7">
        <f>IF($A1161="","",N1161-K1161)</f>
        <v/>
      </c>
      <c r="M1161" s="7">
        <f>IF($A1161="","",L1161-F1161)</f>
        <v/>
      </c>
      <c r="N1161" s="7" t="n"/>
      <c r="O1161" s="7" t="n"/>
      <c r="P1161" s="7" t="n"/>
      <c r="R1161" s="14" t="n"/>
      <c r="V1161">
        <f>IF($A1161="","",IF(COUNTIF($A$2:$A1161,$A1161)=1,1,0))</f>
        <v/>
      </c>
      <c r="W1161">
        <f>IF($V1161=1,SUMPRODUCT(--($Y$2:$Y$1501&lt;$Y1161))+1,"")</f>
        <v/>
      </c>
      <c r="X1161">
        <f>IF($A1161="","",IF(OR($T1161=TRUE(),$T1161="TRUE"),1,0))</f>
        <v/>
      </c>
      <c r="Y1161">
        <f>IF($V1161=1,IFERROR(IF(VALUE($A1161)&lt;100000000,VALUE($A1161),1000000000),IFERROR(IF(VALUE(MID($A1161,2,20))&lt;100000000,VALUE(MID($A1161,2,20)),1000000000),1000000000))+ROW()/100000,"")</f>
        <v/>
      </c>
    </row>
    <row r="1162">
      <c r="F1162" s="7">
        <f>IF($A1162="","",E1162*L1162/100)</f>
        <v/>
      </c>
      <c r="J1162" s="7" t="n"/>
      <c r="K1162" s="7">
        <f>IF($A1162="","",N1162*U1162/100)</f>
        <v/>
      </c>
      <c r="L1162" s="7">
        <f>IF($A1162="","",N1162-K1162)</f>
        <v/>
      </c>
      <c r="M1162" s="7">
        <f>IF($A1162="","",L1162-F1162)</f>
        <v/>
      </c>
      <c r="N1162" s="7" t="n"/>
      <c r="O1162" s="7" t="n"/>
      <c r="P1162" s="7" t="n"/>
      <c r="R1162" s="14" t="n"/>
      <c r="V1162">
        <f>IF($A1162="","",IF(COUNTIF($A$2:$A1162,$A1162)=1,1,0))</f>
        <v/>
      </c>
      <c r="W1162">
        <f>IF($V1162=1,SUMPRODUCT(--($Y$2:$Y$1501&lt;$Y1162))+1,"")</f>
        <v/>
      </c>
      <c r="X1162">
        <f>IF($A1162="","",IF(OR($T1162=TRUE(),$T1162="TRUE"),1,0))</f>
        <v/>
      </c>
      <c r="Y1162">
        <f>IF($V1162=1,IFERROR(IF(VALUE($A1162)&lt;100000000,VALUE($A1162),1000000000),IFERROR(IF(VALUE(MID($A1162,2,20))&lt;100000000,VALUE(MID($A1162,2,20)),1000000000),1000000000))+ROW()/100000,"")</f>
        <v/>
      </c>
    </row>
    <row r="1163">
      <c r="F1163" s="7">
        <f>IF($A1163="","",E1163*L1163/100)</f>
        <v/>
      </c>
      <c r="J1163" s="7" t="n"/>
      <c r="K1163" s="7">
        <f>IF($A1163="","",N1163*U1163/100)</f>
        <v/>
      </c>
      <c r="L1163" s="7">
        <f>IF($A1163="","",N1163-K1163)</f>
        <v/>
      </c>
      <c r="M1163" s="7">
        <f>IF($A1163="","",L1163-F1163)</f>
        <v/>
      </c>
      <c r="N1163" s="7" t="n"/>
      <c r="O1163" s="7" t="n"/>
      <c r="P1163" s="7" t="n"/>
      <c r="R1163" s="14" t="n"/>
      <c r="V1163">
        <f>IF($A1163="","",IF(COUNTIF($A$2:$A1163,$A1163)=1,1,0))</f>
        <v/>
      </c>
      <c r="W1163">
        <f>IF($V1163=1,SUMPRODUCT(--($Y$2:$Y$1501&lt;$Y1163))+1,"")</f>
        <v/>
      </c>
      <c r="X1163">
        <f>IF($A1163="","",IF(OR($T1163=TRUE(),$T1163="TRUE"),1,0))</f>
        <v/>
      </c>
      <c r="Y1163">
        <f>IF($V1163=1,IFERROR(IF(VALUE($A1163)&lt;100000000,VALUE($A1163),1000000000),IFERROR(IF(VALUE(MID($A1163,2,20))&lt;100000000,VALUE(MID($A1163,2,20)),1000000000),1000000000))+ROW()/100000,"")</f>
        <v/>
      </c>
    </row>
    <row r="1164">
      <c r="F1164" s="7">
        <f>IF($A1164="","",E1164*L1164/100)</f>
        <v/>
      </c>
      <c r="J1164" s="7" t="n"/>
      <c r="K1164" s="7">
        <f>IF($A1164="","",N1164*U1164/100)</f>
        <v/>
      </c>
      <c r="L1164" s="7">
        <f>IF($A1164="","",N1164-K1164)</f>
        <v/>
      </c>
      <c r="M1164" s="7">
        <f>IF($A1164="","",L1164-F1164)</f>
        <v/>
      </c>
      <c r="N1164" s="7" t="n"/>
      <c r="O1164" s="7" t="n"/>
      <c r="P1164" s="7" t="n"/>
      <c r="R1164" s="14" t="n"/>
      <c r="V1164">
        <f>IF($A1164="","",IF(COUNTIF($A$2:$A1164,$A1164)=1,1,0))</f>
        <v/>
      </c>
      <c r="W1164">
        <f>IF($V1164=1,SUMPRODUCT(--($Y$2:$Y$1501&lt;$Y1164))+1,"")</f>
        <v/>
      </c>
      <c r="X1164">
        <f>IF($A1164="","",IF(OR($T1164=TRUE(),$T1164="TRUE"),1,0))</f>
        <v/>
      </c>
      <c r="Y1164">
        <f>IF($V1164=1,IFERROR(IF(VALUE($A1164)&lt;100000000,VALUE($A1164),1000000000),IFERROR(IF(VALUE(MID($A1164,2,20))&lt;100000000,VALUE(MID($A1164,2,20)),1000000000),1000000000))+ROW()/100000,"")</f>
        <v/>
      </c>
    </row>
    <row r="1165">
      <c r="F1165" s="7">
        <f>IF($A1165="","",E1165*L1165/100)</f>
        <v/>
      </c>
      <c r="J1165" s="7" t="n"/>
      <c r="K1165" s="7">
        <f>IF($A1165="","",N1165*U1165/100)</f>
        <v/>
      </c>
      <c r="L1165" s="7">
        <f>IF($A1165="","",N1165-K1165)</f>
        <v/>
      </c>
      <c r="M1165" s="7">
        <f>IF($A1165="","",L1165-F1165)</f>
        <v/>
      </c>
      <c r="N1165" s="7" t="n"/>
      <c r="O1165" s="7" t="n"/>
      <c r="P1165" s="7" t="n"/>
      <c r="R1165" s="14" t="n"/>
      <c r="V1165">
        <f>IF($A1165="","",IF(COUNTIF($A$2:$A1165,$A1165)=1,1,0))</f>
        <v/>
      </c>
      <c r="W1165">
        <f>IF($V1165=1,SUMPRODUCT(--($Y$2:$Y$1501&lt;$Y1165))+1,"")</f>
        <v/>
      </c>
      <c r="X1165">
        <f>IF($A1165="","",IF(OR($T1165=TRUE(),$T1165="TRUE"),1,0))</f>
        <v/>
      </c>
      <c r="Y1165">
        <f>IF($V1165=1,IFERROR(IF(VALUE($A1165)&lt;100000000,VALUE($A1165),1000000000),IFERROR(IF(VALUE(MID($A1165,2,20))&lt;100000000,VALUE(MID($A1165,2,20)),1000000000),1000000000))+ROW()/100000,"")</f>
        <v/>
      </c>
    </row>
    <row r="1166">
      <c r="F1166" s="7">
        <f>IF($A1166="","",E1166*L1166/100)</f>
        <v/>
      </c>
      <c r="J1166" s="7" t="n"/>
      <c r="K1166" s="7">
        <f>IF($A1166="","",N1166*U1166/100)</f>
        <v/>
      </c>
      <c r="L1166" s="7">
        <f>IF($A1166="","",N1166-K1166)</f>
        <v/>
      </c>
      <c r="M1166" s="7">
        <f>IF($A1166="","",L1166-F1166)</f>
        <v/>
      </c>
      <c r="N1166" s="7" t="n"/>
      <c r="O1166" s="7" t="n"/>
      <c r="P1166" s="7" t="n"/>
      <c r="R1166" s="14" t="n"/>
      <c r="V1166">
        <f>IF($A1166="","",IF(COUNTIF($A$2:$A1166,$A1166)=1,1,0))</f>
        <v/>
      </c>
      <c r="W1166">
        <f>IF($V1166=1,SUMPRODUCT(--($Y$2:$Y$1501&lt;$Y1166))+1,"")</f>
        <v/>
      </c>
      <c r="X1166">
        <f>IF($A1166="","",IF(OR($T1166=TRUE(),$T1166="TRUE"),1,0))</f>
        <v/>
      </c>
      <c r="Y1166">
        <f>IF($V1166=1,IFERROR(IF(VALUE($A1166)&lt;100000000,VALUE($A1166),1000000000),IFERROR(IF(VALUE(MID($A1166,2,20))&lt;100000000,VALUE(MID($A1166,2,20)),1000000000),1000000000))+ROW()/100000,"")</f>
        <v/>
      </c>
    </row>
    <row r="1167">
      <c r="F1167" s="7">
        <f>IF($A1167="","",E1167*L1167/100)</f>
        <v/>
      </c>
      <c r="J1167" s="7" t="n"/>
      <c r="K1167" s="7">
        <f>IF($A1167="","",N1167*U1167/100)</f>
        <v/>
      </c>
      <c r="L1167" s="7">
        <f>IF($A1167="","",N1167-K1167)</f>
        <v/>
      </c>
      <c r="M1167" s="7">
        <f>IF($A1167="","",L1167-F1167)</f>
        <v/>
      </c>
      <c r="N1167" s="7" t="n"/>
      <c r="O1167" s="7" t="n"/>
      <c r="P1167" s="7" t="n"/>
      <c r="R1167" s="14" t="n"/>
      <c r="V1167">
        <f>IF($A1167="","",IF(COUNTIF($A$2:$A1167,$A1167)=1,1,0))</f>
        <v/>
      </c>
      <c r="W1167">
        <f>IF($V1167=1,SUMPRODUCT(--($Y$2:$Y$1501&lt;$Y1167))+1,"")</f>
        <v/>
      </c>
      <c r="X1167">
        <f>IF($A1167="","",IF(OR($T1167=TRUE(),$T1167="TRUE"),1,0))</f>
        <v/>
      </c>
      <c r="Y1167">
        <f>IF($V1167=1,IFERROR(IF(VALUE($A1167)&lt;100000000,VALUE($A1167),1000000000),IFERROR(IF(VALUE(MID($A1167,2,20))&lt;100000000,VALUE(MID($A1167,2,20)),1000000000),1000000000))+ROW()/100000,"")</f>
        <v/>
      </c>
    </row>
    <row r="1168">
      <c r="F1168" s="7">
        <f>IF($A1168="","",E1168*L1168/100)</f>
        <v/>
      </c>
      <c r="J1168" s="7" t="n"/>
      <c r="K1168" s="7">
        <f>IF($A1168="","",N1168*U1168/100)</f>
        <v/>
      </c>
      <c r="L1168" s="7">
        <f>IF($A1168="","",N1168-K1168)</f>
        <v/>
      </c>
      <c r="M1168" s="7">
        <f>IF($A1168="","",L1168-F1168)</f>
        <v/>
      </c>
      <c r="N1168" s="7" t="n"/>
      <c r="O1168" s="7" t="n"/>
      <c r="P1168" s="7" t="n"/>
      <c r="R1168" s="14" t="n"/>
      <c r="V1168">
        <f>IF($A1168="","",IF(COUNTIF($A$2:$A1168,$A1168)=1,1,0))</f>
        <v/>
      </c>
      <c r="W1168">
        <f>IF($V1168=1,SUMPRODUCT(--($Y$2:$Y$1501&lt;$Y1168))+1,"")</f>
        <v/>
      </c>
      <c r="X1168">
        <f>IF($A1168="","",IF(OR($T1168=TRUE(),$T1168="TRUE"),1,0))</f>
        <v/>
      </c>
      <c r="Y1168">
        <f>IF($V1168=1,IFERROR(IF(VALUE($A1168)&lt;100000000,VALUE($A1168),1000000000),IFERROR(IF(VALUE(MID($A1168,2,20))&lt;100000000,VALUE(MID($A1168,2,20)),1000000000),1000000000))+ROW()/100000,"")</f>
        <v/>
      </c>
    </row>
    <row r="1169">
      <c r="F1169" s="7">
        <f>IF($A1169="","",E1169*L1169/100)</f>
        <v/>
      </c>
      <c r="J1169" s="7" t="n"/>
      <c r="K1169" s="7">
        <f>IF($A1169="","",N1169*U1169/100)</f>
        <v/>
      </c>
      <c r="L1169" s="7">
        <f>IF($A1169="","",N1169-K1169)</f>
        <v/>
      </c>
      <c r="M1169" s="7">
        <f>IF($A1169="","",L1169-F1169)</f>
        <v/>
      </c>
      <c r="N1169" s="7" t="n"/>
      <c r="O1169" s="7" t="n"/>
      <c r="P1169" s="7" t="n"/>
      <c r="R1169" s="14" t="n"/>
      <c r="V1169">
        <f>IF($A1169="","",IF(COUNTIF($A$2:$A1169,$A1169)=1,1,0))</f>
        <v/>
      </c>
      <c r="W1169">
        <f>IF($V1169=1,SUMPRODUCT(--($Y$2:$Y$1501&lt;$Y1169))+1,"")</f>
        <v/>
      </c>
      <c r="X1169">
        <f>IF($A1169="","",IF(OR($T1169=TRUE(),$T1169="TRUE"),1,0))</f>
        <v/>
      </c>
      <c r="Y1169">
        <f>IF($V1169=1,IFERROR(IF(VALUE($A1169)&lt;100000000,VALUE($A1169),1000000000),IFERROR(IF(VALUE(MID($A1169,2,20))&lt;100000000,VALUE(MID($A1169,2,20)),1000000000),1000000000))+ROW()/100000,"")</f>
        <v/>
      </c>
    </row>
    <row r="1170">
      <c r="F1170" s="7">
        <f>IF($A1170="","",E1170*L1170/100)</f>
        <v/>
      </c>
      <c r="J1170" s="7" t="n"/>
      <c r="K1170" s="7">
        <f>IF($A1170="","",N1170*U1170/100)</f>
        <v/>
      </c>
      <c r="L1170" s="7">
        <f>IF($A1170="","",N1170-K1170)</f>
        <v/>
      </c>
      <c r="M1170" s="7">
        <f>IF($A1170="","",L1170-F1170)</f>
        <v/>
      </c>
      <c r="N1170" s="7" t="n"/>
      <c r="O1170" s="7" t="n"/>
      <c r="P1170" s="7" t="n"/>
      <c r="R1170" s="14" t="n"/>
      <c r="V1170">
        <f>IF($A1170="","",IF(COUNTIF($A$2:$A1170,$A1170)=1,1,0))</f>
        <v/>
      </c>
      <c r="W1170">
        <f>IF($V1170=1,SUMPRODUCT(--($Y$2:$Y$1501&lt;$Y1170))+1,"")</f>
        <v/>
      </c>
      <c r="X1170">
        <f>IF($A1170="","",IF(OR($T1170=TRUE(),$T1170="TRUE"),1,0))</f>
        <v/>
      </c>
      <c r="Y1170">
        <f>IF($V1170=1,IFERROR(IF(VALUE($A1170)&lt;100000000,VALUE($A1170),1000000000),IFERROR(IF(VALUE(MID($A1170,2,20))&lt;100000000,VALUE(MID($A1170,2,20)),1000000000),1000000000))+ROW()/100000,"")</f>
        <v/>
      </c>
    </row>
    <row r="1171">
      <c r="F1171" s="7">
        <f>IF($A1171="","",E1171*L1171/100)</f>
        <v/>
      </c>
      <c r="J1171" s="7" t="n"/>
      <c r="K1171" s="7">
        <f>IF($A1171="","",N1171*U1171/100)</f>
        <v/>
      </c>
      <c r="L1171" s="7">
        <f>IF($A1171="","",N1171-K1171)</f>
        <v/>
      </c>
      <c r="M1171" s="7">
        <f>IF($A1171="","",L1171-F1171)</f>
        <v/>
      </c>
      <c r="N1171" s="7" t="n"/>
      <c r="O1171" s="7" t="n"/>
      <c r="P1171" s="7" t="n"/>
      <c r="R1171" s="14" t="n"/>
      <c r="V1171">
        <f>IF($A1171="","",IF(COUNTIF($A$2:$A1171,$A1171)=1,1,0))</f>
        <v/>
      </c>
      <c r="W1171">
        <f>IF($V1171=1,SUMPRODUCT(--($Y$2:$Y$1501&lt;$Y1171))+1,"")</f>
        <v/>
      </c>
      <c r="X1171">
        <f>IF($A1171="","",IF(OR($T1171=TRUE(),$T1171="TRUE"),1,0))</f>
        <v/>
      </c>
      <c r="Y1171">
        <f>IF($V1171=1,IFERROR(IF(VALUE($A1171)&lt;100000000,VALUE($A1171),1000000000),IFERROR(IF(VALUE(MID($A1171,2,20))&lt;100000000,VALUE(MID($A1171,2,20)),1000000000),1000000000))+ROW()/100000,"")</f>
        <v/>
      </c>
    </row>
    <row r="1172">
      <c r="F1172" s="7">
        <f>IF($A1172="","",E1172*L1172/100)</f>
        <v/>
      </c>
      <c r="J1172" s="7" t="n"/>
      <c r="K1172" s="7">
        <f>IF($A1172="","",N1172*U1172/100)</f>
        <v/>
      </c>
      <c r="L1172" s="7">
        <f>IF($A1172="","",N1172-K1172)</f>
        <v/>
      </c>
      <c r="M1172" s="7">
        <f>IF($A1172="","",L1172-F1172)</f>
        <v/>
      </c>
      <c r="N1172" s="7" t="n"/>
      <c r="O1172" s="7" t="n"/>
      <c r="P1172" s="7" t="n"/>
      <c r="R1172" s="14" t="n"/>
      <c r="V1172">
        <f>IF($A1172="","",IF(COUNTIF($A$2:$A1172,$A1172)=1,1,0))</f>
        <v/>
      </c>
      <c r="W1172">
        <f>IF($V1172=1,SUMPRODUCT(--($Y$2:$Y$1501&lt;$Y1172))+1,"")</f>
        <v/>
      </c>
      <c r="X1172">
        <f>IF($A1172="","",IF(OR($T1172=TRUE(),$T1172="TRUE"),1,0))</f>
        <v/>
      </c>
      <c r="Y1172">
        <f>IF($V1172=1,IFERROR(IF(VALUE($A1172)&lt;100000000,VALUE($A1172),1000000000),IFERROR(IF(VALUE(MID($A1172,2,20))&lt;100000000,VALUE(MID($A1172,2,20)),1000000000),1000000000))+ROW()/100000,"")</f>
        <v/>
      </c>
    </row>
    <row r="1173">
      <c r="F1173" s="7">
        <f>IF($A1173="","",E1173*L1173/100)</f>
        <v/>
      </c>
      <c r="J1173" s="7" t="n"/>
      <c r="K1173" s="7">
        <f>IF($A1173="","",N1173*U1173/100)</f>
        <v/>
      </c>
      <c r="L1173" s="7">
        <f>IF($A1173="","",N1173-K1173)</f>
        <v/>
      </c>
      <c r="M1173" s="7">
        <f>IF($A1173="","",L1173-F1173)</f>
        <v/>
      </c>
      <c r="N1173" s="7" t="n"/>
      <c r="O1173" s="7" t="n"/>
      <c r="P1173" s="7" t="n"/>
      <c r="R1173" s="14" t="n"/>
      <c r="V1173">
        <f>IF($A1173="","",IF(COUNTIF($A$2:$A1173,$A1173)=1,1,0))</f>
        <v/>
      </c>
      <c r="W1173">
        <f>IF($V1173=1,SUMPRODUCT(--($Y$2:$Y$1501&lt;$Y1173))+1,"")</f>
        <v/>
      </c>
      <c r="X1173">
        <f>IF($A1173="","",IF(OR($T1173=TRUE(),$T1173="TRUE"),1,0))</f>
        <v/>
      </c>
      <c r="Y1173">
        <f>IF($V1173=1,IFERROR(IF(VALUE($A1173)&lt;100000000,VALUE($A1173),1000000000),IFERROR(IF(VALUE(MID($A1173,2,20))&lt;100000000,VALUE(MID($A1173,2,20)),1000000000),1000000000))+ROW()/100000,"")</f>
        <v/>
      </c>
    </row>
    <row r="1174">
      <c r="F1174" s="7">
        <f>IF($A1174="","",E1174*L1174/100)</f>
        <v/>
      </c>
      <c r="J1174" s="7" t="n"/>
      <c r="K1174" s="7">
        <f>IF($A1174="","",N1174*U1174/100)</f>
        <v/>
      </c>
      <c r="L1174" s="7">
        <f>IF($A1174="","",N1174-K1174)</f>
        <v/>
      </c>
      <c r="M1174" s="7">
        <f>IF($A1174="","",L1174-F1174)</f>
        <v/>
      </c>
      <c r="N1174" s="7" t="n"/>
      <c r="O1174" s="7" t="n"/>
      <c r="P1174" s="7" t="n"/>
      <c r="R1174" s="14" t="n"/>
      <c r="V1174">
        <f>IF($A1174="","",IF(COUNTIF($A$2:$A1174,$A1174)=1,1,0))</f>
        <v/>
      </c>
      <c r="W1174">
        <f>IF($V1174=1,SUMPRODUCT(--($Y$2:$Y$1501&lt;$Y1174))+1,"")</f>
        <v/>
      </c>
      <c r="X1174">
        <f>IF($A1174="","",IF(OR($T1174=TRUE(),$T1174="TRUE"),1,0))</f>
        <v/>
      </c>
      <c r="Y1174">
        <f>IF($V1174=1,IFERROR(IF(VALUE($A1174)&lt;100000000,VALUE($A1174),1000000000),IFERROR(IF(VALUE(MID($A1174,2,20))&lt;100000000,VALUE(MID($A1174,2,20)),1000000000),1000000000))+ROW()/100000,"")</f>
        <v/>
      </c>
    </row>
    <row r="1175">
      <c r="F1175" s="7">
        <f>IF($A1175="","",E1175*L1175/100)</f>
        <v/>
      </c>
      <c r="J1175" s="7" t="n"/>
      <c r="K1175" s="7">
        <f>IF($A1175="","",N1175*U1175/100)</f>
        <v/>
      </c>
      <c r="L1175" s="7">
        <f>IF($A1175="","",N1175-K1175)</f>
        <v/>
      </c>
      <c r="M1175" s="7">
        <f>IF($A1175="","",L1175-F1175)</f>
        <v/>
      </c>
      <c r="N1175" s="7" t="n"/>
      <c r="O1175" s="7" t="n"/>
      <c r="P1175" s="7" t="n"/>
      <c r="R1175" s="14" t="n"/>
      <c r="V1175">
        <f>IF($A1175="","",IF(COUNTIF($A$2:$A1175,$A1175)=1,1,0))</f>
        <v/>
      </c>
      <c r="W1175">
        <f>IF($V1175=1,SUMPRODUCT(--($Y$2:$Y$1501&lt;$Y1175))+1,"")</f>
        <v/>
      </c>
      <c r="X1175">
        <f>IF($A1175="","",IF(OR($T1175=TRUE(),$T1175="TRUE"),1,0))</f>
        <v/>
      </c>
      <c r="Y1175">
        <f>IF($V1175=1,IFERROR(IF(VALUE($A1175)&lt;100000000,VALUE($A1175),1000000000),IFERROR(IF(VALUE(MID($A1175,2,20))&lt;100000000,VALUE(MID($A1175,2,20)),1000000000),1000000000))+ROW()/100000,"")</f>
        <v/>
      </c>
    </row>
    <row r="1176">
      <c r="F1176" s="7">
        <f>IF($A1176="","",E1176*L1176/100)</f>
        <v/>
      </c>
      <c r="J1176" s="7" t="n"/>
      <c r="K1176" s="7">
        <f>IF($A1176="","",N1176*U1176/100)</f>
        <v/>
      </c>
      <c r="L1176" s="7">
        <f>IF($A1176="","",N1176-K1176)</f>
        <v/>
      </c>
      <c r="M1176" s="7">
        <f>IF($A1176="","",L1176-F1176)</f>
        <v/>
      </c>
      <c r="N1176" s="7" t="n"/>
      <c r="O1176" s="7" t="n"/>
      <c r="P1176" s="7" t="n"/>
      <c r="R1176" s="14" t="n"/>
      <c r="V1176">
        <f>IF($A1176="","",IF(COUNTIF($A$2:$A1176,$A1176)=1,1,0))</f>
        <v/>
      </c>
      <c r="W1176">
        <f>IF($V1176=1,SUMPRODUCT(--($Y$2:$Y$1501&lt;$Y1176))+1,"")</f>
        <v/>
      </c>
      <c r="X1176">
        <f>IF($A1176="","",IF(OR($T1176=TRUE(),$T1176="TRUE"),1,0))</f>
        <v/>
      </c>
      <c r="Y1176">
        <f>IF($V1176=1,IFERROR(IF(VALUE($A1176)&lt;100000000,VALUE($A1176),1000000000),IFERROR(IF(VALUE(MID($A1176,2,20))&lt;100000000,VALUE(MID($A1176,2,20)),1000000000),1000000000))+ROW()/100000,"")</f>
        <v/>
      </c>
    </row>
    <row r="1177">
      <c r="F1177" s="7">
        <f>IF($A1177="","",E1177*L1177/100)</f>
        <v/>
      </c>
      <c r="J1177" s="7" t="n"/>
      <c r="K1177" s="7">
        <f>IF($A1177="","",N1177*U1177/100)</f>
        <v/>
      </c>
      <c r="L1177" s="7">
        <f>IF($A1177="","",N1177-K1177)</f>
        <v/>
      </c>
      <c r="M1177" s="7">
        <f>IF($A1177="","",L1177-F1177)</f>
        <v/>
      </c>
      <c r="N1177" s="7" t="n"/>
      <c r="O1177" s="7" t="n"/>
      <c r="P1177" s="7" t="n"/>
      <c r="R1177" s="14" t="n"/>
      <c r="V1177">
        <f>IF($A1177="","",IF(COUNTIF($A$2:$A1177,$A1177)=1,1,0))</f>
        <v/>
      </c>
      <c r="W1177">
        <f>IF($V1177=1,SUMPRODUCT(--($Y$2:$Y$1501&lt;$Y1177))+1,"")</f>
        <v/>
      </c>
      <c r="X1177">
        <f>IF($A1177="","",IF(OR($T1177=TRUE(),$T1177="TRUE"),1,0))</f>
        <v/>
      </c>
      <c r="Y1177">
        <f>IF($V1177=1,IFERROR(IF(VALUE($A1177)&lt;100000000,VALUE($A1177),1000000000),IFERROR(IF(VALUE(MID($A1177,2,20))&lt;100000000,VALUE(MID($A1177,2,20)),1000000000),1000000000))+ROW()/100000,"")</f>
        <v/>
      </c>
    </row>
    <row r="1178">
      <c r="F1178" s="7">
        <f>IF($A1178="","",E1178*L1178/100)</f>
        <v/>
      </c>
      <c r="J1178" s="7" t="n"/>
      <c r="K1178" s="7">
        <f>IF($A1178="","",N1178*U1178/100)</f>
        <v/>
      </c>
      <c r="L1178" s="7">
        <f>IF($A1178="","",N1178-K1178)</f>
        <v/>
      </c>
      <c r="M1178" s="7">
        <f>IF($A1178="","",L1178-F1178)</f>
        <v/>
      </c>
      <c r="N1178" s="7" t="n"/>
      <c r="O1178" s="7" t="n"/>
      <c r="P1178" s="7" t="n"/>
      <c r="R1178" s="14" t="n"/>
      <c r="V1178">
        <f>IF($A1178="","",IF(COUNTIF($A$2:$A1178,$A1178)=1,1,0))</f>
        <v/>
      </c>
      <c r="W1178">
        <f>IF($V1178=1,SUMPRODUCT(--($Y$2:$Y$1501&lt;$Y1178))+1,"")</f>
        <v/>
      </c>
      <c r="X1178">
        <f>IF($A1178="","",IF(OR($T1178=TRUE(),$T1178="TRUE"),1,0))</f>
        <v/>
      </c>
      <c r="Y1178">
        <f>IF($V1178=1,IFERROR(IF(VALUE($A1178)&lt;100000000,VALUE($A1178),1000000000),IFERROR(IF(VALUE(MID($A1178,2,20))&lt;100000000,VALUE(MID($A1178,2,20)),1000000000),1000000000))+ROW()/100000,"")</f>
        <v/>
      </c>
    </row>
    <row r="1179">
      <c r="F1179" s="7">
        <f>IF($A1179="","",E1179*L1179/100)</f>
        <v/>
      </c>
      <c r="J1179" s="7" t="n"/>
      <c r="K1179" s="7">
        <f>IF($A1179="","",N1179*U1179/100)</f>
        <v/>
      </c>
      <c r="L1179" s="7">
        <f>IF($A1179="","",N1179-K1179)</f>
        <v/>
      </c>
      <c r="M1179" s="7">
        <f>IF($A1179="","",L1179-F1179)</f>
        <v/>
      </c>
      <c r="N1179" s="7" t="n"/>
      <c r="O1179" s="7" t="n"/>
      <c r="P1179" s="7" t="n"/>
      <c r="R1179" s="14" t="n"/>
      <c r="V1179">
        <f>IF($A1179="","",IF(COUNTIF($A$2:$A1179,$A1179)=1,1,0))</f>
        <v/>
      </c>
      <c r="W1179">
        <f>IF($V1179=1,SUMPRODUCT(--($Y$2:$Y$1501&lt;$Y1179))+1,"")</f>
        <v/>
      </c>
      <c r="X1179">
        <f>IF($A1179="","",IF(OR($T1179=TRUE(),$T1179="TRUE"),1,0))</f>
        <v/>
      </c>
      <c r="Y1179">
        <f>IF($V1179=1,IFERROR(IF(VALUE($A1179)&lt;100000000,VALUE($A1179),1000000000),IFERROR(IF(VALUE(MID($A1179,2,20))&lt;100000000,VALUE(MID($A1179,2,20)),1000000000),1000000000))+ROW()/100000,"")</f>
        <v/>
      </c>
    </row>
    <row r="1180">
      <c r="F1180" s="7">
        <f>IF($A1180="","",E1180*L1180/100)</f>
        <v/>
      </c>
      <c r="J1180" s="7" t="n"/>
      <c r="K1180" s="7">
        <f>IF($A1180="","",N1180*U1180/100)</f>
        <v/>
      </c>
      <c r="L1180" s="7">
        <f>IF($A1180="","",N1180-K1180)</f>
        <v/>
      </c>
      <c r="M1180" s="7">
        <f>IF($A1180="","",L1180-F1180)</f>
        <v/>
      </c>
      <c r="N1180" s="7" t="n"/>
      <c r="O1180" s="7" t="n"/>
      <c r="P1180" s="7" t="n"/>
      <c r="R1180" s="14" t="n"/>
      <c r="V1180">
        <f>IF($A1180="","",IF(COUNTIF($A$2:$A1180,$A1180)=1,1,0))</f>
        <v/>
      </c>
      <c r="W1180">
        <f>IF($V1180=1,SUMPRODUCT(--($Y$2:$Y$1501&lt;$Y1180))+1,"")</f>
        <v/>
      </c>
      <c r="X1180">
        <f>IF($A1180="","",IF(OR($T1180=TRUE(),$T1180="TRUE"),1,0))</f>
        <v/>
      </c>
      <c r="Y1180">
        <f>IF($V1180=1,IFERROR(IF(VALUE($A1180)&lt;100000000,VALUE($A1180),1000000000),IFERROR(IF(VALUE(MID($A1180,2,20))&lt;100000000,VALUE(MID($A1180,2,20)),1000000000),1000000000))+ROW()/100000,"")</f>
        <v/>
      </c>
    </row>
    <row r="1181">
      <c r="F1181" s="7">
        <f>IF($A1181="","",E1181*L1181/100)</f>
        <v/>
      </c>
      <c r="J1181" s="7" t="n"/>
      <c r="K1181" s="7">
        <f>IF($A1181="","",N1181*U1181/100)</f>
        <v/>
      </c>
      <c r="L1181" s="7">
        <f>IF($A1181="","",N1181-K1181)</f>
        <v/>
      </c>
      <c r="M1181" s="7">
        <f>IF($A1181="","",L1181-F1181)</f>
        <v/>
      </c>
      <c r="N1181" s="7" t="n"/>
      <c r="O1181" s="7" t="n"/>
      <c r="P1181" s="7" t="n"/>
      <c r="R1181" s="14" t="n"/>
      <c r="V1181">
        <f>IF($A1181="","",IF(COUNTIF($A$2:$A1181,$A1181)=1,1,0))</f>
        <v/>
      </c>
      <c r="W1181">
        <f>IF($V1181=1,SUMPRODUCT(--($Y$2:$Y$1501&lt;$Y1181))+1,"")</f>
        <v/>
      </c>
      <c r="X1181">
        <f>IF($A1181="","",IF(OR($T1181=TRUE(),$T1181="TRUE"),1,0))</f>
        <v/>
      </c>
      <c r="Y1181">
        <f>IF($V1181=1,IFERROR(IF(VALUE($A1181)&lt;100000000,VALUE($A1181),1000000000),IFERROR(IF(VALUE(MID($A1181,2,20))&lt;100000000,VALUE(MID($A1181,2,20)),1000000000),1000000000))+ROW()/100000,"")</f>
        <v/>
      </c>
    </row>
    <row r="1182">
      <c r="F1182" s="7">
        <f>IF($A1182="","",E1182*L1182/100)</f>
        <v/>
      </c>
      <c r="J1182" s="7" t="n"/>
      <c r="K1182" s="7">
        <f>IF($A1182="","",N1182*U1182/100)</f>
        <v/>
      </c>
      <c r="L1182" s="7">
        <f>IF($A1182="","",N1182-K1182)</f>
        <v/>
      </c>
      <c r="M1182" s="7">
        <f>IF($A1182="","",L1182-F1182)</f>
        <v/>
      </c>
      <c r="N1182" s="7" t="n"/>
      <c r="O1182" s="7" t="n"/>
      <c r="P1182" s="7" t="n"/>
      <c r="R1182" s="14" t="n"/>
      <c r="V1182">
        <f>IF($A1182="","",IF(COUNTIF($A$2:$A1182,$A1182)=1,1,0))</f>
        <v/>
      </c>
      <c r="W1182">
        <f>IF($V1182=1,SUMPRODUCT(--($Y$2:$Y$1501&lt;$Y1182))+1,"")</f>
        <v/>
      </c>
      <c r="X1182">
        <f>IF($A1182="","",IF(OR($T1182=TRUE(),$T1182="TRUE"),1,0))</f>
        <v/>
      </c>
      <c r="Y1182">
        <f>IF($V1182=1,IFERROR(IF(VALUE($A1182)&lt;100000000,VALUE($A1182),1000000000),IFERROR(IF(VALUE(MID($A1182,2,20))&lt;100000000,VALUE(MID($A1182,2,20)),1000000000),1000000000))+ROW()/100000,"")</f>
        <v/>
      </c>
    </row>
    <row r="1183">
      <c r="F1183" s="7">
        <f>IF($A1183="","",E1183*L1183/100)</f>
        <v/>
      </c>
      <c r="J1183" s="7" t="n"/>
      <c r="K1183" s="7">
        <f>IF($A1183="","",N1183*U1183/100)</f>
        <v/>
      </c>
      <c r="L1183" s="7">
        <f>IF($A1183="","",N1183-K1183)</f>
        <v/>
      </c>
      <c r="M1183" s="7">
        <f>IF($A1183="","",L1183-F1183)</f>
        <v/>
      </c>
      <c r="N1183" s="7" t="n"/>
      <c r="O1183" s="7" t="n"/>
      <c r="P1183" s="7" t="n"/>
      <c r="R1183" s="14" t="n"/>
      <c r="V1183">
        <f>IF($A1183="","",IF(COUNTIF($A$2:$A1183,$A1183)=1,1,0))</f>
        <v/>
      </c>
      <c r="W1183">
        <f>IF($V1183=1,SUMPRODUCT(--($Y$2:$Y$1501&lt;$Y1183))+1,"")</f>
        <v/>
      </c>
      <c r="X1183">
        <f>IF($A1183="","",IF(OR($T1183=TRUE(),$T1183="TRUE"),1,0))</f>
        <v/>
      </c>
      <c r="Y1183">
        <f>IF($V1183=1,IFERROR(IF(VALUE($A1183)&lt;100000000,VALUE($A1183),1000000000),IFERROR(IF(VALUE(MID($A1183,2,20))&lt;100000000,VALUE(MID($A1183,2,20)),1000000000),1000000000))+ROW()/100000,"")</f>
        <v/>
      </c>
    </row>
    <row r="1184">
      <c r="F1184" s="7">
        <f>IF($A1184="","",E1184*L1184/100)</f>
        <v/>
      </c>
      <c r="J1184" s="7" t="n"/>
      <c r="K1184" s="7">
        <f>IF($A1184="","",N1184*U1184/100)</f>
        <v/>
      </c>
      <c r="L1184" s="7">
        <f>IF($A1184="","",N1184-K1184)</f>
        <v/>
      </c>
      <c r="M1184" s="7">
        <f>IF($A1184="","",L1184-F1184)</f>
        <v/>
      </c>
      <c r="N1184" s="7" t="n"/>
      <c r="O1184" s="7" t="n"/>
      <c r="P1184" s="7" t="n"/>
      <c r="R1184" s="14" t="n"/>
      <c r="V1184">
        <f>IF($A1184="","",IF(COUNTIF($A$2:$A1184,$A1184)=1,1,0))</f>
        <v/>
      </c>
      <c r="W1184">
        <f>IF($V1184=1,SUMPRODUCT(--($Y$2:$Y$1501&lt;$Y1184))+1,"")</f>
        <v/>
      </c>
      <c r="X1184">
        <f>IF($A1184="","",IF(OR($T1184=TRUE(),$T1184="TRUE"),1,0))</f>
        <v/>
      </c>
      <c r="Y1184">
        <f>IF($V1184=1,IFERROR(IF(VALUE($A1184)&lt;100000000,VALUE($A1184),1000000000),IFERROR(IF(VALUE(MID($A1184,2,20))&lt;100000000,VALUE(MID($A1184,2,20)),1000000000),1000000000))+ROW()/100000,"")</f>
        <v/>
      </c>
    </row>
    <row r="1185">
      <c r="F1185" s="7">
        <f>IF($A1185="","",E1185*L1185/100)</f>
        <v/>
      </c>
      <c r="J1185" s="7" t="n"/>
      <c r="K1185" s="7">
        <f>IF($A1185="","",N1185*U1185/100)</f>
        <v/>
      </c>
      <c r="L1185" s="7">
        <f>IF($A1185="","",N1185-K1185)</f>
        <v/>
      </c>
      <c r="M1185" s="7">
        <f>IF($A1185="","",L1185-F1185)</f>
        <v/>
      </c>
      <c r="N1185" s="7" t="n"/>
      <c r="O1185" s="7" t="n"/>
      <c r="P1185" s="7" t="n"/>
      <c r="R1185" s="14" t="n"/>
      <c r="V1185">
        <f>IF($A1185="","",IF(COUNTIF($A$2:$A1185,$A1185)=1,1,0))</f>
        <v/>
      </c>
      <c r="W1185">
        <f>IF($V1185=1,SUMPRODUCT(--($Y$2:$Y$1501&lt;$Y1185))+1,"")</f>
        <v/>
      </c>
      <c r="X1185">
        <f>IF($A1185="","",IF(OR($T1185=TRUE(),$T1185="TRUE"),1,0))</f>
        <v/>
      </c>
      <c r="Y1185">
        <f>IF($V1185=1,IFERROR(IF(VALUE($A1185)&lt;100000000,VALUE($A1185),1000000000),IFERROR(IF(VALUE(MID($A1185,2,20))&lt;100000000,VALUE(MID($A1185,2,20)),1000000000),1000000000))+ROW()/100000,"")</f>
        <v/>
      </c>
    </row>
    <row r="1186">
      <c r="F1186" s="7">
        <f>IF($A1186="","",E1186*L1186/100)</f>
        <v/>
      </c>
      <c r="J1186" s="7" t="n"/>
      <c r="K1186" s="7">
        <f>IF($A1186="","",N1186*U1186/100)</f>
        <v/>
      </c>
      <c r="L1186" s="7">
        <f>IF($A1186="","",N1186-K1186)</f>
        <v/>
      </c>
      <c r="M1186" s="7">
        <f>IF($A1186="","",L1186-F1186)</f>
        <v/>
      </c>
      <c r="N1186" s="7" t="n"/>
      <c r="O1186" s="7" t="n"/>
      <c r="P1186" s="7" t="n"/>
      <c r="R1186" s="14" t="n"/>
      <c r="V1186">
        <f>IF($A1186="","",IF(COUNTIF($A$2:$A1186,$A1186)=1,1,0))</f>
        <v/>
      </c>
      <c r="W1186">
        <f>IF($V1186=1,SUMPRODUCT(--($Y$2:$Y$1501&lt;$Y1186))+1,"")</f>
        <v/>
      </c>
      <c r="X1186">
        <f>IF($A1186="","",IF(OR($T1186=TRUE(),$T1186="TRUE"),1,0))</f>
        <v/>
      </c>
      <c r="Y1186">
        <f>IF($V1186=1,IFERROR(IF(VALUE($A1186)&lt;100000000,VALUE($A1186),1000000000),IFERROR(IF(VALUE(MID($A1186,2,20))&lt;100000000,VALUE(MID($A1186,2,20)),1000000000),1000000000))+ROW()/100000,"")</f>
        <v/>
      </c>
    </row>
    <row r="1187">
      <c r="F1187" s="7">
        <f>IF($A1187="","",E1187*L1187/100)</f>
        <v/>
      </c>
      <c r="J1187" s="7" t="n"/>
      <c r="K1187" s="7">
        <f>IF($A1187="","",N1187*U1187/100)</f>
        <v/>
      </c>
      <c r="L1187" s="7">
        <f>IF($A1187="","",N1187-K1187)</f>
        <v/>
      </c>
      <c r="M1187" s="7">
        <f>IF($A1187="","",L1187-F1187)</f>
        <v/>
      </c>
      <c r="N1187" s="7" t="n"/>
      <c r="O1187" s="7" t="n"/>
      <c r="P1187" s="7" t="n"/>
      <c r="R1187" s="14" t="n"/>
      <c r="V1187">
        <f>IF($A1187="","",IF(COUNTIF($A$2:$A1187,$A1187)=1,1,0))</f>
        <v/>
      </c>
      <c r="W1187">
        <f>IF($V1187=1,SUMPRODUCT(--($Y$2:$Y$1501&lt;$Y1187))+1,"")</f>
        <v/>
      </c>
      <c r="X1187">
        <f>IF($A1187="","",IF(OR($T1187=TRUE(),$T1187="TRUE"),1,0))</f>
        <v/>
      </c>
      <c r="Y1187">
        <f>IF($V1187=1,IFERROR(IF(VALUE($A1187)&lt;100000000,VALUE($A1187),1000000000),IFERROR(IF(VALUE(MID($A1187,2,20))&lt;100000000,VALUE(MID($A1187,2,20)),1000000000),1000000000))+ROW()/100000,"")</f>
        <v/>
      </c>
    </row>
    <row r="1188">
      <c r="F1188" s="7">
        <f>IF($A1188="","",E1188*L1188/100)</f>
        <v/>
      </c>
      <c r="J1188" s="7" t="n"/>
      <c r="K1188" s="7">
        <f>IF($A1188="","",N1188*U1188/100)</f>
        <v/>
      </c>
      <c r="L1188" s="7">
        <f>IF($A1188="","",N1188-K1188)</f>
        <v/>
      </c>
      <c r="M1188" s="7">
        <f>IF($A1188="","",L1188-F1188)</f>
        <v/>
      </c>
      <c r="N1188" s="7" t="n"/>
      <c r="O1188" s="7" t="n"/>
      <c r="P1188" s="7" t="n"/>
      <c r="R1188" s="14" t="n"/>
      <c r="V1188">
        <f>IF($A1188="","",IF(COUNTIF($A$2:$A1188,$A1188)=1,1,0))</f>
        <v/>
      </c>
      <c r="W1188">
        <f>IF($V1188=1,SUMPRODUCT(--($Y$2:$Y$1501&lt;$Y1188))+1,"")</f>
        <v/>
      </c>
      <c r="X1188">
        <f>IF($A1188="","",IF(OR($T1188=TRUE(),$T1188="TRUE"),1,0))</f>
        <v/>
      </c>
      <c r="Y1188">
        <f>IF($V1188=1,IFERROR(IF(VALUE($A1188)&lt;100000000,VALUE($A1188),1000000000),IFERROR(IF(VALUE(MID($A1188,2,20))&lt;100000000,VALUE(MID($A1188,2,20)),1000000000),1000000000))+ROW()/100000,"")</f>
        <v/>
      </c>
    </row>
    <row r="1189">
      <c r="F1189" s="7">
        <f>IF($A1189="","",E1189*L1189/100)</f>
        <v/>
      </c>
      <c r="J1189" s="7" t="n"/>
      <c r="K1189" s="7">
        <f>IF($A1189="","",N1189*U1189/100)</f>
        <v/>
      </c>
      <c r="L1189" s="7">
        <f>IF($A1189="","",N1189-K1189)</f>
        <v/>
      </c>
      <c r="M1189" s="7">
        <f>IF($A1189="","",L1189-F1189)</f>
        <v/>
      </c>
      <c r="N1189" s="7" t="n"/>
      <c r="O1189" s="7" t="n"/>
      <c r="P1189" s="7" t="n"/>
      <c r="R1189" s="14" t="n"/>
      <c r="V1189">
        <f>IF($A1189="","",IF(COUNTIF($A$2:$A1189,$A1189)=1,1,0))</f>
        <v/>
      </c>
      <c r="W1189">
        <f>IF($V1189=1,SUMPRODUCT(--($Y$2:$Y$1501&lt;$Y1189))+1,"")</f>
        <v/>
      </c>
      <c r="X1189">
        <f>IF($A1189="","",IF(OR($T1189=TRUE(),$T1189="TRUE"),1,0))</f>
        <v/>
      </c>
      <c r="Y1189">
        <f>IF($V1189=1,IFERROR(IF(VALUE($A1189)&lt;100000000,VALUE($A1189),1000000000),IFERROR(IF(VALUE(MID($A1189,2,20))&lt;100000000,VALUE(MID($A1189,2,20)),1000000000),1000000000))+ROW()/100000,"")</f>
        <v/>
      </c>
    </row>
    <row r="1190">
      <c r="F1190" s="7">
        <f>IF($A1190="","",E1190*L1190/100)</f>
        <v/>
      </c>
      <c r="J1190" s="7" t="n"/>
      <c r="K1190" s="7">
        <f>IF($A1190="","",N1190*U1190/100)</f>
        <v/>
      </c>
      <c r="L1190" s="7">
        <f>IF($A1190="","",N1190-K1190)</f>
        <v/>
      </c>
      <c r="M1190" s="7">
        <f>IF($A1190="","",L1190-F1190)</f>
        <v/>
      </c>
      <c r="N1190" s="7" t="n"/>
      <c r="O1190" s="7" t="n"/>
      <c r="P1190" s="7" t="n"/>
      <c r="R1190" s="14" t="n"/>
      <c r="V1190">
        <f>IF($A1190="","",IF(COUNTIF($A$2:$A1190,$A1190)=1,1,0))</f>
        <v/>
      </c>
      <c r="W1190">
        <f>IF($V1190=1,SUMPRODUCT(--($Y$2:$Y$1501&lt;$Y1190))+1,"")</f>
        <v/>
      </c>
      <c r="X1190">
        <f>IF($A1190="","",IF(OR($T1190=TRUE(),$T1190="TRUE"),1,0))</f>
        <v/>
      </c>
      <c r="Y1190">
        <f>IF($V1190=1,IFERROR(IF(VALUE($A1190)&lt;100000000,VALUE($A1190),1000000000),IFERROR(IF(VALUE(MID($A1190,2,20))&lt;100000000,VALUE(MID($A1190,2,20)),1000000000),1000000000))+ROW()/100000,"")</f>
        <v/>
      </c>
    </row>
    <row r="1191">
      <c r="F1191" s="7">
        <f>IF($A1191="","",E1191*L1191/100)</f>
        <v/>
      </c>
      <c r="J1191" s="7" t="n"/>
      <c r="K1191" s="7">
        <f>IF($A1191="","",N1191*U1191/100)</f>
        <v/>
      </c>
      <c r="L1191" s="7">
        <f>IF($A1191="","",N1191-K1191)</f>
        <v/>
      </c>
      <c r="M1191" s="7">
        <f>IF($A1191="","",L1191-F1191)</f>
        <v/>
      </c>
      <c r="N1191" s="7" t="n"/>
      <c r="O1191" s="7" t="n"/>
      <c r="P1191" s="7" t="n"/>
      <c r="R1191" s="14" t="n"/>
      <c r="V1191">
        <f>IF($A1191="","",IF(COUNTIF($A$2:$A1191,$A1191)=1,1,0))</f>
        <v/>
      </c>
      <c r="W1191">
        <f>IF($V1191=1,SUMPRODUCT(--($Y$2:$Y$1501&lt;$Y1191))+1,"")</f>
        <v/>
      </c>
      <c r="X1191">
        <f>IF($A1191="","",IF(OR($T1191=TRUE(),$T1191="TRUE"),1,0))</f>
        <v/>
      </c>
      <c r="Y1191">
        <f>IF($V1191=1,IFERROR(IF(VALUE($A1191)&lt;100000000,VALUE($A1191),1000000000),IFERROR(IF(VALUE(MID($A1191,2,20))&lt;100000000,VALUE(MID($A1191,2,20)),1000000000),1000000000))+ROW()/100000,"")</f>
        <v/>
      </c>
    </row>
    <row r="1192">
      <c r="F1192" s="7">
        <f>IF($A1192="","",E1192*L1192/100)</f>
        <v/>
      </c>
      <c r="J1192" s="7" t="n"/>
      <c r="K1192" s="7">
        <f>IF($A1192="","",N1192*U1192/100)</f>
        <v/>
      </c>
      <c r="L1192" s="7">
        <f>IF($A1192="","",N1192-K1192)</f>
        <v/>
      </c>
      <c r="M1192" s="7">
        <f>IF($A1192="","",L1192-F1192)</f>
        <v/>
      </c>
      <c r="N1192" s="7" t="n"/>
      <c r="O1192" s="7" t="n"/>
      <c r="P1192" s="7" t="n"/>
      <c r="R1192" s="14" t="n"/>
      <c r="V1192">
        <f>IF($A1192="","",IF(COUNTIF($A$2:$A1192,$A1192)=1,1,0))</f>
        <v/>
      </c>
      <c r="W1192">
        <f>IF($V1192=1,SUMPRODUCT(--($Y$2:$Y$1501&lt;$Y1192))+1,"")</f>
        <v/>
      </c>
      <c r="X1192">
        <f>IF($A1192="","",IF(OR($T1192=TRUE(),$T1192="TRUE"),1,0))</f>
        <v/>
      </c>
      <c r="Y1192">
        <f>IF($V1192=1,IFERROR(IF(VALUE($A1192)&lt;100000000,VALUE($A1192),1000000000),IFERROR(IF(VALUE(MID($A1192,2,20))&lt;100000000,VALUE(MID($A1192,2,20)),1000000000),1000000000))+ROW()/100000,"")</f>
        <v/>
      </c>
    </row>
    <row r="1193">
      <c r="F1193" s="7">
        <f>IF($A1193="","",E1193*L1193/100)</f>
        <v/>
      </c>
      <c r="J1193" s="7" t="n"/>
      <c r="K1193" s="7">
        <f>IF($A1193="","",N1193*U1193/100)</f>
        <v/>
      </c>
      <c r="L1193" s="7">
        <f>IF($A1193="","",N1193-K1193)</f>
        <v/>
      </c>
      <c r="M1193" s="7">
        <f>IF($A1193="","",L1193-F1193)</f>
        <v/>
      </c>
      <c r="N1193" s="7" t="n"/>
      <c r="O1193" s="7" t="n"/>
      <c r="P1193" s="7" t="n"/>
      <c r="R1193" s="14" t="n"/>
      <c r="V1193">
        <f>IF($A1193="","",IF(COUNTIF($A$2:$A1193,$A1193)=1,1,0))</f>
        <v/>
      </c>
      <c r="W1193">
        <f>IF($V1193=1,SUMPRODUCT(--($Y$2:$Y$1501&lt;$Y1193))+1,"")</f>
        <v/>
      </c>
      <c r="X1193">
        <f>IF($A1193="","",IF(OR($T1193=TRUE(),$T1193="TRUE"),1,0))</f>
        <v/>
      </c>
      <c r="Y1193">
        <f>IF($V1193=1,IFERROR(IF(VALUE($A1193)&lt;100000000,VALUE($A1193),1000000000),IFERROR(IF(VALUE(MID($A1193,2,20))&lt;100000000,VALUE(MID($A1193,2,20)),1000000000),1000000000))+ROW()/100000,"")</f>
        <v/>
      </c>
    </row>
    <row r="1194">
      <c r="F1194" s="7">
        <f>IF($A1194="","",E1194*L1194/100)</f>
        <v/>
      </c>
      <c r="J1194" s="7" t="n"/>
      <c r="K1194" s="7">
        <f>IF($A1194="","",N1194*U1194/100)</f>
        <v/>
      </c>
      <c r="L1194" s="7">
        <f>IF($A1194="","",N1194-K1194)</f>
        <v/>
      </c>
      <c r="M1194" s="7">
        <f>IF($A1194="","",L1194-F1194)</f>
        <v/>
      </c>
      <c r="N1194" s="7" t="n"/>
      <c r="O1194" s="7" t="n"/>
      <c r="P1194" s="7" t="n"/>
      <c r="R1194" s="14" t="n"/>
      <c r="V1194">
        <f>IF($A1194="","",IF(COUNTIF($A$2:$A1194,$A1194)=1,1,0))</f>
        <v/>
      </c>
      <c r="W1194">
        <f>IF($V1194=1,SUMPRODUCT(--($Y$2:$Y$1501&lt;$Y1194))+1,"")</f>
        <v/>
      </c>
      <c r="X1194">
        <f>IF($A1194="","",IF(OR($T1194=TRUE(),$T1194="TRUE"),1,0))</f>
        <v/>
      </c>
      <c r="Y1194">
        <f>IF($V1194=1,IFERROR(IF(VALUE($A1194)&lt;100000000,VALUE($A1194),1000000000),IFERROR(IF(VALUE(MID($A1194,2,20))&lt;100000000,VALUE(MID($A1194,2,20)),1000000000),1000000000))+ROW()/100000,"")</f>
        <v/>
      </c>
    </row>
    <row r="1195">
      <c r="F1195" s="7">
        <f>IF($A1195="","",E1195*L1195/100)</f>
        <v/>
      </c>
      <c r="J1195" s="7" t="n"/>
      <c r="K1195" s="7">
        <f>IF($A1195="","",N1195*U1195/100)</f>
        <v/>
      </c>
      <c r="L1195" s="7">
        <f>IF($A1195="","",N1195-K1195)</f>
        <v/>
      </c>
      <c r="M1195" s="7">
        <f>IF($A1195="","",L1195-F1195)</f>
        <v/>
      </c>
      <c r="N1195" s="7" t="n"/>
      <c r="O1195" s="7" t="n"/>
      <c r="P1195" s="7" t="n"/>
      <c r="R1195" s="14" t="n"/>
      <c r="V1195">
        <f>IF($A1195="","",IF(COUNTIF($A$2:$A1195,$A1195)=1,1,0))</f>
        <v/>
      </c>
      <c r="W1195">
        <f>IF($V1195=1,SUMPRODUCT(--($Y$2:$Y$1501&lt;$Y1195))+1,"")</f>
        <v/>
      </c>
      <c r="X1195">
        <f>IF($A1195="","",IF(OR($T1195=TRUE(),$T1195="TRUE"),1,0))</f>
        <v/>
      </c>
      <c r="Y1195">
        <f>IF($V1195=1,IFERROR(IF(VALUE($A1195)&lt;100000000,VALUE($A1195),1000000000),IFERROR(IF(VALUE(MID($A1195,2,20))&lt;100000000,VALUE(MID($A1195,2,20)),1000000000),1000000000))+ROW()/100000,"")</f>
        <v/>
      </c>
    </row>
    <row r="1196">
      <c r="F1196" s="7">
        <f>IF($A1196="","",E1196*L1196/100)</f>
        <v/>
      </c>
      <c r="J1196" s="7" t="n"/>
      <c r="K1196" s="7">
        <f>IF($A1196="","",N1196*U1196/100)</f>
        <v/>
      </c>
      <c r="L1196" s="7">
        <f>IF($A1196="","",N1196-K1196)</f>
        <v/>
      </c>
      <c r="M1196" s="7">
        <f>IF($A1196="","",L1196-F1196)</f>
        <v/>
      </c>
      <c r="N1196" s="7" t="n"/>
      <c r="O1196" s="7" t="n"/>
      <c r="P1196" s="7" t="n"/>
      <c r="R1196" s="14" t="n"/>
      <c r="V1196">
        <f>IF($A1196="","",IF(COUNTIF($A$2:$A1196,$A1196)=1,1,0))</f>
        <v/>
      </c>
      <c r="W1196">
        <f>IF($V1196=1,SUMPRODUCT(--($Y$2:$Y$1501&lt;$Y1196))+1,"")</f>
        <v/>
      </c>
      <c r="X1196">
        <f>IF($A1196="","",IF(OR($T1196=TRUE(),$T1196="TRUE"),1,0))</f>
        <v/>
      </c>
      <c r="Y1196">
        <f>IF($V1196=1,IFERROR(IF(VALUE($A1196)&lt;100000000,VALUE($A1196),1000000000),IFERROR(IF(VALUE(MID($A1196,2,20))&lt;100000000,VALUE(MID($A1196,2,20)),1000000000),1000000000))+ROW()/100000,"")</f>
        <v/>
      </c>
    </row>
    <row r="1197">
      <c r="F1197" s="7">
        <f>IF($A1197="","",E1197*L1197/100)</f>
        <v/>
      </c>
      <c r="J1197" s="7" t="n"/>
      <c r="K1197" s="7">
        <f>IF($A1197="","",N1197*U1197/100)</f>
        <v/>
      </c>
      <c r="L1197" s="7">
        <f>IF($A1197="","",N1197-K1197)</f>
        <v/>
      </c>
      <c r="M1197" s="7">
        <f>IF($A1197="","",L1197-F1197)</f>
        <v/>
      </c>
      <c r="N1197" s="7" t="n"/>
      <c r="O1197" s="7" t="n"/>
      <c r="P1197" s="7" t="n"/>
      <c r="R1197" s="14" t="n"/>
      <c r="V1197">
        <f>IF($A1197="","",IF(COUNTIF($A$2:$A1197,$A1197)=1,1,0))</f>
        <v/>
      </c>
      <c r="W1197">
        <f>IF($V1197=1,SUMPRODUCT(--($Y$2:$Y$1501&lt;$Y1197))+1,"")</f>
        <v/>
      </c>
      <c r="X1197">
        <f>IF($A1197="","",IF(OR($T1197=TRUE(),$T1197="TRUE"),1,0))</f>
        <v/>
      </c>
      <c r="Y1197">
        <f>IF($V1197=1,IFERROR(IF(VALUE($A1197)&lt;100000000,VALUE($A1197),1000000000),IFERROR(IF(VALUE(MID($A1197,2,20))&lt;100000000,VALUE(MID($A1197,2,20)),1000000000),1000000000))+ROW()/100000,"")</f>
        <v/>
      </c>
    </row>
    <row r="1198">
      <c r="F1198" s="7">
        <f>IF($A1198="","",E1198*L1198/100)</f>
        <v/>
      </c>
      <c r="J1198" s="7" t="n"/>
      <c r="K1198" s="7">
        <f>IF($A1198="","",N1198*U1198/100)</f>
        <v/>
      </c>
      <c r="L1198" s="7">
        <f>IF($A1198="","",N1198-K1198)</f>
        <v/>
      </c>
      <c r="M1198" s="7">
        <f>IF($A1198="","",L1198-F1198)</f>
        <v/>
      </c>
      <c r="N1198" s="7" t="n"/>
      <c r="O1198" s="7" t="n"/>
      <c r="P1198" s="7" t="n"/>
      <c r="R1198" s="14" t="n"/>
      <c r="V1198">
        <f>IF($A1198="","",IF(COUNTIF($A$2:$A1198,$A1198)=1,1,0))</f>
        <v/>
      </c>
      <c r="W1198">
        <f>IF($V1198=1,SUMPRODUCT(--($Y$2:$Y$1501&lt;$Y1198))+1,"")</f>
        <v/>
      </c>
      <c r="X1198">
        <f>IF($A1198="","",IF(OR($T1198=TRUE(),$T1198="TRUE"),1,0))</f>
        <v/>
      </c>
      <c r="Y1198">
        <f>IF($V1198=1,IFERROR(IF(VALUE($A1198)&lt;100000000,VALUE($A1198),1000000000),IFERROR(IF(VALUE(MID($A1198,2,20))&lt;100000000,VALUE(MID($A1198,2,20)),1000000000),1000000000))+ROW()/100000,"")</f>
        <v/>
      </c>
    </row>
    <row r="1199">
      <c r="F1199" s="7">
        <f>IF($A1199="","",E1199*L1199/100)</f>
        <v/>
      </c>
      <c r="J1199" s="7" t="n"/>
      <c r="K1199" s="7">
        <f>IF($A1199="","",N1199*U1199/100)</f>
        <v/>
      </c>
      <c r="L1199" s="7">
        <f>IF($A1199="","",N1199-K1199)</f>
        <v/>
      </c>
      <c r="M1199" s="7">
        <f>IF($A1199="","",L1199-F1199)</f>
        <v/>
      </c>
      <c r="N1199" s="7" t="n"/>
      <c r="O1199" s="7" t="n"/>
      <c r="P1199" s="7" t="n"/>
      <c r="R1199" s="14" t="n"/>
      <c r="V1199">
        <f>IF($A1199="","",IF(COUNTIF($A$2:$A1199,$A1199)=1,1,0))</f>
        <v/>
      </c>
      <c r="W1199">
        <f>IF($V1199=1,SUMPRODUCT(--($Y$2:$Y$1501&lt;$Y1199))+1,"")</f>
        <v/>
      </c>
      <c r="X1199">
        <f>IF($A1199="","",IF(OR($T1199=TRUE(),$T1199="TRUE"),1,0))</f>
        <v/>
      </c>
      <c r="Y1199">
        <f>IF($V1199=1,IFERROR(IF(VALUE($A1199)&lt;100000000,VALUE($A1199),1000000000),IFERROR(IF(VALUE(MID($A1199,2,20))&lt;100000000,VALUE(MID($A1199,2,20)),1000000000),1000000000))+ROW()/100000,"")</f>
        <v/>
      </c>
    </row>
    <row r="1200">
      <c r="F1200" s="7">
        <f>IF($A1200="","",E1200*L1200/100)</f>
        <v/>
      </c>
      <c r="J1200" s="7" t="n"/>
      <c r="K1200" s="7">
        <f>IF($A1200="","",N1200*U1200/100)</f>
        <v/>
      </c>
      <c r="L1200" s="7">
        <f>IF($A1200="","",N1200-K1200)</f>
        <v/>
      </c>
      <c r="M1200" s="7">
        <f>IF($A1200="","",L1200-F1200)</f>
        <v/>
      </c>
      <c r="N1200" s="7" t="n"/>
      <c r="O1200" s="7" t="n"/>
      <c r="P1200" s="7" t="n"/>
      <c r="R1200" s="14" t="n"/>
      <c r="V1200">
        <f>IF($A1200="","",IF(COUNTIF($A$2:$A1200,$A1200)=1,1,0))</f>
        <v/>
      </c>
      <c r="W1200">
        <f>IF($V1200=1,SUMPRODUCT(--($Y$2:$Y$1501&lt;$Y1200))+1,"")</f>
        <v/>
      </c>
      <c r="X1200">
        <f>IF($A1200="","",IF(OR($T1200=TRUE(),$T1200="TRUE"),1,0))</f>
        <v/>
      </c>
      <c r="Y1200">
        <f>IF($V1200=1,IFERROR(IF(VALUE($A1200)&lt;100000000,VALUE($A1200),1000000000),IFERROR(IF(VALUE(MID($A1200,2,20))&lt;100000000,VALUE(MID($A1200,2,20)),1000000000),1000000000))+ROW()/100000,"")</f>
        <v/>
      </c>
    </row>
    <row r="1201">
      <c r="F1201" s="7">
        <f>IF($A1201="","",E1201*L1201/100)</f>
        <v/>
      </c>
      <c r="J1201" s="7" t="n"/>
      <c r="K1201" s="7">
        <f>IF($A1201="","",N1201*U1201/100)</f>
        <v/>
      </c>
      <c r="L1201" s="7">
        <f>IF($A1201="","",N1201-K1201)</f>
        <v/>
      </c>
      <c r="M1201" s="7">
        <f>IF($A1201="","",L1201-F1201)</f>
        <v/>
      </c>
      <c r="N1201" s="7" t="n"/>
      <c r="O1201" s="7" t="n"/>
      <c r="P1201" s="7" t="n"/>
      <c r="R1201" s="14" t="n"/>
      <c r="V1201">
        <f>IF($A1201="","",IF(COUNTIF($A$2:$A1201,$A1201)=1,1,0))</f>
        <v/>
      </c>
      <c r="W1201">
        <f>IF($V1201=1,SUMPRODUCT(--($Y$2:$Y$1501&lt;$Y1201))+1,"")</f>
        <v/>
      </c>
      <c r="X1201">
        <f>IF($A1201="","",IF(OR($T1201=TRUE(),$T1201="TRUE"),1,0))</f>
        <v/>
      </c>
      <c r="Y1201">
        <f>IF($V1201=1,IFERROR(IF(VALUE($A1201)&lt;100000000,VALUE($A1201),1000000000),IFERROR(IF(VALUE(MID($A1201,2,20))&lt;100000000,VALUE(MID($A1201,2,20)),1000000000),1000000000))+ROW()/100000,"")</f>
        <v/>
      </c>
    </row>
    <row r="1202">
      <c r="F1202" s="7">
        <f>IF($A1202="","",E1202*L1202/100)</f>
        <v/>
      </c>
      <c r="J1202" s="7" t="n"/>
      <c r="K1202" s="7">
        <f>IF($A1202="","",N1202*U1202/100)</f>
        <v/>
      </c>
      <c r="L1202" s="7">
        <f>IF($A1202="","",N1202-K1202)</f>
        <v/>
      </c>
      <c r="M1202" s="7">
        <f>IF($A1202="","",L1202-F1202)</f>
        <v/>
      </c>
      <c r="N1202" s="7" t="n"/>
      <c r="O1202" s="7" t="n"/>
      <c r="P1202" s="7" t="n"/>
      <c r="R1202" s="14" t="n"/>
      <c r="V1202">
        <f>IF($A1202="","",IF(COUNTIF($A$2:$A1202,$A1202)=1,1,0))</f>
        <v/>
      </c>
      <c r="W1202">
        <f>IF($V1202=1,SUMPRODUCT(--($Y$2:$Y$1501&lt;$Y1202))+1,"")</f>
        <v/>
      </c>
      <c r="X1202">
        <f>IF($A1202="","",IF(OR($T1202=TRUE(),$T1202="TRUE"),1,0))</f>
        <v/>
      </c>
      <c r="Y1202">
        <f>IF($V1202=1,IFERROR(IF(VALUE($A1202)&lt;100000000,VALUE($A1202),1000000000),IFERROR(IF(VALUE(MID($A1202,2,20))&lt;100000000,VALUE(MID($A1202,2,20)),1000000000),1000000000))+ROW()/100000,"")</f>
        <v/>
      </c>
    </row>
    <row r="1203">
      <c r="F1203" s="7">
        <f>IF($A1203="","",E1203*L1203/100)</f>
        <v/>
      </c>
      <c r="J1203" s="7" t="n"/>
      <c r="K1203" s="7">
        <f>IF($A1203="","",N1203*U1203/100)</f>
        <v/>
      </c>
      <c r="L1203" s="7">
        <f>IF($A1203="","",N1203-K1203)</f>
        <v/>
      </c>
      <c r="M1203" s="7">
        <f>IF($A1203="","",L1203-F1203)</f>
        <v/>
      </c>
      <c r="N1203" s="7" t="n"/>
      <c r="O1203" s="7" t="n"/>
      <c r="P1203" s="7" t="n"/>
      <c r="R1203" s="14" t="n"/>
      <c r="V1203">
        <f>IF($A1203="","",IF(COUNTIF($A$2:$A1203,$A1203)=1,1,0))</f>
        <v/>
      </c>
      <c r="W1203">
        <f>IF($V1203=1,SUMPRODUCT(--($Y$2:$Y$1501&lt;$Y1203))+1,"")</f>
        <v/>
      </c>
      <c r="X1203">
        <f>IF($A1203="","",IF(OR($T1203=TRUE(),$T1203="TRUE"),1,0))</f>
        <v/>
      </c>
      <c r="Y1203">
        <f>IF($V1203=1,IFERROR(IF(VALUE($A1203)&lt;100000000,VALUE($A1203),1000000000),IFERROR(IF(VALUE(MID($A1203,2,20))&lt;100000000,VALUE(MID($A1203,2,20)),1000000000),1000000000))+ROW()/100000,"")</f>
        <v/>
      </c>
    </row>
    <row r="1204">
      <c r="F1204" s="7">
        <f>IF($A1204="","",E1204*L1204/100)</f>
        <v/>
      </c>
      <c r="J1204" s="7" t="n"/>
      <c r="K1204" s="7">
        <f>IF($A1204="","",N1204*U1204/100)</f>
        <v/>
      </c>
      <c r="L1204" s="7">
        <f>IF($A1204="","",N1204-K1204)</f>
        <v/>
      </c>
      <c r="M1204" s="7">
        <f>IF($A1204="","",L1204-F1204)</f>
        <v/>
      </c>
      <c r="N1204" s="7" t="n"/>
      <c r="O1204" s="7" t="n"/>
      <c r="P1204" s="7" t="n"/>
      <c r="R1204" s="14" t="n"/>
      <c r="V1204">
        <f>IF($A1204="","",IF(COUNTIF($A$2:$A1204,$A1204)=1,1,0))</f>
        <v/>
      </c>
      <c r="W1204">
        <f>IF($V1204=1,SUMPRODUCT(--($Y$2:$Y$1501&lt;$Y1204))+1,"")</f>
        <v/>
      </c>
      <c r="X1204">
        <f>IF($A1204="","",IF(OR($T1204=TRUE(),$T1204="TRUE"),1,0))</f>
        <v/>
      </c>
      <c r="Y1204">
        <f>IF($V1204=1,IFERROR(IF(VALUE($A1204)&lt;100000000,VALUE($A1204),1000000000),IFERROR(IF(VALUE(MID($A1204,2,20))&lt;100000000,VALUE(MID($A1204,2,20)),1000000000),1000000000))+ROW()/100000,"")</f>
        <v/>
      </c>
    </row>
    <row r="1205">
      <c r="F1205" s="7">
        <f>IF($A1205="","",E1205*L1205/100)</f>
        <v/>
      </c>
      <c r="J1205" s="7" t="n"/>
      <c r="K1205" s="7">
        <f>IF($A1205="","",N1205*U1205/100)</f>
        <v/>
      </c>
      <c r="L1205" s="7">
        <f>IF($A1205="","",N1205-K1205)</f>
        <v/>
      </c>
      <c r="M1205" s="7">
        <f>IF($A1205="","",L1205-F1205)</f>
        <v/>
      </c>
      <c r="N1205" s="7" t="n"/>
      <c r="O1205" s="7" t="n"/>
      <c r="P1205" s="7" t="n"/>
      <c r="R1205" s="14" t="n"/>
      <c r="V1205">
        <f>IF($A1205="","",IF(COUNTIF($A$2:$A1205,$A1205)=1,1,0))</f>
        <v/>
      </c>
      <c r="W1205">
        <f>IF($V1205=1,SUMPRODUCT(--($Y$2:$Y$1501&lt;$Y1205))+1,"")</f>
        <v/>
      </c>
      <c r="X1205">
        <f>IF($A1205="","",IF(OR($T1205=TRUE(),$T1205="TRUE"),1,0))</f>
        <v/>
      </c>
      <c r="Y1205">
        <f>IF($V1205=1,IFERROR(IF(VALUE($A1205)&lt;100000000,VALUE($A1205),1000000000),IFERROR(IF(VALUE(MID($A1205,2,20))&lt;100000000,VALUE(MID($A1205,2,20)),1000000000),1000000000))+ROW()/100000,"")</f>
        <v/>
      </c>
    </row>
    <row r="1206">
      <c r="F1206" s="7">
        <f>IF($A1206="","",E1206*L1206/100)</f>
        <v/>
      </c>
      <c r="J1206" s="7" t="n"/>
      <c r="K1206" s="7">
        <f>IF($A1206="","",N1206*U1206/100)</f>
        <v/>
      </c>
      <c r="L1206" s="7">
        <f>IF($A1206="","",N1206-K1206)</f>
        <v/>
      </c>
      <c r="M1206" s="7">
        <f>IF($A1206="","",L1206-F1206)</f>
        <v/>
      </c>
      <c r="N1206" s="7" t="n"/>
      <c r="O1206" s="7" t="n"/>
      <c r="P1206" s="7" t="n"/>
      <c r="R1206" s="14" t="n"/>
      <c r="V1206">
        <f>IF($A1206="","",IF(COUNTIF($A$2:$A1206,$A1206)=1,1,0))</f>
        <v/>
      </c>
      <c r="W1206">
        <f>IF($V1206=1,SUMPRODUCT(--($Y$2:$Y$1501&lt;$Y1206))+1,"")</f>
        <v/>
      </c>
      <c r="X1206">
        <f>IF($A1206="","",IF(OR($T1206=TRUE(),$T1206="TRUE"),1,0))</f>
        <v/>
      </c>
      <c r="Y1206">
        <f>IF($V1206=1,IFERROR(IF(VALUE($A1206)&lt;100000000,VALUE($A1206),1000000000),IFERROR(IF(VALUE(MID($A1206,2,20))&lt;100000000,VALUE(MID($A1206,2,20)),1000000000),1000000000))+ROW()/100000,"")</f>
        <v/>
      </c>
    </row>
    <row r="1207">
      <c r="F1207" s="7">
        <f>IF($A1207="","",E1207*L1207/100)</f>
        <v/>
      </c>
      <c r="J1207" s="7" t="n"/>
      <c r="K1207" s="7">
        <f>IF($A1207="","",N1207*U1207/100)</f>
        <v/>
      </c>
      <c r="L1207" s="7">
        <f>IF($A1207="","",N1207-K1207)</f>
        <v/>
      </c>
      <c r="M1207" s="7">
        <f>IF($A1207="","",L1207-F1207)</f>
        <v/>
      </c>
      <c r="N1207" s="7" t="n"/>
      <c r="O1207" s="7" t="n"/>
      <c r="P1207" s="7" t="n"/>
      <c r="R1207" s="14" t="n"/>
      <c r="V1207">
        <f>IF($A1207="","",IF(COUNTIF($A$2:$A1207,$A1207)=1,1,0))</f>
        <v/>
      </c>
      <c r="W1207">
        <f>IF($V1207=1,SUMPRODUCT(--($Y$2:$Y$1501&lt;$Y1207))+1,"")</f>
        <v/>
      </c>
      <c r="X1207">
        <f>IF($A1207="","",IF(OR($T1207=TRUE(),$T1207="TRUE"),1,0))</f>
        <v/>
      </c>
      <c r="Y1207">
        <f>IF($V1207=1,IFERROR(IF(VALUE($A1207)&lt;100000000,VALUE($A1207),1000000000),IFERROR(IF(VALUE(MID($A1207,2,20))&lt;100000000,VALUE(MID($A1207,2,20)),1000000000),1000000000))+ROW()/100000,"")</f>
        <v/>
      </c>
    </row>
    <row r="1208">
      <c r="F1208" s="7">
        <f>IF($A1208="","",E1208*L1208/100)</f>
        <v/>
      </c>
      <c r="J1208" s="7" t="n"/>
      <c r="K1208" s="7">
        <f>IF($A1208="","",N1208*U1208/100)</f>
        <v/>
      </c>
      <c r="L1208" s="7">
        <f>IF($A1208="","",N1208-K1208)</f>
        <v/>
      </c>
      <c r="M1208" s="7">
        <f>IF($A1208="","",L1208-F1208)</f>
        <v/>
      </c>
      <c r="N1208" s="7" t="n"/>
      <c r="O1208" s="7" t="n"/>
      <c r="P1208" s="7" t="n"/>
      <c r="R1208" s="14" t="n"/>
      <c r="V1208">
        <f>IF($A1208="","",IF(COUNTIF($A$2:$A1208,$A1208)=1,1,0))</f>
        <v/>
      </c>
      <c r="W1208">
        <f>IF($V1208=1,SUMPRODUCT(--($Y$2:$Y$1501&lt;$Y1208))+1,"")</f>
        <v/>
      </c>
      <c r="X1208">
        <f>IF($A1208="","",IF(OR($T1208=TRUE(),$T1208="TRUE"),1,0))</f>
        <v/>
      </c>
      <c r="Y1208">
        <f>IF($V1208=1,IFERROR(IF(VALUE($A1208)&lt;100000000,VALUE($A1208),1000000000),IFERROR(IF(VALUE(MID($A1208,2,20))&lt;100000000,VALUE(MID($A1208,2,20)),1000000000),1000000000))+ROW()/100000,"")</f>
        <v/>
      </c>
    </row>
    <row r="1209">
      <c r="F1209" s="7">
        <f>IF($A1209="","",E1209*L1209/100)</f>
        <v/>
      </c>
      <c r="J1209" s="7" t="n"/>
      <c r="K1209" s="7">
        <f>IF($A1209="","",N1209*U1209/100)</f>
        <v/>
      </c>
      <c r="L1209" s="7">
        <f>IF($A1209="","",N1209-K1209)</f>
        <v/>
      </c>
      <c r="M1209" s="7">
        <f>IF($A1209="","",L1209-F1209)</f>
        <v/>
      </c>
      <c r="N1209" s="7" t="n"/>
      <c r="O1209" s="7" t="n"/>
      <c r="P1209" s="7" t="n"/>
      <c r="R1209" s="14" t="n"/>
      <c r="V1209">
        <f>IF($A1209="","",IF(COUNTIF($A$2:$A1209,$A1209)=1,1,0))</f>
        <v/>
      </c>
      <c r="W1209">
        <f>IF($V1209=1,SUMPRODUCT(--($Y$2:$Y$1501&lt;$Y1209))+1,"")</f>
        <v/>
      </c>
      <c r="X1209">
        <f>IF($A1209="","",IF(OR($T1209=TRUE(),$T1209="TRUE"),1,0))</f>
        <v/>
      </c>
      <c r="Y1209">
        <f>IF($V1209=1,IFERROR(IF(VALUE($A1209)&lt;100000000,VALUE($A1209),1000000000),IFERROR(IF(VALUE(MID($A1209,2,20))&lt;100000000,VALUE(MID($A1209,2,20)),1000000000),1000000000))+ROW()/100000,"")</f>
        <v/>
      </c>
    </row>
    <row r="1210">
      <c r="F1210" s="7">
        <f>IF($A1210="","",E1210*L1210/100)</f>
        <v/>
      </c>
      <c r="J1210" s="7" t="n"/>
      <c r="K1210" s="7">
        <f>IF($A1210="","",N1210*U1210/100)</f>
        <v/>
      </c>
      <c r="L1210" s="7">
        <f>IF($A1210="","",N1210-K1210)</f>
        <v/>
      </c>
      <c r="M1210" s="7">
        <f>IF($A1210="","",L1210-F1210)</f>
        <v/>
      </c>
      <c r="N1210" s="7" t="n"/>
      <c r="O1210" s="7" t="n"/>
      <c r="P1210" s="7" t="n"/>
      <c r="R1210" s="14" t="n"/>
      <c r="V1210">
        <f>IF($A1210="","",IF(COUNTIF($A$2:$A1210,$A1210)=1,1,0))</f>
        <v/>
      </c>
      <c r="W1210">
        <f>IF($V1210=1,SUMPRODUCT(--($Y$2:$Y$1501&lt;$Y1210))+1,"")</f>
        <v/>
      </c>
      <c r="X1210">
        <f>IF($A1210="","",IF(OR($T1210=TRUE(),$T1210="TRUE"),1,0))</f>
        <v/>
      </c>
      <c r="Y1210">
        <f>IF($V1210=1,IFERROR(IF(VALUE($A1210)&lt;100000000,VALUE($A1210),1000000000),IFERROR(IF(VALUE(MID($A1210,2,20))&lt;100000000,VALUE(MID($A1210,2,20)),1000000000),1000000000))+ROW()/100000,"")</f>
        <v/>
      </c>
    </row>
    <row r="1211">
      <c r="F1211" s="7">
        <f>IF($A1211="","",E1211*L1211/100)</f>
        <v/>
      </c>
      <c r="J1211" s="7" t="n"/>
      <c r="K1211" s="7">
        <f>IF($A1211="","",N1211*U1211/100)</f>
        <v/>
      </c>
      <c r="L1211" s="7">
        <f>IF($A1211="","",N1211-K1211)</f>
        <v/>
      </c>
      <c r="M1211" s="7">
        <f>IF($A1211="","",L1211-F1211)</f>
        <v/>
      </c>
      <c r="N1211" s="7" t="n"/>
      <c r="O1211" s="7" t="n"/>
      <c r="P1211" s="7" t="n"/>
      <c r="R1211" s="14" t="n"/>
      <c r="V1211">
        <f>IF($A1211="","",IF(COUNTIF($A$2:$A1211,$A1211)=1,1,0))</f>
        <v/>
      </c>
      <c r="W1211">
        <f>IF($V1211=1,SUMPRODUCT(--($Y$2:$Y$1501&lt;$Y1211))+1,"")</f>
        <v/>
      </c>
      <c r="X1211">
        <f>IF($A1211="","",IF(OR($T1211=TRUE(),$T1211="TRUE"),1,0))</f>
        <v/>
      </c>
      <c r="Y1211">
        <f>IF($V1211=1,IFERROR(IF(VALUE($A1211)&lt;100000000,VALUE($A1211),1000000000),IFERROR(IF(VALUE(MID($A1211,2,20))&lt;100000000,VALUE(MID($A1211,2,20)),1000000000),1000000000))+ROW()/100000,"")</f>
        <v/>
      </c>
    </row>
    <row r="1212">
      <c r="F1212" s="7">
        <f>IF($A1212="","",E1212*L1212/100)</f>
        <v/>
      </c>
      <c r="J1212" s="7" t="n"/>
      <c r="K1212" s="7">
        <f>IF($A1212="","",N1212*U1212/100)</f>
        <v/>
      </c>
      <c r="L1212" s="7">
        <f>IF($A1212="","",N1212-K1212)</f>
        <v/>
      </c>
      <c r="M1212" s="7">
        <f>IF($A1212="","",L1212-F1212)</f>
        <v/>
      </c>
      <c r="N1212" s="7" t="n"/>
      <c r="O1212" s="7" t="n"/>
      <c r="P1212" s="7" t="n"/>
      <c r="R1212" s="14" t="n"/>
      <c r="V1212">
        <f>IF($A1212="","",IF(COUNTIF($A$2:$A1212,$A1212)=1,1,0))</f>
        <v/>
      </c>
      <c r="W1212">
        <f>IF($V1212=1,SUMPRODUCT(--($Y$2:$Y$1501&lt;$Y1212))+1,"")</f>
        <v/>
      </c>
      <c r="X1212">
        <f>IF($A1212="","",IF(OR($T1212=TRUE(),$T1212="TRUE"),1,0))</f>
        <v/>
      </c>
      <c r="Y1212">
        <f>IF($V1212=1,IFERROR(IF(VALUE($A1212)&lt;100000000,VALUE($A1212),1000000000),IFERROR(IF(VALUE(MID($A1212,2,20))&lt;100000000,VALUE(MID($A1212,2,20)),1000000000),1000000000))+ROW()/100000,"")</f>
        <v/>
      </c>
    </row>
    <row r="1213">
      <c r="F1213" s="7">
        <f>IF($A1213="","",E1213*L1213/100)</f>
        <v/>
      </c>
      <c r="J1213" s="7" t="n"/>
      <c r="K1213" s="7">
        <f>IF($A1213="","",N1213*U1213/100)</f>
        <v/>
      </c>
      <c r="L1213" s="7">
        <f>IF($A1213="","",N1213-K1213)</f>
        <v/>
      </c>
      <c r="M1213" s="7">
        <f>IF($A1213="","",L1213-F1213)</f>
        <v/>
      </c>
      <c r="N1213" s="7" t="n"/>
      <c r="O1213" s="7" t="n"/>
      <c r="P1213" s="7" t="n"/>
      <c r="R1213" s="14" t="n"/>
      <c r="V1213">
        <f>IF($A1213="","",IF(COUNTIF($A$2:$A1213,$A1213)=1,1,0))</f>
        <v/>
      </c>
      <c r="W1213">
        <f>IF($V1213=1,SUMPRODUCT(--($Y$2:$Y$1501&lt;$Y1213))+1,"")</f>
        <v/>
      </c>
      <c r="X1213">
        <f>IF($A1213="","",IF(OR($T1213=TRUE(),$T1213="TRUE"),1,0))</f>
        <v/>
      </c>
      <c r="Y1213">
        <f>IF($V1213=1,IFERROR(IF(VALUE($A1213)&lt;100000000,VALUE($A1213),1000000000),IFERROR(IF(VALUE(MID($A1213,2,20))&lt;100000000,VALUE(MID($A1213,2,20)),1000000000),1000000000))+ROW()/100000,"")</f>
        <v/>
      </c>
    </row>
    <row r="1214">
      <c r="F1214" s="7">
        <f>IF($A1214="","",E1214*L1214/100)</f>
        <v/>
      </c>
      <c r="J1214" s="7" t="n"/>
      <c r="K1214" s="7">
        <f>IF($A1214="","",N1214*U1214/100)</f>
        <v/>
      </c>
      <c r="L1214" s="7">
        <f>IF($A1214="","",N1214-K1214)</f>
        <v/>
      </c>
      <c r="M1214" s="7">
        <f>IF($A1214="","",L1214-F1214)</f>
        <v/>
      </c>
      <c r="N1214" s="7" t="n"/>
      <c r="O1214" s="7" t="n"/>
      <c r="P1214" s="7" t="n"/>
      <c r="R1214" s="14" t="n"/>
      <c r="V1214">
        <f>IF($A1214="","",IF(COUNTIF($A$2:$A1214,$A1214)=1,1,0))</f>
        <v/>
      </c>
      <c r="W1214">
        <f>IF($V1214=1,SUMPRODUCT(--($Y$2:$Y$1501&lt;$Y1214))+1,"")</f>
        <v/>
      </c>
      <c r="X1214">
        <f>IF($A1214="","",IF(OR($T1214=TRUE(),$T1214="TRUE"),1,0))</f>
        <v/>
      </c>
      <c r="Y1214">
        <f>IF($V1214=1,IFERROR(IF(VALUE($A1214)&lt;100000000,VALUE($A1214),1000000000),IFERROR(IF(VALUE(MID($A1214,2,20))&lt;100000000,VALUE(MID($A1214,2,20)),1000000000),1000000000))+ROW()/100000,"")</f>
        <v/>
      </c>
    </row>
    <row r="1215">
      <c r="F1215" s="7">
        <f>IF($A1215="","",E1215*L1215/100)</f>
        <v/>
      </c>
      <c r="J1215" s="7" t="n"/>
      <c r="K1215" s="7">
        <f>IF($A1215="","",N1215*U1215/100)</f>
        <v/>
      </c>
      <c r="L1215" s="7">
        <f>IF($A1215="","",N1215-K1215)</f>
        <v/>
      </c>
      <c r="M1215" s="7">
        <f>IF($A1215="","",L1215-F1215)</f>
        <v/>
      </c>
      <c r="N1215" s="7" t="n"/>
      <c r="O1215" s="7" t="n"/>
      <c r="P1215" s="7" t="n"/>
      <c r="R1215" s="14" t="n"/>
      <c r="V1215">
        <f>IF($A1215="","",IF(COUNTIF($A$2:$A1215,$A1215)=1,1,0))</f>
        <v/>
      </c>
      <c r="W1215">
        <f>IF($V1215=1,SUMPRODUCT(--($Y$2:$Y$1501&lt;$Y1215))+1,"")</f>
        <v/>
      </c>
      <c r="X1215">
        <f>IF($A1215="","",IF(OR($T1215=TRUE(),$T1215="TRUE"),1,0))</f>
        <v/>
      </c>
      <c r="Y1215">
        <f>IF($V1215=1,IFERROR(IF(VALUE($A1215)&lt;100000000,VALUE($A1215),1000000000),IFERROR(IF(VALUE(MID($A1215,2,20))&lt;100000000,VALUE(MID($A1215,2,20)),1000000000),1000000000))+ROW()/100000,"")</f>
        <v/>
      </c>
    </row>
    <row r="1216">
      <c r="F1216" s="7">
        <f>IF($A1216="","",E1216*L1216/100)</f>
        <v/>
      </c>
      <c r="J1216" s="7" t="n"/>
      <c r="K1216" s="7">
        <f>IF($A1216="","",N1216*U1216/100)</f>
        <v/>
      </c>
      <c r="L1216" s="7">
        <f>IF($A1216="","",N1216-K1216)</f>
        <v/>
      </c>
      <c r="M1216" s="7">
        <f>IF($A1216="","",L1216-F1216)</f>
        <v/>
      </c>
      <c r="N1216" s="7" t="n"/>
      <c r="O1216" s="7" t="n"/>
      <c r="P1216" s="7" t="n"/>
      <c r="R1216" s="14" t="n"/>
      <c r="V1216">
        <f>IF($A1216="","",IF(COUNTIF($A$2:$A1216,$A1216)=1,1,0))</f>
        <v/>
      </c>
      <c r="W1216">
        <f>IF($V1216=1,SUMPRODUCT(--($Y$2:$Y$1501&lt;$Y1216))+1,"")</f>
        <v/>
      </c>
      <c r="X1216">
        <f>IF($A1216="","",IF(OR($T1216=TRUE(),$T1216="TRUE"),1,0))</f>
        <v/>
      </c>
      <c r="Y1216">
        <f>IF($V1216=1,IFERROR(IF(VALUE($A1216)&lt;100000000,VALUE($A1216),1000000000),IFERROR(IF(VALUE(MID($A1216,2,20))&lt;100000000,VALUE(MID($A1216,2,20)),1000000000),1000000000))+ROW()/100000,"")</f>
        <v/>
      </c>
    </row>
    <row r="1217">
      <c r="F1217" s="7">
        <f>IF($A1217="","",E1217*L1217/100)</f>
        <v/>
      </c>
      <c r="J1217" s="7" t="n"/>
      <c r="K1217" s="7">
        <f>IF($A1217="","",N1217*U1217/100)</f>
        <v/>
      </c>
      <c r="L1217" s="7">
        <f>IF($A1217="","",N1217-K1217)</f>
        <v/>
      </c>
      <c r="M1217" s="7">
        <f>IF($A1217="","",L1217-F1217)</f>
        <v/>
      </c>
      <c r="N1217" s="7" t="n"/>
      <c r="O1217" s="7" t="n"/>
      <c r="P1217" s="7" t="n"/>
      <c r="R1217" s="14" t="n"/>
      <c r="V1217">
        <f>IF($A1217="","",IF(COUNTIF($A$2:$A1217,$A1217)=1,1,0))</f>
        <v/>
      </c>
      <c r="W1217">
        <f>IF($V1217=1,SUMPRODUCT(--($Y$2:$Y$1501&lt;$Y1217))+1,"")</f>
        <v/>
      </c>
      <c r="X1217">
        <f>IF($A1217="","",IF(OR($T1217=TRUE(),$T1217="TRUE"),1,0))</f>
        <v/>
      </c>
      <c r="Y1217">
        <f>IF($V1217=1,IFERROR(IF(VALUE($A1217)&lt;100000000,VALUE($A1217),1000000000),IFERROR(IF(VALUE(MID($A1217,2,20))&lt;100000000,VALUE(MID($A1217,2,20)),1000000000),1000000000))+ROW()/100000,"")</f>
        <v/>
      </c>
    </row>
    <row r="1218">
      <c r="F1218" s="7">
        <f>IF($A1218="","",E1218*L1218/100)</f>
        <v/>
      </c>
      <c r="J1218" s="7" t="n"/>
      <c r="K1218" s="7">
        <f>IF($A1218="","",N1218*U1218/100)</f>
        <v/>
      </c>
      <c r="L1218" s="7">
        <f>IF($A1218="","",N1218-K1218)</f>
        <v/>
      </c>
      <c r="M1218" s="7">
        <f>IF($A1218="","",L1218-F1218)</f>
        <v/>
      </c>
      <c r="N1218" s="7" t="n"/>
      <c r="O1218" s="7" t="n"/>
      <c r="P1218" s="7" t="n"/>
      <c r="R1218" s="14" t="n"/>
      <c r="V1218">
        <f>IF($A1218="","",IF(COUNTIF($A$2:$A1218,$A1218)=1,1,0))</f>
        <v/>
      </c>
      <c r="W1218">
        <f>IF($V1218=1,SUMPRODUCT(--($Y$2:$Y$1501&lt;$Y1218))+1,"")</f>
        <v/>
      </c>
      <c r="X1218">
        <f>IF($A1218="","",IF(OR($T1218=TRUE(),$T1218="TRUE"),1,0))</f>
        <v/>
      </c>
      <c r="Y1218">
        <f>IF($V1218=1,IFERROR(IF(VALUE($A1218)&lt;100000000,VALUE($A1218),1000000000),IFERROR(IF(VALUE(MID($A1218,2,20))&lt;100000000,VALUE(MID($A1218,2,20)),1000000000),1000000000))+ROW()/100000,"")</f>
        <v/>
      </c>
    </row>
    <row r="1219">
      <c r="F1219" s="7">
        <f>IF($A1219="","",E1219*L1219/100)</f>
        <v/>
      </c>
      <c r="J1219" s="7" t="n"/>
      <c r="K1219" s="7">
        <f>IF($A1219="","",N1219*U1219/100)</f>
        <v/>
      </c>
      <c r="L1219" s="7">
        <f>IF($A1219="","",N1219-K1219)</f>
        <v/>
      </c>
      <c r="M1219" s="7">
        <f>IF($A1219="","",L1219-F1219)</f>
        <v/>
      </c>
      <c r="N1219" s="7" t="n"/>
      <c r="O1219" s="7" t="n"/>
      <c r="P1219" s="7" t="n"/>
      <c r="R1219" s="14" t="n"/>
      <c r="V1219">
        <f>IF($A1219="","",IF(COUNTIF($A$2:$A1219,$A1219)=1,1,0))</f>
        <v/>
      </c>
      <c r="W1219">
        <f>IF($V1219=1,SUMPRODUCT(--($Y$2:$Y$1501&lt;$Y1219))+1,"")</f>
        <v/>
      </c>
      <c r="X1219">
        <f>IF($A1219="","",IF(OR($T1219=TRUE(),$T1219="TRUE"),1,0))</f>
        <v/>
      </c>
      <c r="Y1219">
        <f>IF($V1219=1,IFERROR(IF(VALUE($A1219)&lt;100000000,VALUE($A1219),1000000000),IFERROR(IF(VALUE(MID($A1219,2,20))&lt;100000000,VALUE(MID($A1219,2,20)),1000000000),1000000000))+ROW()/100000,"")</f>
        <v/>
      </c>
    </row>
    <row r="1220">
      <c r="F1220" s="7">
        <f>IF($A1220="","",E1220*L1220/100)</f>
        <v/>
      </c>
      <c r="J1220" s="7" t="n"/>
      <c r="K1220" s="7">
        <f>IF($A1220="","",N1220*U1220/100)</f>
        <v/>
      </c>
      <c r="L1220" s="7">
        <f>IF($A1220="","",N1220-K1220)</f>
        <v/>
      </c>
      <c r="M1220" s="7">
        <f>IF($A1220="","",L1220-F1220)</f>
        <v/>
      </c>
      <c r="N1220" s="7" t="n"/>
      <c r="O1220" s="7" t="n"/>
      <c r="P1220" s="7" t="n"/>
      <c r="R1220" s="14" t="n"/>
      <c r="V1220">
        <f>IF($A1220="","",IF(COUNTIF($A$2:$A1220,$A1220)=1,1,0))</f>
        <v/>
      </c>
      <c r="W1220">
        <f>IF($V1220=1,SUMPRODUCT(--($Y$2:$Y$1501&lt;$Y1220))+1,"")</f>
        <v/>
      </c>
      <c r="X1220">
        <f>IF($A1220="","",IF(OR($T1220=TRUE(),$T1220="TRUE"),1,0))</f>
        <v/>
      </c>
      <c r="Y1220">
        <f>IF($V1220=1,IFERROR(IF(VALUE($A1220)&lt;100000000,VALUE($A1220),1000000000),IFERROR(IF(VALUE(MID($A1220,2,20))&lt;100000000,VALUE(MID($A1220,2,20)),1000000000),1000000000))+ROW()/100000,"")</f>
        <v/>
      </c>
    </row>
    <row r="1221">
      <c r="F1221" s="7">
        <f>IF($A1221="","",E1221*L1221/100)</f>
        <v/>
      </c>
      <c r="J1221" s="7" t="n"/>
      <c r="K1221" s="7">
        <f>IF($A1221="","",N1221*U1221/100)</f>
        <v/>
      </c>
      <c r="L1221" s="7">
        <f>IF($A1221="","",N1221-K1221)</f>
        <v/>
      </c>
      <c r="M1221" s="7">
        <f>IF($A1221="","",L1221-F1221)</f>
        <v/>
      </c>
      <c r="N1221" s="7" t="n"/>
      <c r="O1221" s="7" t="n"/>
      <c r="P1221" s="7" t="n"/>
      <c r="R1221" s="14" t="n"/>
      <c r="V1221">
        <f>IF($A1221="","",IF(COUNTIF($A$2:$A1221,$A1221)=1,1,0))</f>
        <v/>
      </c>
      <c r="W1221">
        <f>IF($V1221=1,SUMPRODUCT(--($Y$2:$Y$1501&lt;$Y1221))+1,"")</f>
        <v/>
      </c>
      <c r="X1221">
        <f>IF($A1221="","",IF(OR($T1221=TRUE(),$T1221="TRUE"),1,0))</f>
        <v/>
      </c>
      <c r="Y1221">
        <f>IF($V1221=1,IFERROR(IF(VALUE($A1221)&lt;100000000,VALUE($A1221),1000000000),IFERROR(IF(VALUE(MID($A1221,2,20))&lt;100000000,VALUE(MID($A1221,2,20)),1000000000),1000000000))+ROW()/100000,"")</f>
        <v/>
      </c>
    </row>
    <row r="1222">
      <c r="F1222" s="7">
        <f>IF($A1222="","",E1222*L1222/100)</f>
        <v/>
      </c>
      <c r="J1222" s="7" t="n"/>
      <c r="K1222" s="7">
        <f>IF($A1222="","",N1222*U1222/100)</f>
        <v/>
      </c>
      <c r="L1222" s="7">
        <f>IF($A1222="","",N1222-K1222)</f>
        <v/>
      </c>
      <c r="M1222" s="7">
        <f>IF($A1222="","",L1222-F1222)</f>
        <v/>
      </c>
      <c r="N1222" s="7" t="n"/>
      <c r="O1222" s="7" t="n"/>
      <c r="P1222" s="7" t="n"/>
      <c r="R1222" s="14" t="n"/>
      <c r="V1222">
        <f>IF($A1222="","",IF(COUNTIF($A$2:$A1222,$A1222)=1,1,0))</f>
        <v/>
      </c>
      <c r="W1222">
        <f>IF($V1222=1,SUMPRODUCT(--($Y$2:$Y$1501&lt;$Y1222))+1,"")</f>
        <v/>
      </c>
      <c r="X1222">
        <f>IF($A1222="","",IF(OR($T1222=TRUE(),$T1222="TRUE"),1,0))</f>
        <v/>
      </c>
      <c r="Y1222">
        <f>IF($V1222=1,IFERROR(IF(VALUE($A1222)&lt;100000000,VALUE($A1222),1000000000),IFERROR(IF(VALUE(MID($A1222,2,20))&lt;100000000,VALUE(MID($A1222,2,20)),1000000000),1000000000))+ROW()/100000,"")</f>
        <v/>
      </c>
    </row>
    <row r="1223">
      <c r="F1223" s="7">
        <f>IF($A1223="","",E1223*L1223/100)</f>
        <v/>
      </c>
      <c r="J1223" s="7" t="n"/>
      <c r="K1223" s="7">
        <f>IF($A1223="","",N1223*U1223/100)</f>
        <v/>
      </c>
      <c r="L1223" s="7">
        <f>IF($A1223="","",N1223-K1223)</f>
        <v/>
      </c>
      <c r="M1223" s="7">
        <f>IF($A1223="","",L1223-F1223)</f>
        <v/>
      </c>
      <c r="N1223" s="7" t="n"/>
      <c r="O1223" s="7" t="n"/>
      <c r="P1223" s="7" t="n"/>
      <c r="R1223" s="14" t="n"/>
      <c r="V1223">
        <f>IF($A1223="","",IF(COUNTIF($A$2:$A1223,$A1223)=1,1,0))</f>
        <v/>
      </c>
      <c r="W1223">
        <f>IF($V1223=1,SUMPRODUCT(--($Y$2:$Y$1501&lt;$Y1223))+1,"")</f>
        <v/>
      </c>
      <c r="X1223">
        <f>IF($A1223="","",IF(OR($T1223=TRUE(),$T1223="TRUE"),1,0))</f>
        <v/>
      </c>
      <c r="Y1223">
        <f>IF($V1223=1,IFERROR(IF(VALUE($A1223)&lt;100000000,VALUE($A1223),1000000000),IFERROR(IF(VALUE(MID($A1223,2,20))&lt;100000000,VALUE(MID($A1223,2,20)),1000000000),1000000000))+ROW()/100000,"")</f>
        <v/>
      </c>
    </row>
    <row r="1224">
      <c r="F1224" s="7">
        <f>IF($A1224="","",E1224*L1224/100)</f>
        <v/>
      </c>
      <c r="J1224" s="7" t="n"/>
      <c r="K1224" s="7">
        <f>IF($A1224="","",N1224*U1224/100)</f>
        <v/>
      </c>
      <c r="L1224" s="7">
        <f>IF($A1224="","",N1224-K1224)</f>
        <v/>
      </c>
      <c r="M1224" s="7">
        <f>IF($A1224="","",L1224-F1224)</f>
        <v/>
      </c>
      <c r="N1224" s="7" t="n"/>
      <c r="O1224" s="7" t="n"/>
      <c r="P1224" s="7" t="n"/>
      <c r="R1224" s="14" t="n"/>
      <c r="V1224">
        <f>IF($A1224="","",IF(COUNTIF($A$2:$A1224,$A1224)=1,1,0))</f>
        <v/>
      </c>
      <c r="W1224">
        <f>IF($V1224=1,SUMPRODUCT(--($Y$2:$Y$1501&lt;$Y1224))+1,"")</f>
        <v/>
      </c>
      <c r="X1224">
        <f>IF($A1224="","",IF(OR($T1224=TRUE(),$T1224="TRUE"),1,0))</f>
        <v/>
      </c>
      <c r="Y1224">
        <f>IF($V1224=1,IFERROR(IF(VALUE($A1224)&lt;100000000,VALUE($A1224),1000000000),IFERROR(IF(VALUE(MID($A1224,2,20))&lt;100000000,VALUE(MID($A1224,2,20)),1000000000),1000000000))+ROW()/100000,"")</f>
        <v/>
      </c>
    </row>
    <row r="1225">
      <c r="F1225" s="7">
        <f>IF($A1225="","",E1225*L1225/100)</f>
        <v/>
      </c>
      <c r="J1225" s="7" t="n"/>
      <c r="K1225" s="7">
        <f>IF($A1225="","",N1225*U1225/100)</f>
        <v/>
      </c>
      <c r="L1225" s="7">
        <f>IF($A1225="","",N1225-K1225)</f>
        <v/>
      </c>
      <c r="M1225" s="7">
        <f>IF($A1225="","",L1225-F1225)</f>
        <v/>
      </c>
      <c r="N1225" s="7" t="n"/>
      <c r="O1225" s="7" t="n"/>
      <c r="P1225" s="7" t="n"/>
      <c r="R1225" s="14" t="n"/>
      <c r="V1225">
        <f>IF($A1225="","",IF(COUNTIF($A$2:$A1225,$A1225)=1,1,0))</f>
        <v/>
      </c>
      <c r="W1225">
        <f>IF($V1225=1,SUMPRODUCT(--($Y$2:$Y$1501&lt;$Y1225))+1,"")</f>
        <v/>
      </c>
      <c r="X1225">
        <f>IF($A1225="","",IF(OR($T1225=TRUE(),$T1225="TRUE"),1,0))</f>
        <v/>
      </c>
      <c r="Y1225">
        <f>IF($V1225=1,IFERROR(IF(VALUE($A1225)&lt;100000000,VALUE($A1225),1000000000),IFERROR(IF(VALUE(MID($A1225,2,20))&lt;100000000,VALUE(MID($A1225,2,20)),1000000000),1000000000))+ROW()/100000,"")</f>
        <v/>
      </c>
    </row>
    <row r="1226">
      <c r="F1226" s="7">
        <f>IF($A1226="","",E1226*L1226/100)</f>
        <v/>
      </c>
      <c r="J1226" s="7" t="n"/>
      <c r="K1226" s="7">
        <f>IF($A1226="","",N1226*U1226/100)</f>
        <v/>
      </c>
      <c r="L1226" s="7">
        <f>IF($A1226="","",N1226-K1226)</f>
        <v/>
      </c>
      <c r="M1226" s="7">
        <f>IF($A1226="","",L1226-F1226)</f>
        <v/>
      </c>
      <c r="N1226" s="7" t="n"/>
      <c r="O1226" s="7" t="n"/>
      <c r="P1226" s="7" t="n"/>
      <c r="R1226" s="14" t="n"/>
      <c r="V1226">
        <f>IF($A1226="","",IF(COUNTIF($A$2:$A1226,$A1226)=1,1,0))</f>
        <v/>
      </c>
      <c r="W1226">
        <f>IF($V1226=1,SUMPRODUCT(--($Y$2:$Y$1501&lt;$Y1226))+1,"")</f>
        <v/>
      </c>
      <c r="X1226">
        <f>IF($A1226="","",IF(OR($T1226=TRUE(),$T1226="TRUE"),1,0))</f>
        <v/>
      </c>
      <c r="Y1226">
        <f>IF($V1226=1,IFERROR(IF(VALUE($A1226)&lt;100000000,VALUE($A1226),1000000000),IFERROR(IF(VALUE(MID($A1226,2,20))&lt;100000000,VALUE(MID($A1226,2,20)),1000000000),1000000000))+ROW()/100000,"")</f>
        <v/>
      </c>
    </row>
    <row r="1227">
      <c r="F1227" s="7">
        <f>IF($A1227="","",E1227*L1227/100)</f>
        <v/>
      </c>
      <c r="J1227" s="7" t="n"/>
      <c r="K1227" s="7">
        <f>IF($A1227="","",N1227*U1227/100)</f>
        <v/>
      </c>
      <c r="L1227" s="7">
        <f>IF($A1227="","",N1227-K1227)</f>
        <v/>
      </c>
      <c r="M1227" s="7">
        <f>IF($A1227="","",L1227-F1227)</f>
        <v/>
      </c>
      <c r="N1227" s="7" t="n"/>
      <c r="O1227" s="7" t="n"/>
      <c r="P1227" s="7" t="n"/>
      <c r="R1227" s="14" t="n"/>
      <c r="V1227">
        <f>IF($A1227="","",IF(COUNTIF($A$2:$A1227,$A1227)=1,1,0))</f>
        <v/>
      </c>
      <c r="W1227">
        <f>IF($V1227=1,SUMPRODUCT(--($Y$2:$Y$1501&lt;$Y1227))+1,"")</f>
        <v/>
      </c>
      <c r="X1227">
        <f>IF($A1227="","",IF(OR($T1227=TRUE(),$T1227="TRUE"),1,0))</f>
        <v/>
      </c>
      <c r="Y1227">
        <f>IF($V1227=1,IFERROR(IF(VALUE($A1227)&lt;100000000,VALUE($A1227),1000000000),IFERROR(IF(VALUE(MID($A1227,2,20))&lt;100000000,VALUE(MID($A1227,2,20)),1000000000),1000000000))+ROW()/100000,"")</f>
        <v/>
      </c>
    </row>
    <row r="1228">
      <c r="F1228" s="7">
        <f>IF($A1228="","",E1228*L1228/100)</f>
        <v/>
      </c>
      <c r="J1228" s="7" t="n"/>
      <c r="K1228" s="7">
        <f>IF($A1228="","",N1228*U1228/100)</f>
        <v/>
      </c>
      <c r="L1228" s="7">
        <f>IF($A1228="","",N1228-K1228)</f>
        <v/>
      </c>
      <c r="M1228" s="7">
        <f>IF($A1228="","",L1228-F1228)</f>
        <v/>
      </c>
      <c r="N1228" s="7" t="n"/>
      <c r="O1228" s="7" t="n"/>
      <c r="P1228" s="7" t="n"/>
      <c r="R1228" s="14" t="n"/>
      <c r="V1228">
        <f>IF($A1228="","",IF(COUNTIF($A$2:$A1228,$A1228)=1,1,0))</f>
        <v/>
      </c>
      <c r="W1228">
        <f>IF($V1228=1,SUMPRODUCT(--($Y$2:$Y$1501&lt;$Y1228))+1,"")</f>
        <v/>
      </c>
      <c r="X1228">
        <f>IF($A1228="","",IF(OR($T1228=TRUE(),$T1228="TRUE"),1,0))</f>
        <v/>
      </c>
      <c r="Y1228">
        <f>IF($V1228=1,IFERROR(IF(VALUE($A1228)&lt;100000000,VALUE($A1228),1000000000),IFERROR(IF(VALUE(MID($A1228,2,20))&lt;100000000,VALUE(MID($A1228,2,20)),1000000000),1000000000))+ROW()/100000,"")</f>
        <v/>
      </c>
    </row>
    <row r="1229">
      <c r="F1229" s="7">
        <f>IF($A1229="","",E1229*L1229/100)</f>
        <v/>
      </c>
      <c r="J1229" s="7" t="n"/>
      <c r="K1229" s="7">
        <f>IF($A1229="","",N1229*U1229/100)</f>
        <v/>
      </c>
      <c r="L1229" s="7">
        <f>IF($A1229="","",N1229-K1229)</f>
        <v/>
      </c>
      <c r="M1229" s="7">
        <f>IF($A1229="","",L1229-F1229)</f>
        <v/>
      </c>
      <c r="N1229" s="7" t="n"/>
      <c r="O1229" s="7" t="n"/>
      <c r="P1229" s="7" t="n"/>
      <c r="R1229" s="14" t="n"/>
      <c r="V1229">
        <f>IF($A1229="","",IF(COUNTIF($A$2:$A1229,$A1229)=1,1,0))</f>
        <v/>
      </c>
      <c r="W1229">
        <f>IF($V1229=1,SUMPRODUCT(--($Y$2:$Y$1501&lt;$Y1229))+1,"")</f>
        <v/>
      </c>
      <c r="X1229">
        <f>IF($A1229="","",IF(OR($T1229=TRUE(),$T1229="TRUE"),1,0))</f>
        <v/>
      </c>
      <c r="Y1229">
        <f>IF($V1229=1,IFERROR(IF(VALUE($A1229)&lt;100000000,VALUE($A1229),1000000000),IFERROR(IF(VALUE(MID($A1229,2,20))&lt;100000000,VALUE(MID($A1229,2,20)),1000000000),1000000000))+ROW()/100000,"")</f>
        <v/>
      </c>
    </row>
    <row r="1230">
      <c r="F1230" s="7">
        <f>IF($A1230="","",E1230*L1230/100)</f>
        <v/>
      </c>
      <c r="J1230" s="7" t="n"/>
      <c r="K1230" s="7">
        <f>IF($A1230="","",N1230*U1230/100)</f>
        <v/>
      </c>
      <c r="L1230" s="7">
        <f>IF($A1230="","",N1230-K1230)</f>
        <v/>
      </c>
      <c r="M1230" s="7">
        <f>IF($A1230="","",L1230-F1230)</f>
        <v/>
      </c>
      <c r="N1230" s="7" t="n"/>
      <c r="O1230" s="7" t="n"/>
      <c r="P1230" s="7" t="n"/>
      <c r="R1230" s="14" t="n"/>
      <c r="V1230">
        <f>IF($A1230="","",IF(COUNTIF($A$2:$A1230,$A1230)=1,1,0))</f>
        <v/>
      </c>
      <c r="W1230">
        <f>IF($V1230=1,SUMPRODUCT(--($Y$2:$Y$1501&lt;$Y1230))+1,"")</f>
        <v/>
      </c>
      <c r="X1230">
        <f>IF($A1230="","",IF(OR($T1230=TRUE(),$T1230="TRUE"),1,0))</f>
        <v/>
      </c>
      <c r="Y1230">
        <f>IF($V1230=1,IFERROR(IF(VALUE($A1230)&lt;100000000,VALUE($A1230),1000000000),IFERROR(IF(VALUE(MID($A1230,2,20))&lt;100000000,VALUE(MID($A1230,2,20)),1000000000),1000000000))+ROW()/100000,"")</f>
        <v/>
      </c>
    </row>
    <row r="1231">
      <c r="F1231" s="7">
        <f>IF($A1231="","",E1231*L1231/100)</f>
        <v/>
      </c>
      <c r="J1231" s="7" t="n"/>
      <c r="K1231" s="7">
        <f>IF($A1231="","",N1231*U1231/100)</f>
        <v/>
      </c>
      <c r="L1231" s="7">
        <f>IF($A1231="","",N1231-K1231)</f>
        <v/>
      </c>
      <c r="M1231" s="7">
        <f>IF($A1231="","",L1231-F1231)</f>
        <v/>
      </c>
      <c r="N1231" s="7" t="n"/>
      <c r="O1231" s="7" t="n"/>
      <c r="P1231" s="7" t="n"/>
      <c r="R1231" s="14" t="n"/>
      <c r="V1231">
        <f>IF($A1231="","",IF(COUNTIF($A$2:$A1231,$A1231)=1,1,0))</f>
        <v/>
      </c>
      <c r="W1231">
        <f>IF($V1231=1,SUMPRODUCT(--($Y$2:$Y$1501&lt;$Y1231))+1,"")</f>
        <v/>
      </c>
      <c r="X1231">
        <f>IF($A1231="","",IF(OR($T1231=TRUE(),$T1231="TRUE"),1,0))</f>
        <v/>
      </c>
      <c r="Y1231">
        <f>IF($V1231=1,IFERROR(IF(VALUE($A1231)&lt;100000000,VALUE($A1231),1000000000),IFERROR(IF(VALUE(MID($A1231,2,20))&lt;100000000,VALUE(MID($A1231,2,20)),1000000000),1000000000))+ROW()/100000,"")</f>
        <v/>
      </c>
    </row>
    <row r="1232">
      <c r="F1232" s="7">
        <f>IF($A1232="","",E1232*L1232/100)</f>
        <v/>
      </c>
      <c r="J1232" s="7" t="n"/>
      <c r="K1232" s="7">
        <f>IF($A1232="","",N1232*U1232/100)</f>
        <v/>
      </c>
      <c r="L1232" s="7">
        <f>IF($A1232="","",N1232-K1232)</f>
        <v/>
      </c>
      <c r="M1232" s="7">
        <f>IF($A1232="","",L1232-F1232)</f>
        <v/>
      </c>
      <c r="N1232" s="7" t="n"/>
      <c r="O1232" s="7" t="n"/>
      <c r="P1232" s="7" t="n"/>
      <c r="R1232" s="14" t="n"/>
      <c r="V1232">
        <f>IF($A1232="","",IF(COUNTIF($A$2:$A1232,$A1232)=1,1,0))</f>
        <v/>
      </c>
      <c r="W1232">
        <f>IF($V1232=1,SUMPRODUCT(--($Y$2:$Y$1501&lt;$Y1232))+1,"")</f>
        <v/>
      </c>
      <c r="X1232">
        <f>IF($A1232="","",IF(OR($T1232=TRUE(),$T1232="TRUE"),1,0))</f>
        <v/>
      </c>
      <c r="Y1232">
        <f>IF($V1232=1,IFERROR(IF(VALUE($A1232)&lt;100000000,VALUE($A1232),1000000000),IFERROR(IF(VALUE(MID($A1232,2,20))&lt;100000000,VALUE(MID($A1232,2,20)),1000000000),1000000000))+ROW()/100000,"")</f>
        <v/>
      </c>
    </row>
    <row r="1233">
      <c r="F1233" s="7">
        <f>IF($A1233="","",E1233*L1233/100)</f>
        <v/>
      </c>
      <c r="J1233" s="7" t="n"/>
      <c r="K1233" s="7">
        <f>IF($A1233="","",N1233*U1233/100)</f>
        <v/>
      </c>
      <c r="L1233" s="7">
        <f>IF($A1233="","",N1233-K1233)</f>
        <v/>
      </c>
      <c r="M1233" s="7">
        <f>IF($A1233="","",L1233-F1233)</f>
        <v/>
      </c>
      <c r="N1233" s="7" t="n"/>
      <c r="O1233" s="7" t="n"/>
      <c r="P1233" s="7" t="n"/>
      <c r="R1233" s="14" t="n"/>
      <c r="V1233">
        <f>IF($A1233="","",IF(COUNTIF($A$2:$A1233,$A1233)=1,1,0))</f>
        <v/>
      </c>
      <c r="W1233">
        <f>IF($V1233=1,SUMPRODUCT(--($Y$2:$Y$1501&lt;$Y1233))+1,"")</f>
        <v/>
      </c>
      <c r="X1233">
        <f>IF($A1233="","",IF(OR($T1233=TRUE(),$T1233="TRUE"),1,0))</f>
        <v/>
      </c>
      <c r="Y1233">
        <f>IF($V1233=1,IFERROR(IF(VALUE($A1233)&lt;100000000,VALUE($A1233),1000000000),IFERROR(IF(VALUE(MID($A1233,2,20))&lt;100000000,VALUE(MID($A1233,2,20)),1000000000),1000000000))+ROW()/100000,"")</f>
        <v/>
      </c>
    </row>
    <row r="1234">
      <c r="F1234" s="7">
        <f>IF($A1234="","",E1234*L1234/100)</f>
        <v/>
      </c>
      <c r="J1234" s="7" t="n"/>
      <c r="K1234" s="7">
        <f>IF($A1234="","",N1234*U1234/100)</f>
        <v/>
      </c>
      <c r="L1234" s="7">
        <f>IF($A1234="","",N1234-K1234)</f>
        <v/>
      </c>
      <c r="M1234" s="7">
        <f>IF($A1234="","",L1234-F1234)</f>
        <v/>
      </c>
      <c r="N1234" s="7" t="n"/>
      <c r="O1234" s="7" t="n"/>
      <c r="P1234" s="7" t="n"/>
      <c r="R1234" s="14" t="n"/>
      <c r="V1234">
        <f>IF($A1234="","",IF(COUNTIF($A$2:$A1234,$A1234)=1,1,0))</f>
        <v/>
      </c>
      <c r="W1234">
        <f>IF($V1234=1,SUMPRODUCT(--($Y$2:$Y$1501&lt;$Y1234))+1,"")</f>
        <v/>
      </c>
      <c r="X1234">
        <f>IF($A1234="","",IF(OR($T1234=TRUE(),$T1234="TRUE"),1,0))</f>
        <v/>
      </c>
      <c r="Y1234">
        <f>IF($V1234=1,IFERROR(IF(VALUE($A1234)&lt;100000000,VALUE($A1234),1000000000),IFERROR(IF(VALUE(MID($A1234,2,20))&lt;100000000,VALUE(MID($A1234,2,20)),1000000000),1000000000))+ROW()/100000,"")</f>
        <v/>
      </c>
    </row>
    <row r="1235">
      <c r="F1235" s="7">
        <f>IF($A1235="","",E1235*L1235/100)</f>
        <v/>
      </c>
      <c r="J1235" s="7" t="n"/>
      <c r="K1235" s="7">
        <f>IF($A1235="","",N1235*U1235/100)</f>
        <v/>
      </c>
      <c r="L1235" s="7">
        <f>IF($A1235="","",N1235-K1235)</f>
        <v/>
      </c>
      <c r="M1235" s="7">
        <f>IF($A1235="","",L1235-F1235)</f>
        <v/>
      </c>
      <c r="N1235" s="7" t="n"/>
      <c r="O1235" s="7" t="n"/>
      <c r="P1235" s="7" t="n"/>
      <c r="R1235" s="14" t="n"/>
      <c r="V1235">
        <f>IF($A1235="","",IF(COUNTIF($A$2:$A1235,$A1235)=1,1,0))</f>
        <v/>
      </c>
      <c r="W1235">
        <f>IF($V1235=1,SUMPRODUCT(--($Y$2:$Y$1501&lt;$Y1235))+1,"")</f>
        <v/>
      </c>
      <c r="X1235">
        <f>IF($A1235="","",IF(OR($T1235=TRUE(),$T1235="TRUE"),1,0))</f>
        <v/>
      </c>
      <c r="Y1235">
        <f>IF($V1235=1,IFERROR(IF(VALUE($A1235)&lt;100000000,VALUE($A1235),1000000000),IFERROR(IF(VALUE(MID($A1235,2,20))&lt;100000000,VALUE(MID($A1235,2,20)),1000000000),1000000000))+ROW()/100000,"")</f>
        <v/>
      </c>
    </row>
    <row r="1236">
      <c r="F1236" s="7">
        <f>IF($A1236="","",E1236*L1236/100)</f>
        <v/>
      </c>
      <c r="J1236" s="7" t="n"/>
      <c r="K1236" s="7">
        <f>IF($A1236="","",N1236*U1236/100)</f>
        <v/>
      </c>
      <c r="L1236" s="7">
        <f>IF($A1236="","",N1236-K1236)</f>
        <v/>
      </c>
      <c r="M1236" s="7">
        <f>IF($A1236="","",L1236-F1236)</f>
        <v/>
      </c>
      <c r="N1236" s="7" t="n"/>
      <c r="O1236" s="7" t="n"/>
      <c r="P1236" s="7" t="n"/>
      <c r="R1236" s="14" t="n"/>
      <c r="V1236">
        <f>IF($A1236="","",IF(COUNTIF($A$2:$A1236,$A1236)=1,1,0))</f>
        <v/>
      </c>
      <c r="W1236">
        <f>IF($V1236=1,SUMPRODUCT(--($Y$2:$Y$1501&lt;$Y1236))+1,"")</f>
        <v/>
      </c>
      <c r="X1236">
        <f>IF($A1236="","",IF(OR($T1236=TRUE(),$T1236="TRUE"),1,0))</f>
        <v/>
      </c>
      <c r="Y1236">
        <f>IF($V1236=1,IFERROR(IF(VALUE($A1236)&lt;100000000,VALUE($A1236),1000000000),IFERROR(IF(VALUE(MID($A1236,2,20))&lt;100000000,VALUE(MID($A1236,2,20)),1000000000),1000000000))+ROW()/100000,"")</f>
        <v/>
      </c>
    </row>
    <row r="1237">
      <c r="F1237" s="7">
        <f>IF($A1237="","",E1237*L1237/100)</f>
        <v/>
      </c>
      <c r="J1237" s="7" t="n"/>
      <c r="K1237" s="7">
        <f>IF($A1237="","",N1237*U1237/100)</f>
        <v/>
      </c>
      <c r="L1237" s="7">
        <f>IF($A1237="","",N1237-K1237)</f>
        <v/>
      </c>
      <c r="M1237" s="7">
        <f>IF($A1237="","",L1237-F1237)</f>
        <v/>
      </c>
      <c r="N1237" s="7" t="n"/>
      <c r="O1237" s="7" t="n"/>
      <c r="P1237" s="7" t="n"/>
      <c r="R1237" s="14" t="n"/>
      <c r="V1237">
        <f>IF($A1237="","",IF(COUNTIF($A$2:$A1237,$A1237)=1,1,0))</f>
        <v/>
      </c>
      <c r="W1237">
        <f>IF($V1237=1,SUMPRODUCT(--($Y$2:$Y$1501&lt;$Y1237))+1,"")</f>
        <v/>
      </c>
      <c r="X1237">
        <f>IF($A1237="","",IF(OR($T1237=TRUE(),$T1237="TRUE"),1,0))</f>
        <v/>
      </c>
      <c r="Y1237">
        <f>IF($V1237=1,IFERROR(IF(VALUE($A1237)&lt;100000000,VALUE($A1237),1000000000),IFERROR(IF(VALUE(MID($A1237,2,20))&lt;100000000,VALUE(MID($A1237,2,20)),1000000000),1000000000))+ROW()/100000,"")</f>
        <v/>
      </c>
    </row>
    <row r="1238">
      <c r="F1238" s="7">
        <f>IF($A1238="","",E1238*L1238/100)</f>
        <v/>
      </c>
      <c r="J1238" s="7" t="n"/>
      <c r="K1238" s="7">
        <f>IF($A1238="","",N1238*U1238/100)</f>
        <v/>
      </c>
      <c r="L1238" s="7">
        <f>IF($A1238="","",N1238-K1238)</f>
        <v/>
      </c>
      <c r="M1238" s="7">
        <f>IF($A1238="","",L1238-F1238)</f>
        <v/>
      </c>
      <c r="N1238" s="7" t="n"/>
      <c r="O1238" s="7" t="n"/>
      <c r="P1238" s="7" t="n"/>
      <c r="R1238" s="14" t="n"/>
      <c r="V1238">
        <f>IF($A1238="","",IF(COUNTIF($A$2:$A1238,$A1238)=1,1,0))</f>
        <v/>
      </c>
      <c r="W1238">
        <f>IF($V1238=1,SUMPRODUCT(--($Y$2:$Y$1501&lt;$Y1238))+1,"")</f>
        <v/>
      </c>
      <c r="X1238">
        <f>IF($A1238="","",IF(OR($T1238=TRUE(),$T1238="TRUE"),1,0))</f>
        <v/>
      </c>
      <c r="Y1238">
        <f>IF($V1238=1,IFERROR(IF(VALUE($A1238)&lt;100000000,VALUE($A1238),1000000000),IFERROR(IF(VALUE(MID($A1238,2,20))&lt;100000000,VALUE(MID($A1238,2,20)),1000000000),1000000000))+ROW()/100000,"")</f>
        <v/>
      </c>
    </row>
    <row r="1239">
      <c r="F1239" s="7">
        <f>IF($A1239="","",E1239*L1239/100)</f>
        <v/>
      </c>
      <c r="J1239" s="7" t="n"/>
      <c r="K1239" s="7">
        <f>IF($A1239="","",N1239*U1239/100)</f>
        <v/>
      </c>
      <c r="L1239" s="7">
        <f>IF($A1239="","",N1239-K1239)</f>
        <v/>
      </c>
      <c r="M1239" s="7">
        <f>IF($A1239="","",L1239-F1239)</f>
        <v/>
      </c>
      <c r="N1239" s="7" t="n"/>
      <c r="O1239" s="7" t="n"/>
      <c r="P1239" s="7" t="n"/>
      <c r="R1239" s="14" t="n"/>
      <c r="V1239">
        <f>IF($A1239="","",IF(COUNTIF($A$2:$A1239,$A1239)=1,1,0))</f>
        <v/>
      </c>
      <c r="W1239">
        <f>IF($V1239=1,SUMPRODUCT(--($Y$2:$Y$1501&lt;$Y1239))+1,"")</f>
        <v/>
      </c>
      <c r="X1239">
        <f>IF($A1239="","",IF(OR($T1239=TRUE(),$T1239="TRUE"),1,0))</f>
        <v/>
      </c>
      <c r="Y1239">
        <f>IF($V1239=1,IFERROR(IF(VALUE($A1239)&lt;100000000,VALUE($A1239),1000000000),IFERROR(IF(VALUE(MID($A1239,2,20))&lt;100000000,VALUE(MID($A1239,2,20)),1000000000),1000000000))+ROW()/100000,"")</f>
        <v/>
      </c>
    </row>
    <row r="1240">
      <c r="F1240" s="7">
        <f>IF($A1240="","",E1240*L1240/100)</f>
        <v/>
      </c>
      <c r="J1240" s="7" t="n"/>
      <c r="K1240" s="7">
        <f>IF($A1240="","",N1240*U1240/100)</f>
        <v/>
      </c>
      <c r="L1240" s="7">
        <f>IF($A1240="","",N1240-K1240)</f>
        <v/>
      </c>
      <c r="M1240" s="7">
        <f>IF($A1240="","",L1240-F1240)</f>
        <v/>
      </c>
      <c r="N1240" s="7" t="n"/>
      <c r="O1240" s="7" t="n"/>
      <c r="P1240" s="7" t="n"/>
      <c r="R1240" s="14" t="n"/>
      <c r="V1240">
        <f>IF($A1240="","",IF(COUNTIF($A$2:$A1240,$A1240)=1,1,0))</f>
        <v/>
      </c>
      <c r="W1240">
        <f>IF($V1240=1,SUMPRODUCT(--($Y$2:$Y$1501&lt;$Y1240))+1,"")</f>
        <v/>
      </c>
      <c r="X1240">
        <f>IF($A1240="","",IF(OR($T1240=TRUE(),$T1240="TRUE"),1,0))</f>
        <v/>
      </c>
      <c r="Y1240">
        <f>IF($V1240=1,IFERROR(IF(VALUE($A1240)&lt;100000000,VALUE($A1240),1000000000),IFERROR(IF(VALUE(MID($A1240,2,20))&lt;100000000,VALUE(MID($A1240,2,20)),1000000000),1000000000))+ROW()/100000,"")</f>
        <v/>
      </c>
    </row>
    <row r="1241">
      <c r="F1241" s="7">
        <f>IF($A1241="","",E1241*L1241/100)</f>
        <v/>
      </c>
      <c r="J1241" s="7" t="n"/>
      <c r="K1241" s="7">
        <f>IF($A1241="","",N1241*U1241/100)</f>
        <v/>
      </c>
      <c r="L1241" s="7">
        <f>IF($A1241="","",N1241-K1241)</f>
        <v/>
      </c>
      <c r="M1241" s="7">
        <f>IF($A1241="","",L1241-F1241)</f>
        <v/>
      </c>
      <c r="N1241" s="7" t="n"/>
      <c r="O1241" s="7" t="n"/>
      <c r="P1241" s="7" t="n"/>
      <c r="R1241" s="14" t="n"/>
      <c r="V1241">
        <f>IF($A1241="","",IF(COUNTIF($A$2:$A1241,$A1241)=1,1,0))</f>
        <v/>
      </c>
      <c r="W1241">
        <f>IF($V1241=1,SUMPRODUCT(--($Y$2:$Y$1501&lt;$Y1241))+1,"")</f>
        <v/>
      </c>
      <c r="X1241">
        <f>IF($A1241="","",IF(OR($T1241=TRUE(),$T1241="TRUE"),1,0))</f>
        <v/>
      </c>
      <c r="Y1241">
        <f>IF($V1241=1,IFERROR(IF(VALUE($A1241)&lt;100000000,VALUE($A1241),1000000000),IFERROR(IF(VALUE(MID($A1241,2,20))&lt;100000000,VALUE(MID($A1241,2,20)),1000000000),1000000000))+ROW()/100000,"")</f>
        <v/>
      </c>
    </row>
    <row r="1242">
      <c r="F1242" s="7">
        <f>IF($A1242="","",E1242*L1242/100)</f>
        <v/>
      </c>
      <c r="J1242" s="7" t="n"/>
      <c r="K1242" s="7">
        <f>IF($A1242="","",N1242*U1242/100)</f>
        <v/>
      </c>
      <c r="L1242" s="7">
        <f>IF($A1242="","",N1242-K1242)</f>
        <v/>
      </c>
      <c r="M1242" s="7">
        <f>IF($A1242="","",L1242-F1242)</f>
        <v/>
      </c>
      <c r="N1242" s="7" t="n"/>
      <c r="O1242" s="7" t="n"/>
      <c r="P1242" s="7" t="n"/>
      <c r="R1242" s="14" t="n"/>
      <c r="V1242">
        <f>IF($A1242="","",IF(COUNTIF($A$2:$A1242,$A1242)=1,1,0))</f>
        <v/>
      </c>
      <c r="W1242">
        <f>IF($V1242=1,SUMPRODUCT(--($Y$2:$Y$1501&lt;$Y1242))+1,"")</f>
        <v/>
      </c>
      <c r="X1242">
        <f>IF($A1242="","",IF(OR($T1242=TRUE(),$T1242="TRUE"),1,0))</f>
        <v/>
      </c>
      <c r="Y1242">
        <f>IF($V1242=1,IFERROR(IF(VALUE($A1242)&lt;100000000,VALUE($A1242),1000000000),IFERROR(IF(VALUE(MID($A1242,2,20))&lt;100000000,VALUE(MID($A1242,2,20)),1000000000),1000000000))+ROW()/100000,"")</f>
        <v/>
      </c>
    </row>
    <row r="1243">
      <c r="F1243" s="7">
        <f>IF($A1243="","",E1243*L1243/100)</f>
        <v/>
      </c>
      <c r="J1243" s="7" t="n"/>
      <c r="K1243" s="7">
        <f>IF($A1243="","",N1243*U1243/100)</f>
        <v/>
      </c>
      <c r="L1243" s="7">
        <f>IF($A1243="","",N1243-K1243)</f>
        <v/>
      </c>
      <c r="M1243" s="7">
        <f>IF($A1243="","",L1243-F1243)</f>
        <v/>
      </c>
      <c r="N1243" s="7" t="n"/>
      <c r="O1243" s="7" t="n"/>
      <c r="P1243" s="7" t="n"/>
      <c r="R1243" s="14" t="n"/>
      <c r="V1243">
        <f>IF($A1243="","",IF(COUNTIF($A$2:$A1243,$A1243)=1,1,0))</f>
        <v/>
      </c>
      <c r="W1243">
        <f>IF($V1243=1,SUMPRODUCT(--($Y$2:$Y$1501&lt;$Y1243))+1,"")</f>
        <v/>
      </c>
      <c r="X1243">
        <f>IF($A1243="","",IF(OR($T1243=TRUE(),$T1243="TRUE"),1,0))</f>
        <v/>
      </c>
      <c r="Y1243">
        <f>IF($V1243=1,IFERROR(IF(VALUE($A1243)&lt;100000000,VALUE($A1243),1000000000),IFERROR(IF(VALUE(MID($A1243,2,20))&lt;100000000,VALUE(MID($A1243,2,20)),1000000000),1000000000))+ROW()/100000,"")</f>
        <v/>
      </c>
    </row>
    <row r="1244">
      <c r="F1244" s="7">
        <f>IF($A1244="","",E1244*L1244/100)</f>
        <v/>
      </c>
      <c r="J1244" s="7" t="n"/>
      <c r="K1244" s="7">
        <f>IF($A1244="","",N1244*U1244/100)</f>
        <v/>
      </c>
      <c r="L1244" s="7">
        <f>IF($A1244="","",N1244-K1244)</f>
        <v/>
      </c>
      <c r="M1244" s="7">
        <f>IF($A1244="","",L1244-F1244)</f>
        <v/>
      </c>
      <c r="N1244" s="7" t="n"/>
      <c r="O1244" s="7" t="n"/>
      <c r="P1244" s="7" t="n"/>
      <c r="R1244" s="14" t="n"/>
      <c r="V1244">
        <f>IF($A1244="","",IF(COUNTIF($A$2:$A1244,$A1244)=1,1,0))</f>
        <v/>
      </c>
      <c r="W1244">
        <f>IF($V1244=1,SUMPRODUCT(--($Y$2:$Y$1501&lt;$Y1244))+1,"")</f>
        <v/>
      </c>
      <c r="X1244">
        <f>IF($A1244="","",IF(OR($T1244=TRUE(),$T1244="TRUE"),1,0))</f>
        <v/>
      </c>
      <c r="Y1244">
        <f>IF($V1244=1,IFERROR(IF(VALUE($A1244)&lt;100000000,VALUE($A1244),1000000000),IFERROR(IF(VALUE(MID($A1244,2,20))&lt;100000000,VALUE(MID($A1244,2,20)),1000000000),1000000000))+ROW()/100000,"")</f>
        <v/>
      </c>
    </row>
    <row r="1245">
      <c r="F1245" s="7">
        <f>IF($A1245="","",E1245*L1245/100)</f>
        <v/>
      </c>
      <c r="J1245" s="7" t="n"/>
      <c r="K1245" s="7">
        <f>IF($A1245="","",N1245*U1245/100)</f>
        <v/>
      </c>
      <c r="L1245" s="7">
        <f>IF($A1245="","",N1245-K1245)</f>
        <v/>
      </c>
      <c r="M1245" s="7">
        <f>IF($A1245="","",L1245-F1245)</f>
        <v/>
      </c>
      <c r="N1245" s="7" t="n"/>
      <c r="O1245" s="7" t="n"/>
      <c r="P1245" s="7" t="n"/>
      <c r="R1245" s="14" t="n"/>
      <c r="V1245">
        <f>IF($A1245="","",IF(COUNTIF($A$2:$A1245,$A1245)=1,1,0))</f>
        <v/>
      </c>
      <c r="W1245">
        <f>IF($V1245=1,SUMPRODUCT(--($Y$2:$Y$1501&lt;$Y1245))+1,"")</f>
        <v/>
      </c>
      <c r="X1245">
        <f>IF($A1245="","",IF(OR($T1245=TRUE(),$T1245="TRUE"),1,0))</f>
        <v/>
      </c>
      <c r="Y1245">
        <f>IF($V1245=1,IFERROR(IF(VALUE($A1245)&lt;100000000,VALUE($A1245),1000000000),IFERROR(IF(VALUE(MID($A1245,2,20))&lt;100000000,VALUE(MID($A1245,2,20)),1000000000),1000000000))+ROW()/100000,"")</f>
        <v/>
      </c>
    </row>
    <row r="1246">
      <c r="F1246" s="7">
        <f>IF($A1246="","",E1246*L1246/100)</f>
        <v/>
      </c>
      <c r="J1246" s="7" t="n"/>
      <c r="K1246" s="7">
        <f>IF($A1246="","",N1246*U1246/100)</f>
        <v/>
      </c>
      <c r="L1246" s="7">
        <f>IF($A1246="","",N1246-K1246)</f>
        <v/>
      </c>
      <c r="M1246" s="7">
        <f>IF($A1246="","",L1246-F1246)</f>
        <v/>
      </c>
      <c r="N1246" s="7" t="n"/>
      <c r="O1246" s="7" t="n"/>
      <c r="P1246" s="7" t="n"/>
      <c r="R1246" s="14" t="n"/>
      <c r="V1246">
        <f>IF($A1246="","",IF(COUNTIF($A$2:$A1246,$A1246)=1,1,0))</f>
        <v/>
      </c>
      <c r="W1246">
        <f>IF($V1246=1,SUMPRODUCT(--($Y$2:$Y$1501&lt;$Y1246))+1,"")</f>
        <v/>
      </c>
      <c r="X1246">
        <f>IF($A1246="","",IF(OR($T1246=TRUE(),$T1246="TRUE"),1,0))</f>
        <v/>
      </c>
      <c r="Y1246">
        <f>IF($V1246=1,IFERROR(IF(VALUE($A1246)&lt;100000000,VALUE($A1246),1000000000),IFERROR(IF(VALUE(MID($A1246,2,20))&lt;100000000,VALUE(MID($A1246,2,20)),1000000000),1000000000))+ROW()/100000,"")</f>
        <v/>
      </c>
    </row>
    <row r="1247">
      <c r="F1247" s="7">
        <f>IF($A1247="","",E1247*L1247/100)</f>
        <v/>
      </c>
      <c r="J1247" s="7" t="n"/>
      <c r="K1247" s="7">
        <f>IF($A1247="","",N1247*U1247/100)</f>
        <v/>
      </c>
      <c r="L1247" s="7">
        <f>IF($A1247="","",N1247-K1247)</f>
        <v/>
      </c>
      <c r="M1247" s="7">
        <f>IF($A1247="","",L1247-F1247)</f>
        <v/>
      </c>
      <c r="N1247" s="7" t="n"/>
      <c r="O1247" s="7" t="n"/>
      <c r="P1247" s="7" t="n"/>
      <c r="R1247" s="14" t="n"/>
      <c r="V1247">
        <f>IF($A1247="","",IF(COUNTIF($A$2:$A1247,$A1247)=1,1,0))</f>
        <v/>
      </c>
      <c r="W1247">
        <f>IF($V1247=1,SUMPRODUCT(--($Y$2:$Y$1501&lt;$Y1247))+1,"")</f>
        <v/>
      </c>
      <c r="X1247">
        <f>IF($A1247="","",IF(OR($T1247=TRUE(),$T1247="TRUE"),1,0))</f>
        <v/>
      </c>
      <c r="Y1247">
        <f>IF($V1247=1,IFERROR(IF(VALUE($A1247)&lt;100000000,VALUE($A1247),1000000000),IFERROR(IF(VALUE(MID($A1247,2,20))&lt;100000000,VALUE(MID($A1247,2,20)),1000000000),1000000000))+ROW()/100000,"")</f>
        <v/>
      </c>
    </row>
    <row r="1248">
      <c r="F1248" s="7">
        <f>IF($A1248="","",E1248*L1248/100)</f>
        <v/>
      </c>
      <c r="J1248" s="7" t="n"/>
      <c r="K1248" s="7">
        <f>IF($A1248="","",N1248*U1248/100)</f>
        <v/>
      </c>
      <c r="L1248" s="7">
        <f>IF($A1248="","",N1248-K1248)</f>
        <v/>
      </c>
      <c r="M1248" s="7">
        <f>IF($A1248="","",L1248-F1248)</f>
        <v/>
      </c>
      <c r="N1248" s="7" t="n"/>
      <c r="O1248" s="7" t="n"/>
      <c r="P1248" s="7" t="n"/>
      <c r="R1248" s="14" t="n"/>
      <c r="V1248">
        <f>IF($A1248="","",IF(COUNTIF($A$2:$A1248,$A1248)=1,1,0))</f>
        <v/>
      </c>
      <c r="W1248">
        <f>IF($V1248=1,SUMPRODUCT(--($Y$2:$Y$1501&lt;$Y1248))+1,"")</f>
        <v/>
      </c>
      <c r="X1248">
        <f>IF($A1248="","",IF(OR($T1248=TRUE(),$T1248="TRUE"),1,0))</f>
        <v/>
      </c>
      <c r="Y1248">
        <f>IF($V1248=1,IFERROR(IF(VALUE($A1248)&lt;100000000,VALUE($A1248),1000000000),IFERROR(IF(VALUE(MID($A1248,2,20))&lt;100000000,VALUE(MID($A1248,2,20)),1000000000),1000000000))+ROW()/100000,"")</f>
        <v/>
      </c>
    </row>
    <row r="1249">
      <c r="F1249" s="7">
        <f>IF($A1249="","",E1249*L1249/100)</f>
        <v/>
      </c>
      <c r="J1249" s="7" t="n"/>
      <c r="K1249" s="7">
        <f>IF($A1249="","",N1249*U1249/100)</f>
        <v/>
      </c>
      <c r="L1249" s="7">
        <f>IF($A1249="","",N1249-K1249)</f>
        <v/>
      </c>
      <c r="M1249" s="7">
        <f>IF($A1249="","",L1249-F1249)</f>
        <v/>
      </c>
      <c r="N1249" s="7" t="n"/>
      <c r="O1249" s="7" t="n"/>
      <c r="P1249" s="7" t="n"/>
      <c r="R1249" s="14" t="n"/>
      <c r="V1249">
        <f>IF($A1249="","",IF(COUNTIF($A$2:$A1249,$A1249)=1,1,0))</f>
        <v/>
      </c>
      <c r="W1249">
        <f>IF($V1249=1,SUMPRODUCT(--($Y$2:$Y$1501&lt;$Y1249))+1,"")</f>
        <v/>
      </c>
      <c r="X1249">
        <f>IF($A1249="","",IF(OR($T1249=TRUE(),$T1249="TRUE"),1,0))</f>
        <v/>
      </c>
      <c r="Y1249">
        <f>IF($V1249=1,IFERROR(IF(VALUE($A1249)&lt;100000000,VALUE($A1249),1000000000),IFERROR(IF(VALUE(MID($A1249,2,20))&lt;100000000,VALUE(MID($A1249,2,20)),1000000000),1000000000))+ROW()/100000,"")</f>
        <v/>
      </c>
    </row>
    <row r="1250">
      <c r="F1250" s="7">
        <f>IF($A1250="","",E1250*L1250/100)</f>
        <v/>
      </c>
      <c r="J1250" s="7" t="n"/>
      <c r="K1250" s="7">
        <f>IF($A1250="","",N1250*U1250/100)</f>
        <v/>
      </c>
      <c r="L1250" s="7">
        <f>IF($A1250="","",N1250-K1250)</f>
        <v/>
      </c>
      <c r="M1250" s="7">
        <f>IF($A1250="","",L1250-F1250)</f>
        <v/>
      </c>
      <c r="N1250" s="7" t="n"/>
      <c r="O1250" s="7" t="n"/>
      <c r="P1250" s="7" t="n"/>
      <c r="R1250" s="14" t="n"/>
      <c r="V1250">
        <f>IF($A1250="","",IF(COUNTIF($A$2:$A1250,$A1250)=1,1,0))</f>
        <v/>
      </c>
      <c r="W1250">
        <f>IF($V1250=1,SUMPRODUCT(--($Y$2:$Y$1501&lt;$Y1250))+1,"")</f>
        <v/>
      </c>
      <c r="X1250">
        <f>IF($A1250="","",IF(OR($T1250=TRUE(),$T1250="TRUE"),1,0))</f>
        <v/>
      </c>
      <c r="Y1250">
        <f>IF($V1250=1,IFERROR(IF(VALUE($A1250)&lt;100000000,VALUE($A1250),1000000000),IFERROR(IF(VALUE(MID($A1250,2,20))&lt;100000000,VALUE(MID($A1250,2,20)),1000000000),1000000000))+ROW()/100000,"")</f>
        <v/>
      </c>
    </row>
    <row r="1251">
      <c r="F1251" s="7">
        <f>IF($A1251="","",E1251*L1251/100)</f>
        <v/>
      </c>
      <c r="J1251" s="7" t="n"/>
      <c r="K1251" s="7">
        <f>IF($A1251="","",N1251*U1251/100)</f>
        <v/>
      </c>
      <c r="L1251" s="7">
        <f>IF($A1251="","",N1251-K1251)</f>
        <v/>
      </c>
      <c r="M1251" s="7">
        <f>IF($A1251="","",L1251-F1251)</f>
        <v/>
      </c>
      <c r="N1251" s="7" t="n"/>
      <c r="O1251" s="7" t="n"/>
      <c r="P1251" s="7" t="n"/>
      <c r="R1251" s="14" t="n"/>
      <c r="V1251">
        <f>IF($A1251="","",IF(COUNTIF($A$2:$A1251,$A1251)=1,1,0))</f>
        <v/>
      </c>
      <c r="W1251">
        <f>IF($V1251=1,SUMPRODUCT(--($Y$2:$Y$1501&lt;$Y1251))+1,"")</f>
        <v/>
      </c>
      <c r="X1251">
        <f>IF($A1251="","",IF(OR($T1251=TRUE(),$T1251="TRUE"),1,0))</f>
        <v/>
      </c>
      <c r="Y1251">
        <f>IF($V1251=1,IFERROR(IF(VALUE($A1251)&lt;100000000,VALUE($A1251),1000000000),IFERROR(IF(VALUE(MID($A1251,2,20))&lt;100000000,VALUE(MID($A1251,2,20)),1000000000),1000000000))+ROW()/100000,"")</f>
        <v/>
      </c>
    </row>
    <row r="1252">
      <c r="F1252" s="7">
        <f>IF($A1252="","",E1252*L1252/100)</f>
        <v/>
      </c>
      <c r="J1252" s="7" t="n"/>
      <c r="K1252" s="7">
        <f>IF($A1252="","",N1252*U1252/100)</f>
        <v/>
      </c>
      <c r="L1252" s="7">
        <f>IF($A1252="","",N1252-K1252)</f>
        <v/>
      </c>
      <c r="M1252" s="7">
        <f>IF($A1252="","",L1252-F1252)</f>
        <v/>
      </c>
      <c r="N1252" s="7" t="n"/>
      <c r="O1252" s="7" t="n"/>
      <c r="P1252" s="7" t="n"/>
      <c r="R1252" s="14" t="n"/>
      <c r="V1252">
        <f>IF($A1252="","",IF(COUNTIF($A$2:$A1252,$A1252)=1,1,0))</f>
        <v/>
      </c>
      <c r="W1252">
        <f>IF($V1252=1,SUMPRODUCT(--($Y$2:$Y$1501&lt;$Y1252))+1,"")</f>
        <v/>
      </c>
      <c r="X1252">
        <f>IF($A1252="","",IF(OR($T1252=TRUE(),$T1252="TRUE"),1,0))</f>
        <v/>
      </c>
      <c r="Y1252">
        <f>IF($V1252=1,IFERROR(IF(VALUE($A1252)&lt;100000000,VALUE($A1252),1000000000),IFERROR(IF(VALUE(MID($A1252,2,20))&lt;100000000,VALUE(MID($A1252,2,20)),1000000000),1000000000))+ROW()/100000,"")</f>
        <v/>
      </c>
    </row>
    <row r="1253">
      <c r="F1253" s="7">
        <f>IF($A1253="","",E1253*L1253/100)</f>
        <v/>
      </c>
      <c r="J1253" s="7" t="n"/>
      <c r="K1253" s="7">
        <f>IF($A1253="","",N1253*U1253/100)</f>
        <v/>
      </c>
      <c r="L1253" s="7">
        <f>IF($A1253="","",N1253-K1253)</f>
        <v/>
      </c>
      <c r="M1253" s="7">
        <f>IF($A1253="","",L1253-F1253)</f>
        <v/>
      </c>
      <c r="N1253" s="7" t="n"/>
      <c r="O1253" s="7" t="n"/>
      <c r="P1253" s="7" t="n"/>
      <c r="R1253" s="14" t="n"/>
      <c r="V1253">
        <f>IF($A1253="","",IF(COUNTIF($A$2:$A1253,$A1253)=1,1,0))</f>
        <v/>
      </c>
      <c r="W1253">
        <f>IF($V1253=1,SUMPRODUCT(--($Y$2:$Y$1501&lt;$Y1253))+1,"")</f>
        <v/>
      </c>
      <c r="X1253">
        <f>IF($A1253="","",IF(OR($T1253=TRUE(),$T1253="TRUE"),1,0))</f>
        <v/>
      </c>
      <c r="Y1253">
        <f>IF($V1253=1,IFERROR(IF(VALUE($A1253)&lt;100000000,VALUE($A1253),1000000000),IFERROR(IF(VALUE(MID($A1253,2,20))&lt;100000000,VALUE(MID($A1253,2,20)),1000000000),1000000000))+ROW()/100000,"")</f>
        <v/>
      </c>
    </row>
    <row r="1254">
      <c r="F1254" s="7">
        <f>IF($A1254="","",E1254*L1254/100)</f>
        <v/>
      </c>
      <c r="J1254" s="7" t="n"/>
      <c r="K1254" s="7">
        <f>IF($A1254="","",N1254*U1254/100)</f>
        <v/>
      </c>
      <c r="L1254" s="7">
        <f>IF($A1254="","",N1254-K1254)</f>
        <v/>
      </c>
      <c r="M1254" s="7">
        <f>IF($A1254="","",L1254-F1254)</f>
        <v/>
      </c>
      <c r="N1254" s="7" t="n"/>
      <c r="O1254" s="7" t="n"/>
      <c r="P1254" s="7" t="n"/>
      <c r="R1254" s="14" t="n"/>
      <c r="V1254">
        <f>IF($A1254="","",IF(COUNTIF($A$2:$A1254,$A1254)=1,1,0))</f>
        <v/>
      </c>
      <c r="W1254">
        <f>IF($V1254=1,SUMPRODUCT(--($Y$2:$Y$1501&lt;$Y1254))+1,"")</f>
        <v/>
      </c>
      <c r="X1254">
        <f>IF($A1254="","",IF(OR($T1254=TRUE(),$T1254="TRUE"),1,0))</f>
        <v/>
      </c>
      <c r="Y1254">
        <f>IF($V1254=1,IFERROR(IF(VALUE($A1254)&lt;100000000,VALUE($A1254),1000000000),IFERROR(IF(VALUE(MID($A1254,2,20))&lt;100000000,VALUE(MID($A1254,2,20)),1000000000),1000000000))+ROW()/100000,"")</f>
        <v/>
      </c>
    </row>
    <row r="1255">
      <c r="F1255" s="7">
        <f>IF($A1255="","",E1255*L1255/100)</f>
        <v/>
      </c>
      <c r="J1255" s="7" t="n"/>
      <c r="K1255" s="7">
        <f>IF($A1255="","",N1255*U1255/100)</f>
        <v/>
      </c>
      <c r="L1255" s="7">
        <f>IF($A1255="","",N1255-K1255)</f>
        <v/>
      </c>
      <c r="M1255" s="7">
        <f>IF($A1255="","",L1255-F1255)</f>
        <v/>
      </c>
      <c r="N1255" s="7" t="n"/>
      <c r="O1255" s="7" t="n"/>
      <c r="P1255" s="7" t="n"/>
      <c r="R1255" s="14" t="n"/>
      <c r="V1255">
        <f>IF($A1255="","",IF(COUNTIF($A$2:$A1255,$A1255)=1,1,0))</f>
        <v/>
      </c>
      <c r="W1255">
        <f>IF($V1255=1,SUMPRODUCT(--($Y$2:$Y$1501&lt;$Y1255))+1,"")</f>
        <v/>
      </c>
      <c r="X1255">
        <f>IF($A1255="","",IF(OR($T1255=TRUE(),$T1255="TRUE"),1,0))</f>
        <v/>
      </c>
      <c r="Y1255">
        <f>IF($V1255=1,IFERROR(IF(VALUE($A1255)&lt;100000000,VALUE($A1255),1000000000),IFERROR(IF(VALUE(MID($A1255,2,20))&lt;100000000,VALUE(MID($A1255,2,20)),1000000000),1000000000))+ROW()/100000,"")</f>
        <v/>
      </c>
    </row>
    <row r="1256">
      <c r="F1256" s="7">
        <f>IF($A1256="","",E1256*L1256/100)</f>
        <v/>
      </c>
      <c r="J1256" s="7" t="n"/>
      <c r="K1256" s="7">
        <f>IF($A1256="","",N1256*U1256/100)</f>
        <v/>
      </c>
      <c r="L1256" s="7">
        <f>IF($A1256="","",N1256-K1256)</f>
        <v/>
      </c>
      <c r="M1256" s="7">
        <f>IF($A1256="","",L1256-F1256)</f>
        <v/>
      </c>
      <c r="N1256" s="7" t="n"/>
      <c r="O1256" s="7" t="n"/>
      <c r="P1256" s="7" t="n"/>
      <c r="R1256" s="14" t="n"/>
      <c r="V1256">
        <f>IF($A1256="","",IF(COUNTIF($A$2:$A1256,$A1256)=1,1,0))</f>
        <v/>
      </c>
      <c r="W1256">
        <f>IF($V1256=1,SUMPRODUCT(--($Y$2:$Y$1501&lt;$Y1256))+1,"")</f>
        <v/>
      </c>
      <c r="X1256">
        <f>IF($A1256="","",IF(OR($T1256=TRUE(),$T1256="TRUE"),1,0))</f>
        <v/>
      </c>
      <c r="Y1256">
        <f>IF($V1256=1,IFERROR(IF(VALUE($A1256)&lt;100000000,VALUE($A1256),1000000000),IFERROR(IF(VALUE(MID($A1256,2,20))&lt;100000000,VALUE(MID($A1256,2,20)),1000000000),1000000000))+ROW()/100000,"")</f>
        <v/>
      </c>
    </row>
    <row r="1257">
      <c r="F1257" s="7">
        <f>IF($A1257="","",E1257*L1257/100)</f>
        <v/>
      </c>
      <c r="J1257" s="7" t="n"/>
      <c r="K1257" s="7">
        <f>IF($A1257="","",N1257*U1257/100)</f>
        <v/>
      </c>
      <c r="L1257" s="7">
        <f>IF($A1257="","",N1257-K1257)</f>
        <v/>
      </c>
      <c r="M1257" s="7">
        <f>IF($A1257="","",L1257-F1257)</f>
        <v/>
      </c>
      <c r="N1257" s="7" t="n"/>
      <c r="O1257" s="7" t="n"/>
      <c r="P1257" s="7" t="n"/>
      <c r="R1257" s="14" t="n"/>
      <c r="V1257">
        <f>IF($A1257="","",IF(COUNTIF($A$2:$A1257,$A1257)=1,1,0))</f>
        <v/>
      </c>
      <c r="W1257">
        <f>IF($V1257=1,SUMPRODUCT(--($Y$2:$Y$1501&lt;$Y1257))+1,"")</f>
        <v/>
      </c>
      <c r="X1257">
        <f>IF($A1257="","",IF(OR($T1257=TRUE(),$T1257="TRUE"),1,0))</f>
        <v/>
      </c>
      <c r="Y1257">
        <f>IF($V1257=1,IFERROR(IF(VALUE($A1257)&lt;100000000,VALUE($A1257),1000000000),IFERROR(IF(VALUE(MID($A1257,2,20))&lt;100000000,VALUE(MID($A1257,2,20)),1000000000),1000000000))+ROW()/100000,"")</f>
        <v/>
      </c>
    </row>
    <row r="1258">
      <c r="F1258" s="7">
        <f>IF($A1258="","",E1258*L1258/100)</f>
        <v/>
      </c>
      <c r="J1258" s="7" t="n"/>
      <c r="K1258" s="7">
        <f>IF($A1258="","",N1258*U1258/100)</f>
        <v/>
      </c>
      <c r="L1258" s="7">
        <f>IF($A1258="","",N1258-K1258)</f>
        <v/>
      </c>
      <c r="M1258" s="7">
        <f>IF($A1258="","",L1258-F1258)</f>
        <v/>
      </c>
      <c r="N1258" s="7" t="n"/>
      <c r="O1258" s="7" t="n"/>
      <c r="P1258" s="7" t="n"/>
      <c r="R1258" s="14" t="n"/>
      <c r="V1258">
        <f>IF($A1258="","",IF(COUNTIF($A$2:$A1258,$A1258)=1,1,0))</f>
        <v/>
      </c>
      <c r="W1258">
        <f>IF($V1258=1,SUMPRODUCT(--($Y$2:$Y$1501&lt;$Y1258))+1,"")</f>
        <v/>
      </c>
      <c r="X1258">
        <f>IF($A1258="","",IF(OR($T1258=TRUE(),$T1258="TRUE"),1,0))</f>
        <v/>
      </c>
      <c r="Y1258">
        <f>IF($V1258=1,IFERROR(IF(VALUE($A1258)&lt;100000000,VALUE($A1258),1000000000),IFERROR(IF(VALUE(MID($A1258,2,20))&lt;100000000,VALUE(MID($A1258,2,20)),1000000000),1000000000))+ROW()/100000,"")</f>
        <v/>
      </c>
    </row>
    <row r="1259">
      <c r="F1259" s="7">
        <f>IF($A1259="","",E1259*L1259/100)</f>
        <v/>
      </c>
      <c r="J1259" s="7" t="n"/>
      <c r="K1259" s="7">
        <f>IF($A1259="","",N1259*U1259/100)</f>
        <v/>
      </c>
      <c r="L1259" s="7">
        <f>IF($A1259="","",N1259-K1259)</f>
        <v/>
      </c>
      <c r="M1259" s="7">
        <f>IF($A1259="","",L1259-F1259)</f>
        <v/>
      </c>
      <c r="N1259" s="7" t="n"/>
      <c r="O1259" s="7" t="n"/>
      <c r="P1259" s="7" t="n"/>
      <c r="R1259" s="14" t="n"/>
      <c r="V1259">
        <f>IF($A1259="","",IF(COUNTIF($A$2:$A1259,$A1259)=1,1,0))</f>
        <v/>
      </c>
      <c r="W1259">
        <f>IF($V1259=1,SUMPRODUCT(--($Y$2:$Y$1501&lt;$Y1259))+1,"")</f>
        <v/>
      </c>
      <c r="X1259">
        <f>IF($A1259="","",IF(OR($T1259=TRUE(),$T1259="TRUE"),1,0))</f>
        <v/>
      </c>
      <c r="Y1259">
        <f>IF($V1259=1,IFERROR(IF(VALUE($A1259)&lt;100000000,VALUE($A1259),1000000000),IFERROR(IF(VALUE(MID($A1259,2,20))&lt;100000000,VALUE(MID($A1259,2,20)),1000000000),1000000000))+ROW()/100000,"")</f>
        <v/>
      </c>
    </row>
    <row r="1260">
      <c r="F1260" s="7">
        <f>IF($A1260="","",E1260*L1260/100)</f>
        <v/>
      </c>
      <c r="J1260" s="7" t="n"/>
      <c r="K1260" s="7">
        <f>IF($A1260="","",N1260*U1260/100)</f>
        <v/>
      </c>
      <c r="L1260" s="7">
        <f>IF($A1260="","",N1260-K1260)</f>
        <v/>
      </c>
      <c r="M1260" s="7">
        <f>IF($A1260="","",L1260-F1260)</f>
        <v/>
      </c>
      <c r="N1260" s="7" t="n"/>
      <c r="O1260" s="7" t="n"/>
      <c r="P1260" s="7" t="n"/>
      <c r="R1260" s="14" t="n"/>
      <c r="V1260">
        <f>IF($A1260="","",IF(COUNTIF($A$2:$A1260,$A1260)=1,1,0))</f>
        <v/>
      </c>
      <c r="W1260">
        <f>IF($V1260=1,SUMPRODUCT(--($Y$2:$Y$1501&lt;$Y1260))+1,"")</f>
        <v/>
      </c>
      <c r="X1260">
        <f>IF($A1260="","",IF(OR($T1260=TRUE(),$T1260="TRUE"),1,0))</f>
        <v/>
      </c>
      <c r="Y1260">
        <f>IF($V1260=1,IFERROR(IF(VALUE($A1260)&lt;100000000,VALUE($A1260),1000000000),IFERROR(IF(VALUE(MID($A1260,2,20))&lt;100000000,VALUE(MID($A1260,2,20)),1000000000),1000000000))+ROW()/100000,"")</f>
        <v/>
      </c>
    </row>
    <row r="1261">
      <c r="F1261" s="7">
        <f>IF($A1261="","",E1261*L1261/100)</f>
        <v/>
      </c>
      <c r="J1261" s="7" t="n"/>
      <c r="K1261" s="7">
        <f>IF($A1261="","",N1261*U1261/100)</f>
        <v/>
      </c>
      <c r="L1261" s="7">
        <f>IF($A1261="","",N1261-K1261)</f>
        <v/>
      </c>
      <c r="M1261" s="7">
        <f>IF($A1261="","",L1261-F1261)</f>
        <v/>
      </c>
      <c r="N1261" s="7" t="n"/>
      <c r="O1261" s="7" t="n"/>
      <c r="P1261" s="7" t="n"/>
      <c r="R1261" s="14" t="n"/>
      <c r="V1261">
        <f>IF($A1261="","",IF(COUNTIF($A$2:$A1261,$A1261)=1,1,0))</f>
        <v/>
      </c>
      <c r="W1261">
        <f>IF($V1261=1,SUMPRODUCT(--($Y$2:$Y$1501&lt;$Y1261))+1,"")</f>
        <v/>
      </c>
      <c r="X1261">
        <f>IF($A1261="","",IF(OR($T1261=TRUE(),$T1261="TRUE"),1,0))</f>
        <v/>
      </c>
      <c r="Y1261">
        <f>IF($V1261=1,IFERROR(IF(VALUE($A1261)&lt;100000000,VALUE($A1261),1000000000),IFERROR(IF(VALUE(MID($A1261,2,20))&lt;100000000,VALUE(MID($A1261,2,20)),1000000000),1000000000))+ROW()/100000,"")</f>
        <v/>
      </c>
    </row>
    <row r="1262">
      <c r="F1262" s="7">
        <f>IF($A1262="","",E1262*L1262/100)</f>
        <v/>
      </c>
      <c r="J1262" s="7" t="n"/>
      <c r="K1262" s="7">
        <f>IF($A1262="","",N1262*U1262/100)</f>
        <v/>
      </c>
      <c r="L1262" s="7">
        <f>IF($A1262="","",N1262-K1262)</f>
        <v/>
      </c>
      <c r="M1262" s="7">
        <f>IF($A1262="","",L1262-F1262)</f>
        <v/>
      </c>
      <c r="N1262" s="7" t="n"/>
      <c r="O1262" s="7" t="n"/>
      <c r="P1262" s="7" t="n"/>
      <c r="R1262" s="14" t="n"/>
      <c r="V1262">
        <f>IF($A1262="","",IF(COUNTIF($A$2:$A1262,$A1262)=1,1,0))</f>
        <v/>
      </c>
      <c r="W1262">
        <f>IF($V1262=1,SUMPRODUCT(--($Y$2:$Y$1501&lt;$Y1262))+1,"")</f>
        <v/>
      </c>
      <c r="X1262">
        <f>IF($A1262="","",IF(OR($T1262=TRUE(),$T1262="TRUE"),1,0))</f>
        <v/>
      </c>
      <c r="Y1262">
        <f>IF($V1262=1,IFERROR(IF(VALUE($A1262)&lt;100000000,VALUE($A1262),1000000000),IFERROR(IF(VALUE(MID($A1262,2,20))&lt;100000000,VALUE(MID($A1262,2,20)),1000000000),1000000000))+ROW()/100000,"")</f>
        <v/>
      </c>
    </row>
    <row r="1263">
      <c r="F1263" s="7">
        <f>IF($A1263="","",E1263*L1263/100)</f>
        <v/>
      </c>
      <c r="J1263" s="7" t="n"/>
      <c r="K1263" s="7">
        <f>IF($A1263="","",N1263*U1263/100)</f>
        <v/>
      </c>
      <c r="L1263" s="7">
        <f>IF($A1263="","",N1263-K1263)</f>
        <v/>
      </c>
      <c r="M1263" s="7">
        <f>IF($A1263="","",L1263-F1263)</f>
        <v/>
      </c>
      <c r="N1263" s="7" t="n"/>
      <c r="O1263" s="7" t="n"/>
      <c r="P1263" s="7" t="n"/>
      <c r="R1263" s="14" t="n"/>
      <c r="V1263">
        <f>IF($A1263="","",IF(COUNTIF($A$2:$A1263,$A1263)=1,1,0))</f>
        <v/>
      </c>
      <c r="W1263">
        <f>IF($V1263=1,SUMPRODUCT(--($Y$2:$Y$1501&lt;$Y1263))+1,"")</f>
        <v/>
      </c>
      <c r="X1263">
        <f>IF($A1263="","",IF(OR($T1263=TRUE(),$T1263="TRUE"),1,0))</f>
        <v/>
      </c>
      <c r="Y1263">
        <f>IF($V1263=1,IFERROR(IF(VALUE($A1263)&lt;100000000,VALUE($A1263),1000000000),IFERROR(IF(VALUE(MID($A1263,2,20))&lt;100000000,VALUE(MID($A1263,2,20)),1000000000),1000000000))+ROW()/100000,"")</f>
        <v/>
      </c>
    </row>
    <row r="1264">
      <c r="F1264" s="7">
        <f>IF($A1264="","",E1264*L1264/100)</f>
        <v/>
      </c>
      <c r="J1264" s="7" t="n"/>
      <c r="K1264" s="7">
        <f>IF($A1264="","",N1264*U1264/100)</f>
        <v/>
      </c>
      <c r="L1264" s="7">
        <f>IF($A1264="","",N1264-K1264)</f>
        <v/>
      </c>
      <c r="M1264" s="7">
        <f>IF($A1264="","",L1264-F1264)</f>
        <v/>
      </c>
      <c r="N1264" s="7" t="n"/>
      <c r="O1264" s="7" t="n"/>
      <c r="P1264" s="7" t="n"/>
      <c r="R1264" s="14" t="n"/>
      <c r="V1264">
        <f>IF($A1264="","",IF(COUNTIF($A$2:$A1264,$A1264)=1,1,0))</f>
        <v/>
      </c>
      <c r="W1264">
        <f>IF($V1264=1,SUMPRODUCT(--($Y$2:$Y$1501&lt;$Y1264))+1,"")</f>
        <v/>
      </c>
      <c r="X1264">
        <f>IF($A1264="","",IF(OR($T1264=TRUE(),$T1264="TRUE"),1,0))</f>
        <v/>
      </c>
      <c r="Y1264">
        <f>IF($V1264=1,IFERROR(IF(VALUE($A1264)&lt;100000000,VALUE($A1264),1000000000),IFERROR(IF(VALUE(MID($A1264,2,20))&lt;100000000,VALUE(MID($A1264,2,20)),1000000000),1000000000))+ROW()/100000,"")</f>
        <v/>
      </c>
    </row>
    <row r="1265">
      <c r="F1265" s="7">
        <f>IF($A1265="","",E1265*L1265/100)</f>
        <v/>
      </c>
      <c r="J1265" s="7" t="n"/>
      <c r="K1265" s="7">
        <f>IF($A1265="","",N1265*U1265/100)</f>
        <v/>
      </c>
      <c r="L1265" s="7">
        <f>IF($A1265="","",N1265-K1265)</f>
        <v/>
      </c>
      <c r="M1265" s="7">
        <f>IF($A1265="","",L1265-F1265)</f>
        <v/>
      </c>
      <c r="N1265" s="7" t="n"/>
      <c r="O1265" s="7" t="n"/>
      <c r="P1265" s="7" t="n"/>
      <c r="R1265" s="14" t="n"/>
      <c r="V1265">
        <f>IF($A1265="","",IF(COUNTIF($A$2:$A1265,$A1265)=1,1,0))</f>
        <v/>
      </c>
      <c r="W1265">
        <f>IF($V1265=1,SUMPRODUCT(--($Y$2:$Y$1501&lt;$Y1265))+1,"")</f>
        <v/>
      </c>
      <c r="X1265">
        <f>IF($A1265="","",IF(OR($T1265=TRUE(),$T1265="TRUE"),1,0))</f>
        <v/>
      </c>
      <c r="Y1265">
        <f>IF($V1265=1,IFERROR(IF(VALUE($A1265)&lt;100000000,VALUE($A1265),1000000000),IFERROR(IF(VALUE(MID($A1265,2,20))&lt;100000000,VALUE(MID($A1265,2,20)),1000000000),1000000000))+ROW()/100000,"")</f>
        <v/>
      </c>
    </row>
    <row r="1266">
      <c r="F1266" s="7">
        <f>IF($A1266="","",E1266*L1266/100)</f>
        <v/>
      </c>
      <c r="J1266" s="7" t="n"/>
      <c r="K1266" s="7">
        <f>IF($A1266="","",N1266*U1266/100)</f>
        <v/>
      </c>
      <c r="L1266" s="7">
        <f>IF($A1266="","",N1266-K1266)</f>
        <v/>
      </c>
      <c r="M1266" s="7">
        <f>IF($A1266="","",L1266-F1266)</f>
        <v/>
      </c>
      <c r="N1266" s="7" t="n"/>
      <c r="O1266" s="7" t="n"/>
      <c r="P1266" s="7" t="n"/>
      <c r="R1266" s="14" t="n"/>
      <c r="V1266">
        <f>IF($A1266="","",IF(COUNTIF($A$2:$A1266,$A1266)=1,1,0))</f>
        <v/>
      </c>
      <c r="W1266">
        <f>IF($V1266=1,SUMPRODUCT(--($Y$2:$Y$1501&lt;$Y1266))+1,"")</f>
        <v/>
      </c>
      <c r="X1266">
        <f>IF($A1266="","",IF(OR($T1266=TRUE(),$T1266="TRUE"),1,0))</f>
        <v/>
      </c>
      <c r="Y1266">
        <f>IF($V1266=1,IFERROR(IF(VALUE($A1266)&lt;100000000,VALUE($A1266),1000000000),IFERROR(IF(VALUE(MID($A1266,2,20))&lt;100000000,VALUE(MID($A1266,2,20)),1000000000),1000000000))+ROW()/100000,"")</f>
        <v/>
      </c>
    </row>
    <row r="1267">
      <c r="F1267" s="7">
        <f>IF($A1267="","",E1267*L1267/100)</f>
        <v/>
      </c>
      <c r="J1267" s="7" t="n"/>
      <c r="K1267" s="7">
        <f>IF($A1267="","",N1267*U1267/100)</f>
        <v/>
      </c>
      <c r="L1267" s="7">
        <f>IF($A1267="","",N1267-K1267)</f>
        <v/>
      </c>
      <c r="M1267" s="7">
        <f>IF($A1267="","",L1267-F1267)</f>
        <v/>
      </c>
      <c r="N1267" s="7" t="n"/>
      <c r="O1267" s="7" t="n"/>
      <c r="P1267" s="7" t="n"/>
      <c r="R1267" s="14" t="n"/>
      <c r="V1267">
        <f>IF($A1267="","",IF(COUNTIF($A$2:$A1267,$A1267)=1,1,0))</f>
        <v/>
      </c>
      <c r="W1267">
        <f>IF($V1267=1,SUMPRODUCT(--($Y$2:$Y$1501&lt;$Y1267))+1,"")</f>
        <v/>
      </c>
      <c r="X1267">
        <f>IF($A1267="","",IF(OR($T1267=TRUE(),$T1267="TRUE"),1,0))</f>
        <v/>
      </c>
      <c r="Y1267">
        <f>IF($V1267=1,IFERROR(IF(VALUE($A1267)&lt;100000000,VALUE($A1267),1000000000),IFERROR(IF(VALUE(MID($A1267,2,20))&lt;100000000,VALUE(MID($A1267,2,20)),1000000000),1000000000))+ROW()/100000,"")</f>
        <v/>
      </c>
    </row>
    <row r="1268">
      <c r="F1268" s="7">
        <f>IF($A1268="","",E1268*L1268/100)</f>
        <v/>
      </c>
      <c r="J1268" s="7" t="n"/>
      <c r="K1268" s="7">
        <f>IF($A1268="","",N1268*U1268/100)</f>
        <v/>
      </c>
      <c r="L1268" s="7">
        <f>IF($A1268="","",N1268-K1268)</f>
        <v/>
      </c>
      <c r="M1268" s="7">
        <f>IF($A1268="","",L1268-F1268)</f>
        <v/>
      </c>
      <c r="N1268" s="7" t="n"/>
      <c r="O1268" s="7" t="n"/>
      <c r="P1268" s="7" t="n"/>
      <c r="R1268" s="14" t="n"/>
      <c r="V1268">
        <f>IF($A1268="","",IF(COUNTIF($A$2:$A1268,$A1268)=1,1,0))</f>
        <v/>
      </c>
      <c r="W1268">
        <f>IF($V1268=1,SUMPRODUCT(--($Y$2:$Y$1501&lt;$Y1268))+1,"")</f>
        <v/>
      </c>
      <c r="X1268">
        <f>IF($A1268="","",IF(OR($T1268=TRUE(),$T1268="TRUE"),1,0))</f>
        <v/>
      </c>
      <c r="Y1268">
        <f>IF($V1268=1,IFERROR(IF(VALUE($A1268)&lt;100000000,VALUE($A1268),1000000000),IFERROR(IF(VALUE(MID($A1268,2,20))&lt;100000000,VALUE(MID($A1268,2,20)),1000000000),1000000000))+ROW()/100000,"")</f>
        <v/>
      </c>
    </row>
    <row r="1269">
      <c r="F1269" s="7">
        <f>IF($A1269="","",E1269*L1269/100)</f>
        <v/>
      </c>
      <c r="J1269" s="7" t="n"/>
      <c r="K1269" s="7">
        <f>IF($A1269="","",N1269*U1269/100)</f>
        <v/>
      </c>
      <c r="L1269" s="7">
        <f>IF($A1269="","",N1269-K1269)</f>
        <v/>
      </c>
      <c r="M1269" s="7">
        <f>IF($A1269="","",L1269-F1269)</f>
        <v/>
      </c>
      <c r="N1269" s="7" t="n"/>
      <c r="O1269" s="7" t="n"/>
      <c r="P1269" s="7" t="n"/>
      <c r="R1269" s="14" t="n"/>
      <c r="V1269">
        <f>IF($A1269="","",IF(COUNTIF($A$2:$A1269,$A1269)=1,1,0))</f>
        <v/>
      </c>
      <c r="W1269">
        <f>IF($V1269=1,SUMPRODUCT(--($Y$2:$Y$1501&lt;$Y1269))+1,"")</f>
        <v/>
      </c>
      <c r="X1269">
        <f>IF($A1269="","",IF(OR($T1269=TRUE(),$T1269="TRUE"),1,0))</f>
        <v/>
      </c>
      <c r="Y1269">
        <f>IF($V1269=1,IFERROR(IF(VALUE($A1269)&lt;100000000,VALUE($A1269),1000000000),IFERROR(IF(VALUE(MID($A1269,2,20))&lt;100000000,VALUE(MID($A1269,2,20)),1000000000),1000000000))+ROW()/100000,"")</f>
        <v/>
      </c>
    </row>
    <row r="1270">
      <c r="F1270" s="7">
        <f>IF($A1270="","",E1270*L1270/100)</f>
        <v/>
      </c>
      <c r="J1270" s="7" t="n"/>
      <c r="K1270" s="7">
        <f>IF($A1270="","",N1270*U1270/100)</f>
        <v/>
      </c>
      <c r="L1270" s="7">
        <f>IF($A1270="","",N1270-K1270)</f>
        <v/>
      </c>
      <c r="M1270" s="7">
        <f>IF($A1270="","",L1270-F1270)</f>
        <v/>
      </c>
      <c r="N1270" s="7" t="n"/>
      <c r="O1270" s="7" t="n"/>
      <c r="P1270" s="7" t="n"/>
      <c r="R1270" s="14" t="n"/>
      <c r="V1270">
        <f>IF($A1270="","",IF(COUNTIF($A$2:$A1270,$A1270)=1,1,0))</f>
        <v/>
      </c>
      <c r="W1270">
        <f>IF($V1270=1,SUMPRODUCT(--($Y$2:$Y$1501&lt;$Y1270))+1,"")</f>
        <v/>
      </c>
      <c r="X1270">
        <f>IF($A1270="","",IF(OR($T1270=TRUE(),$T1270="TRUE"),1,0))</f>
        <v/>
      </c>
      <c r="Y1270">
        <f>IF($V1270=1,IFERROR(IF(VALUE($A1270)&lt;100000000,VALUE($A1270),1000000000),IFERROR(IF(VALUE(MID($A1270,2,20))&lt;100000000,VALUE(MID($A1270,2,20)),1000000000),1000000000))+ROW()/100000,"")</f>
        <v/>
      </c>
    </row>
    <row r="1271">
      <c r="F1271" s="7">
        <f>IF($A1271="","",E1271*L1271/100)</f>
        <v/>
      </c>
      <c r="J1271" s="7" t="n"/>
      <c r="K1271" s="7">
        <f>IF($A1271="","",N1271*U1271/100)</f>
        <v/>
      </c>
      <c r="L1271" s="7">
        <f>IF($A1271="","",N1271-K1271)</f>
        <v/>
      </c>
      <c r="M1271" s="7">
        <f>IF($A1271="","",L1271-F1271)</f>
        <v/>
      </c>
      <c r="N1271" s="7" t="n"/>
      <c r="O1271" s="7" t="n"/>
      <c r="P1271" s="7" t="n"/>
      <c r="R1271" s="14" t="n"/>
      <c r="V1271">
        <f>IF($A1271="","",IF(COUNTIF($A$2:$A1271,$A1271)=1,1,0))</f>
        <v/>
      </c>
      <c r="W1271">
        <f>IF($V1271=1,SUMPRODUCT(--($Y$2:$Y$1501&lt;$Y1271))+1,"")</f>
        <v/>
      </c>
      <c r="X1271">
        <f>IF($A1271="","",IF(OR($T1271=TRUE(),$T1271="TRUE"),1,0))</f>
        <v/>
      </c>
      <c r="Y1271">
        <f>IF($V1271=1,IFERROR(IF(VALUE($A1271)&lt;100000000,VALUE($A1271),1000000000),IFERROR(IF(VALUE(MID($A1271,2,20))&lt;100000000,VALUE(MID($A1271,2,20)),1000000000),1000000000))+ROW()/100000,"")</f>
        <v/>
      </c>
    </row>
    <row r="1272">
      <c r="F1272" s="7">
        <f>IF($A1272="","",E1272*L1272/100)</f>
        <v/>
      </c>
      <c r="J1272" s="7" t="n"/>
      <c r="K1272" s="7">
        <f>IF($A1272="","",N1272*U1272/100)</f>
        <v/>
      </c>
      <c r="L1272" s="7">
        <f>IF($A1272="","",N1272-K1272)</f>
        <v/>
      </c>
      <c r="M1272" s="7">
        <f>IF($A1272="","",L1272-F1272)</f>
        <v/>
      </c>
      <c r="N1272" s="7" t="n"/>
      <c r="O1272" s="7" t="n"/>
      <c r="P1272" s="7" t="n"/>
      <c r="R1272" s="14" t="n"/>
      <c r="V1272">
        <f>IF($A1272="","",IF(COUNTIF($A$2:$A1272,$A1272)=1,1,0))</f>
        <v/>
      </c>
      <c r="W1272">
        <f>IF($V1272=1,SUMPRODUCT(--($Y$2:$Y$1501&lt;$Y1272))+1,"")</f>
        <v/>
      </c>
      <c r="X1272">
        <f>IF($A1272="","",IF(OR($T1272=TRUE(),$T1272="TRUE"),1,0))</f>
        <v/>
      </c>
      <c r="Y1272">
        <f>IF($V1272=1,IFERROR(IF(VALUE($A1272)&lt;100000000,VALUE($A1272),1000000000),IFERROR(IF(VALUE(MID($A1272,2,20))&lt;100000000,VALUE(MID($A1272,2,20)),1000000000),1000000000))+ROW()/100000,"")</f>
        <v/>
      </c>
    </row>
    <row r="1273">
      <c r="F1273" s="7">
        <f>IF($A1273="","",E1273*L1273/100)</f>
        <v/>
      </c>
      <c r="J1273" s="7" t="n"/>
      <c r="K1273" s="7">
        <f>IF($A1273="","",N1273*U1273/100)</f>
        <v/>
      </c>
      <c r="L1273" s="7">
        <f>IF($A1273="","",N1273-K1273)</f>
        <v/>
      </c>
      <c r="M1273" s="7">
        <f>IF($A1273="","",L1273-F1273)</f>
        <v/>
      </c>
      <c r="N1273" s="7" t="n"/>
      <c r="O1273" s="7" t="n"/>
      <c r="P1273" s="7" t="n"/>
      <c r="R1273" s="14" t="n"/>
      <c r="V1273">
        <f>IF($A1273="","",IF(COUNTIF($A$2:$A1273,$A1273)=1,1,0))</f>
        <v/>
      </c>
      <c r="W1273">
        <f>IF($V1273=1,SUMPRODUCT(--($Y$2:$Y$1501&lt;$Y1273))+1,"")</f>
        <v/>
      </c>
      <c r="X1273">
        <f>IF($A1273="","",IF(OR($T1273=TRUE(),$T1273="TRUE"),1,0))</f>
        <v/>
      </c>
      <c r="Y1273">
        <f>IF($V1273=1,IFERROR(IF(VALUE($A1273)&lt;100000000,VALUE($A1273),1000000000),IFERROR(IF(VALUE(MID($A1273,2,20))&lt;100000000,VALUE(MID($A1273,2,20)),1000000000),1000000000))+ROW()/100000,"")</f>
        <v/>
      </c>
    </row>
    <row r="1274">
      <c r="F1274" s="7">
        <f>IF($A1274="","",E1274*L1274/100)</f>
        <v/>
      </c>
      <c r="J1274" s="7" t="n"/>
      <c r="K1274" s="7">
        <f>IF($A1274="","",N1274*U1274/100)</f>
        <v/>
      </c>
      <c r="L1274" s="7">
        <f>IF($A1274="","",N1274-K1274)</f>
        <v/>
      </c>
      <c r="M1274" s="7">
        <f>IF($A1274="","",L1274-F1274)</f>
        <v/>
      </c>
      <c r="N1274" s="7" t="n"/>
      <c r="O1274" s="7" t="n"/>
      <c r="P1274" s="7" t="n"/>
      <c r="R1274" s="14" t="n"/>
      <c r="V1274">
        <f>IF($A1274="","",IF(COUNTIF($A$2:$A1274,$A1274)=1,1,0))</f>
        <v/>
      </c>
      <c r="W1274">
        <f>IF($V1274=1,SUMPRODUCT(--($Y$2:$Y$1501&lt;$Y1274))+1,"")</f>
        <v/>
      </c>
      <c r="X1274">
        <f>IF($A1274="","",IF(OR($T1274=TRUE(),$T1274="TRUE"),1,0))</f>
        <v/>
      </c>
      <c r="Y1274">
        <f>IF($V1274=1,IFERROR(IF(VALUE($A1274)&lt;100000000,VALUE($A1274),1000000000),IFERROR(IF(VALUE(MID($A1274,2,20))&lt;100000000,VALUE(MID($A1274,2,20)),1000000000),1000000000))+ROW()/100000,"")</f>
        <v/>
      </c>
    </row>
    <row r="1275">
      <c r="F1275" s="7">
        <f>IF($A1275="","",E1275*L1275/100)</f>
        <v/>
      </c>
      <c r="J1275" s="7" t="n"/>
      <c r="K1275" s="7">
        <f>IF($A1275="","",N1275*U1275/100)</f>
        <v/>
      </c>
      <c r="L1275" s="7">
        <f>IF($A1275="","",N1275-K1275)</f>
        <v/>
      </c>
      <c r="M1275" s="7">
        <f>IF($A1275="","",L1275-F1275)</f>
        <v/>
      </c>
      <c r="N1275" s="7" t="n"/>
      <c r="O1275" s="7" t="n"/>
      <c r="P1275" s="7" t="n"/>
      <c r="R1275" s="14" t="n"/>
      <c r="V1275">
        <f>IF($A1275="","",IF(COUNTIF($A$2:$A1275,$A1275)=1,1,0))</f>
        <v/>
      </c>
      <c r="W1275">
        <f>IF($V1275=1,SUMPRODUCT(--($Y$2:$Y$1501&lt;$Y1275))+1,"")</f>
        <v/>
      </c>
      <c r="X1275">
        <f>IF($A1275="","",IF(OR($T1275=TRUE(),$T1275="TRUE"),1,0))</f>
        <v/>
      </c>
      <c r="Y1275">
        <f>IF($V1275=1,IFERROR(IF(VALUE($A1275)&lt;100000000,VALUE($A1275),1000000000),IFERROR(IF(VALUE(MID($A1275,2,20))&lt;100000000,VALUE(MID($A1275,2,20)),1000000000),1000000000))+ROW()/100000,"")</f>
        <v/>
      </c>
    </row>
    <row r="1276">
      <c r="F1276" s="7">
        <f>IF($A1276="","",E1276*L1276/100)</f>
        <v/>
      </c>
      <c r="J1276" s="7" t="n"/>
      <c r="K1276" s="7">
        <f>IF($A1276="","",N1276*U1276/100)</f>
        <v/>
      </c>
      <c r="L1276" s="7">
        <f>IF($A1276="","",N1276-K1276)</f>
        <v/>
      </c>
      <c r="M1276" s="7">
        <f>IF($A1276="","",L1276-F1276)</f>
        <v/>
      </c>
      <c r="N1276" s="7" t="n"/>
      <c r="O1276" s="7" t="n"/>
      <c r="P1276" s="7" t="n"/>
      <c r="R1276" s="14" t="n"/>
      <c r="V1276">
        <f>IF($A1276="","",IF(COUNTIF($A$2:$A1276,$A1276)=1,1,0))</f>
        <v/>
      </c>
      <c r="W1276">
        <f>IF($V1276=1,SUMPRODUCT(--($Y$2:$Y$1501&lt;$Y1276))+1,"")</f>
        <v/>
      </c>
      <c r="X1276">
        <f>IF($A1276="","",IF(OR($T1276=TRUE(),$T1276="TRUE"),1,0))</f>
        <v/>
      </c>
      <c r="Y1276">
        <f>IF($V1276=1,IFERROR(IF(VALUE($A1276)&lt;100000000,VALUE($A1276),1000000000),IFERROR(IF(VALUE(MID($A1276,2,20))&lt;100000000,VALUE(MID($A1276,2,20)),1000000000),1000000000))+ROW()/100000,"")</f>
        <v/>
      </c>
    </row>
    <row r="1277">
      <c r="F1277" s="7">
        <f>IF($A1277="","",E1277*L1277/100)</f>
        <v/>
      </c>
      <c r="J1277" s="7" t="n"/>
      <c r="K1277" s="7">
        <f>IF($A1277="","",N1277*U1277/100)</f>
        <v/>
      </c>
      <c r="L1277" s="7">
        <f>IF($A1277="","",N1277-K1277)</f>
        <v/>
      </c>
      <c r="M1277" s="7">
        <f>IF($A1277="","",L1277-F1277)</f>
        <v/>
      </c>
      <c r="N1277" s="7" t="n"/>
      <c r="O1277" s="7" t="n"/>
      <c r="P1277" s="7" t="n"/>
      <c r="R1277" s="14" t="n"/>
      <c r="V1277">
        <f>IF($A1277="","",IF(COUNTIF($A$2:$A1277,$A1277)=1,1,0))</f>
        <v/>
      </c>
      <c r="W1277">
        <f>IF($V1277=1,SUMPRODUCT(--($Y$2:$Y$1501&lt;$Y1277))+1,"")</f>
        <v/>
      </c>
      <c r="X1277">
        <f>IF($A1277="","",IF(OR($T1277=TRUE(),$T1277="TRUE"),1,0))</f>
        <v/>
      </c>
      <c r="Y1277">
        <f>IF($V1277=1,IFERROR(IF(VALUE($A1277)&lt;100000000,VALUE($A1277),1000000000),IFERROR(IF(VALUE(MID($A1277,2,20))&lt;100000000,VALUE(MID($A1277,2,20)),1000000000),1000000000))+ROW()/100000,"")</f>
        <v/>
      </c>
    </row>
    <row r="1278">
      <c r="F1278" s="7">
        <f>IF($A1278="","",E1278*L1278/100)</f>
        <v/>
      </c>
      <c r="J1278" s="7" t="n"/>
      <c r="K1278" s="7">
        <f>IF($A1278="","",N1278*U1278/100)</f>
        <v/>
      </c>
      <c r="L1278" s="7">
        <f>IF($A1278="","",N1278-K1278)</f>
        <v/>
      </c>
      <c r="M1278" s="7">
        <f>IF($A1278="","",L1278-F1278)</f>
        <v/>
      </c>
      <c r="N1278" s="7" t="n"/>
      <c r="O1278" s="7" t="n"/>
      <c r="P1278" s="7" t="n"/>
      <c r="R1278" s="14" t="n"/>
      <c r="V1278">
        <f>IF($A1278="","",IF(COUNTIF($A$2:$A1278,$A1278)=1,1,0))</f>
        <v/>
      </c>
      <c r="W1278">
        <f>IF($V1278=1,SUMPRODUCT(--($Y$2:$Y$1501&lt;$Y1278))+1,"")</f>
        <v/>
      </c>
      <c r="X1278">
        <f>IF($A1278="","",IF(OR($T1278=TRUE(),$T1278="TRUE"),1,0))</f>
        <v/>
      </c>
      <c r="Y1278">
        <f>IF($V1278=1,IFERROR(IF(VALUE($A1278)&lt;100000000,VALUE($A1278),1000000000),IFERROR(IF(VALUE(MID($A1278,2,20))&lt;100000000,VALUE(MID($A1278,2,20)),1000000000),1000000000))+ROW()/100000,"")</f>
        <v/>
      </c>
    </row>
    <row r="1279">
      <c r="F1279" s="7">
        <f>IF($A1279="","",E1279*L1279/100)</f>
        <v/>
      </c>
      <c r="J1279" s="7" t="n"/>
      <c r="K1279" s="7">
        <f>IF($A1279="","",N1279*U1279/100)</f>
        <v/>
      </c>
      <c r="L1279" s="7">
        <f>IF($A1279="","",N1279-K1279)</f>
        <v/>
      </c>
      <c r="M1279" s="7">
        <f>IF($A1279="","",L1279-F1279)</f>
        <v/>
      </c>
      <c r="N1279" s="7" t="n"/>
      <c r="O1279" s="7" t="n"/>
      <c r="P1279" s="7" t="n"/>
      <c r="R1279" s="14" t="n"/>
      <c r="V1279">
        <f>IF($A1279="","",IF(COUNTIF($A$2:$A1279,$A1279)=1,1,0))</f>
        <v/>
      </c>
      <c r="W1279">
        <f>IF($V1279=1,SUMPRODUCT(--($Y$2:$Y$1501&lt;$Y1279))+1,"")</f>
        <v/>
      </c>
      <c r="X1279">
        <f>IF($A1279="","",IF(OR($T1279=TRUE(),$T1279="TRUE"),1,0))</f>
        <v/>
      </c>
      <c r="Y1279">
        <f>IF($V1279=1,IFERROR(IF(VALUE($A1279)&lt;100000000,VALUE($A1279),1000000000),IFERROR(IF(VALUE(MID($A1279,2,20))&lt;100000000,VALUE(MID($A1279,2,20)),1000000000),1000000000))+ROW()/100000,"")</f>
        <v/>
      </c>
    </row>
    <row r="1280">
      <c r="F1280" s="7">
        <f>IF($A1280="","",E1280*L1280/100)</f>
        <v/>
      </c>
      <c r="J1280" s="7" t="n"/>
      <c r="K1280" s="7">
        <f>IF($A1280="","",N1280*U1280/100)</f>
        <v/>
      </c>
      <c r="L1280" s="7">
        <f>IF($A1280="","",N1280-K1280)</f>
        <v/>
      </c>
      <c r="M1280" s="7">
        <f>IF($A1280="","",L1280-F1280)</f>
        <v/>
      </c>
      <c r="N1280" s="7" t="n"/>
      <c r="O1280" s="7" t="n"/>
      <c r="P1280" s="7" t="n"/>
      <c r="R1280" s="14" t="n"/>
      <c r="V1280">
        <f>IF($A1280="","",IF(COUNTIF($A$2:$A1280,$A1280)=1,1,0))</f>
        <v/>
      </c>
      <c r="W1280">
        <f>IF($V1280=1,SUMPRODUCT(--($Y$2:$Y$1501&lt;$Y1280))+1,"")</f>
        <v/>
      </c>
      <c r="X1280">
        <f>IF($A1280="","",IF(OR($T1280=TRUE(),$T1280="TRUE"),1,0))</f>
        <v/>
      </c>
      <c r="Y1280">
        <f>IF($V1280=1,IFERROR(IF(VALUE($A1280)&lt;100000000,VALUE($A1280),1000000000),IFERROR(IF(VALUE(MID($A1280,2,20))&lt;100000000,VALUE(MID($A1280,2,20)),1000000000),1000000000))+ROW()/100000,"")</f>
        <v/>
      </c>
    </row>
    <row r="1281">
      <c r="F1281" s="7">
        <f>IF($A1281="","",E1281*L1281/100)</f>
        <v/>
      </c>
      <c r="J1281" s="7" t="n"/>
      <c r="K1281" s="7">
        <f>IF($A1281="","",N1281*U1281/100)</f>
        <v/>
      </c>
      <c r="L1281" s="7">
        <f>IF($A1281="","",N1281-K1281)</f>
        <v/>
      </c>
      <c r="M1281" s="7">
        <f>IF($A1281="","",L1281-F1281)</f>
        <v/>
      </c>
      <c r="N1281" s="7" t="n"/>
      <c r="O1281" s="7" t="n"/>
      <c r="P1281" s="7" t="n"/>
      <c r="R1281" s="14" t="n"/>
      <c r="V1281">
        <f>IF($A1281="","",IF(COUNTIF($A$2:$A1281,$A1281)=1,1,0))</f>
        <v/>
      </c>
      <c r="W1281">
        <f>IF($V1281=1,SUMPRODUCT(--($Y$2:$Y$1501&lt;$Y1281))+1,"")</f>
        <v/>
      </c>
      <c r="X1281">
        <f>IF($A1281="","",IF(OR($T1281=TRUE(),$T1281="TRUE"),1,0))</f>
        <v/>
      </c>
      <c r="Y1281">
        <f>IF($V1281=1,IFERROR(IF(VALUE($A1281)&lt;100000000,VALUE($A1281),1000000000),IFERROR(IF(VALUE(MID($A1281,2,20))&lt;100000000,VALUE(MID($A1281,2,20)),1000000000),1000000000))+ROW()/100000,"")</f>
        <v/>
      </c>
    </row>
    <row r="1282">
      <c r="F1282" s="7">
        <f>IF($A1282="","",E1282*L1282/100)</f>
        <v/>
      </c>
      <c r="J1282" s="7" t="n"/>
      <c r="K1282" s="7">
        <f>IF($A1282="","",N1282*U1282/100)</f>
        <v/>
      </c>
      <c r="L1282" s="7">
        <f>IF($A1282="","",N1282-K1282)</f>
        <v/>
      </c>
      <c r="M1282" s="7">
        <f>IF($A1282="","",L1282-F1282)</f>
        <v/>
      </c>
      <c r="N1282" s="7" t="n"/>
      <c r="O1282" s="7" t="n"/>
      <c r="P1282" s="7" t="n"/>
      <c r="R1282" s="14" t="n"/>
      <c r="V1282">
        <f>IF($A1282="","",IF(COUNTIF($A$2:$A1282,$A1282)=1,1,0))</f>
        <v/>
      </c>
      <c r="W1282">
        <f>IF($V1282=1,SUMPRODUCT(--($Y$2:$Y$1501&lt;$Y1282))+1,"")</f>
        <v/>
      </c>
      <c r="X1282">
        <f>IF($A1282="","",IF(OR($T1282=TRUE(),$T1282="TRUE"),1,0))</f>
        <v/>
      </c>
      <c r="Y1282">
        <f>IF($V1282=1,IFERROR(IF(VALUE($A1282)&lt;100000000,VALUE($A1282),1000000000),IFERROR(IF(VALUE(MID($A1282,2,20))&lt;100000000,VALUE(MID($A1282,2,20)),1000000000),1000000000))+ROW()/100000,"")</f>
        <v/>
      </c>
    </row>
    <row r="1283">
      <c r="F1283" s="7">
        <f>IF($A1283="","",E1283*L1283/100)</f>
        <v/>
      </c>
      <c r="J1283" s="7" t="n"/>
      <c r="K1283" s="7">
        <f>IF($A1283="","",N1283*U1283/100)</f>
        <v/>
      </c>
      <c r="L1283" s="7">
        <f>IF($A1283="","",N1283-K1283)</f>
        <v/>
      </c>
      <c r="M1283" s="7">
        <f>IF($A1283="","",L1283-F1283)</f>
        <v/>
      </c>
      <c r="N1283" s="7" t="n"/>
      <c r="O1283" s="7" t="n"/>
      <c r="P1283" s="7" t="n"/>
      <c r="R1283" s="14" t="n"/>
      <c r="V1283">
        <f>IF($A1283="","",IF(COUNTIF($A$2:$A1283,$A1283)=1,1,0))</f>
        <v/>
      </c>
      <c r="W1283">
        <f>IF($V1283=1,SUMPRODUCT(--($Y$2:$Y$1501&lt;$Y1283))+1,"")</f>
        <v/>
      </c>
      <c r="X1283">
        <f>IF($A1283="","",IF(OR($T1283=TRUE(),$T1283="TRUE"),1,0))</f>
        <v/>
      </c>
      <c r="Y1283">
        <f>IF($V1283=1,IFERROR(IF(VALUE($A1283)&lt;100000000,VALUE($A1283),1000000000),IFERROR(IF(VALUE(MID($A1283,2,20))&lt;100000000,VALUE(MID($A1283,2,20)),1000000000),1000000000))+ROW()/100000,"")</f>
        <v/>
      </c>
    </row>
    <row r="1284">
      <c r="F1284" s="7">
        <f>IF($A1284="","",E1284*L1284/100)</f>
        <v/>
      </c>
      <c r="J1284" s="7" t="n"/>
      <c r="K1284" s="7">
        <f>IF($A1284="","",N1284*U1284/100)</f>
        <v/>
      </c>
      <c r="L1284" s="7">
        <f>IF($A1284="","",N1284-K1284)</f>
        <v/>
      </c>
      <c r="M1284" s="7">
        <f>IF($A1284="","",L1284-F1284)</f>
        <v/>
      </c>
      <c r="N1284" s="7" t="n"/>
      <c r="O1284" s="7" t="n"/>
      <c r="P1284" s="7" t="n"/>
      <c r="R1284" s="14" t="n"/>
      <c r="V1284">
        <f>IF($A1284="","",IF(COUNTIF($A$2:$A1284,$A1284)=1,1,0))</f>
        <v/>
      </c>
      <c r="W1284">
        <f>IF($V1284=1,SUMPRODUCT(--($Y$2:$Y$1501&lt;$Y1284))+1,"")</f>
        <v/>
      </c>
      <c r="X1284">
        <f>IF($A1284="","",IF(OR($T1284=TRUE(),$T1284="TRUE"),1,0))</f>
        <v/>
      </c>
      <c r="Y1284">
        <f>IF($V1284=1,IFERROR(IF(VALUE($A1284)&lt;100000000,VALUE($A1284),1000000000),IFERROR(IF(VALUE(MID($A1284,2,20))&lt;100000000,VALUE(MID($A1284,2,20)),1000000000),1000000000))+ROW()/100000,"")</f>
        <v/>
      </c>
    </row>
    <row r="1285">
      <c r="F1285" s="7">
        <f>IF($A1285="","",E1285*L1285/100)</f>
        <v/>
      </c>
      <c r="J1285" s="7" t="n"/>
      <c r="K1285" s="7">
        <f>IF($A1285="","",N1285*U1285/100)</f>
        <v/>
      </c>
      <c r="L1285" s="7">
        <f>IF($A1285="","",N1285-K1285)</f>
        <v/>
      </c>
      <c r="M1285" s="7">
        <f>IF($A1285="","",L1285-F1285)</f>
        <v/>
      </c>
      <c r="N1285" s="7" t="n"/>
      <c r="O1285" s="7" t="n"/>
      <c r="P1285" s="7" t="n"/>
      <c r="R1285" s="14" t="n"/>
      <c r="V1285">
        <f>IF($A1285="","",IF(COUNTIF($A$2:$A1285,$A1285)=1,1,0))</f>
        <v/>
      </c>
      <c r="W1285">
        <f>IF($V1285=1,SUMPRODUCT(--($Y$2:$Y$1501&lt;$Y1285))+1,"")</f>
        <v/>
      </c>
      <c r="X1285">
        <f>IF($A1285="","",IF(OR($T1285=TRUE(),$T1285="TRUE"),1,0))</f>
        <v/>
      </c>
      <c r="Y1285">
        <f>IF($V1285=1,IFERROR(IF(VALUE($A1285)&lt;100000000,VALUE($A1285),1000000000),IFERROR(IF(VALUE(MID($A1285,2,20))&lt;100000000,VALUE(MID($A1285,2,20)),1000000000),1000000000))+ROW()/100000,"")</f>
        <v/>
      </c>
    </row>
    <row r="1286">
      <c r="F1286" s="7">
        <f>IF($A1286="","",E1286*L1286/100)</f>
        <v/>
      </c>
      <c r="J1286" s="7" t="n"/>
      <c r="K1286" s="7">
        <f>IF($A1286="","",N1286*U1286/100)</f>
        <v/>
      </c>
      <c r="L1286" s="7">
        <f>IF($A1286="","",N1286-K1286)</f>
        <v/>
      </c>
      <c r="M1286" s="7">
        <f>IF($A1286="","",L1286-F1286)</f>
        <v/>
      </c>
      <c r="N1286" s="7" t="n"/>
      <c r="O1286" s="7" t="n"/>
      <c r="P1286" s="7" t="n"/>
      <c r="R1286" s="14" t="n"/>
      <c r="V1286">
        <f>IF($A1286="","",IF(COUNTIF($A$2:$A1286,$A1286)=1,1,0))</f>
        <v/>
      </c>
      <c r="W1286">
        <f>IF($V1286=1,SUMPRODUCT(--($Y$2:$Y$1501&lt;$Y1286))+1,"")</f>
        <v/>
      </c>
      <c r="X1286">
        <f>IF($A1286="","",IF(OR($T1286=TRUE(),$T1286="TRUE"),1,0))</f>
        <v/>
      </c>
      <c r="Y1286">
        <f>IF($V1286=1,IFERROR(IF(VALUE($A1286)&lt;100000000,VALUE($A1286),1000000000),IFERROR(IF(VALUE(MID($A1286,2,20))&lt;100000000,VALUE(MID($A1286,2,20)),1000000000),1000000000))+ROW()/100000,"")</f>
        <v/>
      </c>
    </row>
    <row r="1287">
      <c r="F1287" s="7">
        <f>IF($A1287="","",E1287*L1287/100)</f>
        <v/>
      </c>
      <c r="J1287" s="7" t="n"/>
      <c r="K1287" s="7">
        <f>IF($A1287="","",N1287*U1287/100)</f>
        <v/>
      </c>
      <c r="L1287" s="7">
        <f>IF($A1287="","",N1287-K1287)</f>
        <v/>
      </c>
      <c r="M1287" s="7">
        <f>IF($A1287="","",L1287-F1287)</f>
        <v/>
      </c>
      <c r="N1287" s="7" t="n"/>
      <c r="O1287" s="7" t="n"/>
      <c r="P1287" s="7" t="n"/>
      <c r="R1287" s="14" t="n"/>
      <c r="V1287">
        <f>IF($A1287="","",IF(COUNTIF($A$2:$A1287,$A1287)=1,1,0))</f>
        <v/>
      </c>
      <c r="W1287">
        <f>IF($V1287=1,SUMPRODUCT(--($Y$2:$Y$1501&lt;$Y1287))+1,"")</f>
        <v/>
      </c>
      <c r="X1287">
        <f>IF($A1287="","",IF(OR($T1287=TRUE(),$T1287="TRUE"),1,0))</f>
        <v/>
      </c>
      <c r="Y1287">
        <f>IF($V1287=1,IFERROR(IF(VALUE($A1287)&lt;100000000,VALUE($A1287),1000000000),IFERROR(IF(VALUE(MID($A1287,2,20))&lt;100000000,VALUE(MID($A1287,2,20)),1000000000),1000000000))+ROW()/100000,"")</f>
        <v/>
      </c>
    </row>
    <row r="1288">
      <c r="F1288" s="7">
        <f>IF($A1288="","",E1288*L1288/100)</f>
        <v/>
      </c>
      <c r="J1288" s="7" t="n"/>
      <c r="K1288" s="7">
        <f>IF($A1288="","",N1288*U1288/100)</f>
        <v/>
      </c>
      <c r="L1288" s="7">
        <f>IF($A1288="","",N1288-K1288)</f>
        <v/>
      </c>
      <c r="M1288" s="7">
        <f>IF($A1288="","",L1288-F1288)</f>
        <v/>
      </c>
      <c r="N1288" s="7" t="n"/>
      <c r="O1288" s="7" t="n"/>
      <c r="P1288" s="7" t="n"/>
      <c r="R1288" s="14" t="n"/>
      <c r="V1288">
        <f>IF($A1288="","",IF(COUNTIF($A$2:$A1288,$A1288)=1,1,0))</f>
        <v/>
      </c>
      <c r="W1288">
        <f>IF($V1288=1,SUMPRODUCT(--($Y$2:$Y$1501&lt;$Y1288))+1,"")</f>
        <v/>
      </c>
      <c r="X1288">
        <f>IF($A1288="","",IF(OR($T1288=TRUE(),$T1288="TRUE"),1,0))</f>
        <v/>
      </c>
      <c r="Y1288">
        <f>IF($V1288=1,IFERROR(IF(VALUE($A1288)&lt;100000000,VALUE($A1288),1000000000),IFERROR(IF(VALUE(MID($A1288,2,20))&lt;100000000,VALUE(MID($A1288,2,20)),1000000000),1000000000))+ROW()/100000,"")</f>
        <v/>
      </c>
    </row>
    <row r="1289">
      <c r="F1289" s="7">
        <f>IF($A1289="","",E1289*L1289/100)</f>
        <v/>
      </c>
      <c r="J1289" s="7" t="n"/>
      <c r="K1289" s="7">
        <f>IF($A1289="","",N1289*U1289/100)</f>
        <v/>
      </c>
      <c r="L1289" s="7">
        <f>IF($A1289="","",N1289-K1289)</f>
        <v/>
      </c>
      <c r="M1289" s="7">
        <f>IF($A1289="","",L1289-F1289)</f>
        <v/>
      </c>
      <c r="N1289" s="7" t="n"/>
      <c r="O1289" s="7" t="n"/>
      <c r="P1289" s="7" t="n"/>
      <c r="R1289" s="14" t="n"/>
      <c r="V1289">
        <f>IF($A1289="","",IF(COUNTIF($A$2:$A1289,$A1289)=1,1,0))</f>
        <v/>
      </c>
      <c r="W1289">
        <f>IF($V1289=1,SUMPRODUCT(--($Y$2:$Y$1501&lt;$Y1289))+1,"")</f>
        <v/>
      </c>
      <c r="X1289">
        <f>IF($A1289="","",IF(OR($T1289=TRUE(),$T1289="TRUE"),1,0))</f>
        <v/>
      </c>
      <c r="Y1289">
        <f>IF($V1289=1,IFERROR(IF(VALUE($A1289)&lt;100000000,VALUE($A1289),1000000000),IFERROR(IF(VALUE(MID($A1289,2,20))&lt;100000000,VALUE(MID($A1289,2,20)),1000000000),1000000000))+ROW()/100000,"")</f>
        <v/>
      </c>
    </row>
    <row r="1290">
      <c r="F1290" s="7">
        <f>IF($A1290="","",E1290*L1290/100)</f>
        <v/>
      </c>
      <c r="J1290" s="7" t="n"/>
      <c r="K1290" s="7">
        <f>IF($A1290="","",N1290*U1290/100)</f>
        <v/>
      </c>
      <c r="L1290" s="7">
        <f>IF($A1290="","",N1290-K1290)</f>
        <v/>
      </c>
      <c r="M1290" s="7">
        <f>IF($A1290="","",L1290-F1290)</f>
        <v/>
      </c>
      <c r="N1290" s="7" t="n"/>
      <c r="O1290" s="7" t="n"/>
      <c r="P1290" s="7" t="n"/>
      <c r="R1290" s="14" t="n"/>
      <c r="V1290">
        <f>IF($A1290="","",IF(COUNTIF($A$2:$A1290,$A1290)=1,1,0))</f>
        <v/>
      </c>
      <c r="W1290">
        <f>IF($V1290=1,SUMPRODUCT(--($Y$2:$Y$1501&lt;$Y1290))+1,"")</f>
        <v/>
      </c>
      <c r="X1290">
        <f>IF($A1290="","",IF(OR($T1290=TRUE(),$T1290="TRUE"),1,0))</f>
        <v/>
      </c>
      <c r="Y1290">
        <f>IF($V1290=1,IFERROR(IF(VALUE($A1290)&lt;100000000,VALUE($A1290),1000000000),IFERROR(IF(VALUE(MID($A1290,2,20))&lt;100000000,VALUE(MID($A1290,2,20)),1000000000),1000000000))+ROW()/100000,"")</f>
        <v/>
      </c>
    </row>
    <row r="1291">
      <c r="F1291" s="7">
        <f>IF($A1291="","",E1291*L1291/100)</f>
        <v/>
      </c>
      <c r="J1291" s="7" t="n"/>
      <c r="K1291" s="7">
        <f>IF($A1291="","",N1291*U1291/100)</f>
        <v/>
      </c>
      <c r="L1291" s="7">
        <f>IF($A1291="","",N1291-K1291)</f>
        <v/>
      </c>
      <c r="M1291" s="7">
        <f>IF($A1291="","",L1291-F1291)</f>
        <v/>
      </c>
      <c r="N1291" s="7" t="n"/>
      <c r="O1291" s="7" t="n"/>
      <c r="P1291" s="7" t="n"/>
      <c r="R1291" s="14" t="n"/>
      <c r="V1291">
        <f>IF($A1291="","",IF(COUNTIF($A$2:$A1291,$A1291)=1,1,0))</f>
        <v/>
      </c>
      <c r="W1291">
        <f>IF($V1291=1,SUMPRODUCT(--($Y$2:$Y$1501&lt;$Y1291))+1,"")</f>
        <v/>
      </c>
      <c r="X1291">
        <f>IF($A1291="","",IF(OR($T1291=TRUE(),$T1291="TRUE"),1,0))</f>
        <v/>
      </c>
      <c r="Y1291">
        <f>IF($V1291=1,IFERROR(IF(VALUE($A1291)&lt;100000000,VALUE($A1291),1000000000),IFERROR(IF(VALUE(MID($A1291,2,20))&lt;100000000,VALUE(MID($A1291,2,20)),1000000000),1000000000))+ROW()/100000,"")</f>
        <v/>
      </c>
    </row>
    <row r="1292">
      <c r="F1292" s="7">
        <f>IF($A1292="","",E1292*L1292/100)</f>
        <v/>
      </c>
      <c r="J1292" s="7" t="n"/>
      <c r="K1292" s="7">
        <f>IF($A1292="","",N1292*U1292/100)</f>
        <v/>
      </c>
      <c r="L1292" s="7">
        <f>IF($A1292="","",N1292-K1292)</f>
        <v/>
      </c>
      <c r="M1292" s="7">
        <f>IF($A1292="","",L1292-F1292)</f>
        <v/>
      </c>
      <c r="N1292" s="7" t="n"/>
      <c r="O1292" s="7" t="n"/>
      <c r="P1292" s="7" t="n"/>
      <c r="R1292" s="14" t="n"/>
      <c r="V1292">
        <f>IF($A1292="","",IF(COUNTIF($A$2:$A1292,$A1292)=1,1,0))</f>
        <v/>
      </c>
      <c r="W1292">
        <f>IF($V1292=1,SUMPRODUCT(--($Y$2:$Y$1501&lt;$Y1292))+1,"")</f>
        <v/>
      </c>
      <c r="X1292">
        <f>IF($A1292="","",IF(OR($T1292=TRUE(),$T1292="TRUE"),1,0))</f>
        <v/>
      </c>
      <c r="Y1292">
        <f>IF($V1292=1,IFERROR(IF(VALUE($A1292)&lt;100000000,VALUE($A1292),1000000000),IFERROR(IF(VALUE(MID($A1292,2,20))&lt;100000000,VALUE(MID($A1292,2,20)),1000000000),1000000000))+ROW()/100000,"")</f>
        <v/>
      </c>
    </row>
    <row r="1293">
      <c r="F1293" s="7">
        <f>IF($A1293="","",E1293*L1293/100)</f>
        <v/>
      </c>
      <c r="J1293" s="7" t="n"/>
      <c r="K1293" s="7">
        <f>IF($A1293="","",N1293*U1293/100)</f>
        <v/>
      </c>
      <c r="L1293" s="7">
        <f>IF($A1293="","",N1293-K1293)</f>
        <v/>
      </c>
      <c r="M1293" s="7">
        <f>IF($A1293="","",L1293-F1293)</f>
        <v/>
      </c>
      <c r="N1293" s="7" t="n"/>
      <c r="O1293" s="7" t="n"/>
      <c r="P1293" s="7" t="n"/>
      <c r="R1293" s="14" t="n"/>
      <c r="V1293">
        <f>IF($A1293="","",IF(COUNTIF($A$2:$A1293,$A1293)=1,1,0))</f>
        <v/>
      </c>
      <c r="W1293">
        <f>IF($V1293=1,SUMPRODUCT(--($Y$2:$Y$1501&lt;$Y1293))+1,"")</f>
        <v/>
      </c>
      <c r="X1293">
        <f>IF($A1293="","",IF(OR($T1293=TRUE(),$T1293="TRUE"),1,0))</f>
        <v/>
      </c>
      <c r="Y1293">
        <f>IF($V1293=1,IFERROR(IF(VALUE($A1293)&lt;100000000,VALUE($A1293),1000000000),IFERROR(IF(VALUE(MID($A1293,2,20))&lt;100000000,VALUE(MID($A1293,2,20)),1000000000),1000000000))+ROW()/100000,"")</f>
        <v/>
      </c>
    </row>
    <row r="1294">
      <c r="F1294" s="7">
        <f>IF($A1294="","",E1294*L1294/100)</f>
        <v/>
      </c>
      <c r="J1294" s="7" t="n"/>
      <c r="K1294" s="7">
        <f>IF($A1294="","",N1294*U1294/100)</f>
        <v/>
      </c>
      <c r="L1294" s="7">
        <f>IF($A1294="","",N1294-K1294)</f>
        <v/>
      </c>
      <c r="M1294" s="7">
        <f>IF($A1294="","",L1294-F1294)</f>
        <v/>
      </c>
      <c r="N1294" s="7" t="n"/>
      <c r="O1294" s="7" t="n"/>
      <c r="P1294" s="7" t="n"/>
      <c r="R1294" s="14" t="n"/>
      <c r="V1294">
        <f>IF($A1294="","",IF(COUNTIF($A$2:$A1294,$A1294)=1,1,0))</f>
        <v/>
      </c>
      <c r="W1294">
        <f>IF($V1294=1,SUMPRODUCT(--($Y$2:$Y$1501&lt;$Y1294))+1,"")</f>
        <v/>
      </c>
      <c r="X1294">
        <f>IF($A1294="","",IF(OR($T1294=TRUE(),$T1294="TRUE"),1,0))</f>
        <v/>
      </c>
      <c r="Y1294">
        <f>IF($V1294=1,IFERROR(IF(VALUE($A1294)&lt;100000000,VALUE($A1294),1000000000),IFERROR(IF(VALUE(MID($A1294,2,20))&lt;100000000,VALUE(MID($A1294,2,20)),1000000000),1000000000))+ROW()/100000,"")</f>
        <v/>
      </c>
    </row>
    <row r="1295">
      <c r="F1295" s="7">
        <f>IF($A1295="","",E1295*L1295/100)</f>
        <v/>
      </c>
      <c r="J1295" s="7" t="n"/>
      <c r="K1295" s="7">
        <f>IF($A1295="","",N1295*U1295/100)</f>
        <v/>
      </c>
      <c r="L1295" s="7">
        <f>IF($A1295="","",N1295-K1295)</f>
        <v/>
      </c>
      <c r="M1295" s="7">
        <f>IF($A1295="","",L1295-F1295)</f>
        <v/>
      </c>
      <c r="N1295" s="7" t="n"/>
      <c r="O1295" s="7" t="n"/>
      <c r="P1295" s="7" t="n"/>
      <c r="R1295" s="14" t="n"/>
      <c r="V1295">
        <f>IF($A1295="","",IF(COUNTIF($A$2:$A1295,$A1295)=1,1,0))</f>
        <v/>
      </c>
      <c r="W1295">
        <f>IF($V1295=1,SUMPRODUCT(--($Y$2:$Y$1501&lt;$Y1295))+1,"")</f>
        <v/>
      </c>
      <c r="X1295">
        <f>IF($A1295="","",IF(OR($T1295=TRUE(),$T1295="TRUE"),1,0))</f>
        <v/>
      </c>
      <c r="Y1295">
        <f>IF($V1295=1,IFERROR(IF(VALUE($A1295)&lt;100000000,VALUE($A1295),1000000000),IFERROR(IF(VALUE(MID($A1295,2,20))&lt;100000000,VALUE(MID($A1295,2,20)),1000000000),1000000000))+ROW()/100000,"")</f>
        <v/>
      </c>
    </row>
    <row r="1296">
      <c r="F1296" s="7">
        <f>IF($A1296="","",E1296*L1296/100)</f>
        <v/>
      </c>
      <c r="J1296" s="7" t="n"/>
      <c r="K1296" s="7">
        <f>IF($A1296="","",N1296*U1296/100)</f>
        <v/>
      </c>
      <c r="L1296" s="7">
        <f>IF($A1296="","",N1296-K1296)</f>
        <v/>
      </c>
      <c r="M1296" s="7">
        <f>IF($A1296="","",L1296-F1296)</f>
        <v/>
      </c>
      <c r="N1296" s="7" t="n"/>
      <c r="O1296" s="7" t="n"/>
      <c r="P1296" s="7" t="n"/>
      <c r="R1296" s="14" t="n"/>
      <c r="V1296">
        <f>IF($A1296="","",IF(COUNTIF($A$2:$A1296,$A1296)=1,1,0))</f>
        <v/>
      </c>
      <c r="W1296">
        <f>IF($V1296=1,SUMPRODUCT(--($Y$2:$Y$1501&lt;$Y1296))+1,"")</f>
        <v/>
      </c>
      <c r="X1296">
        <f>IF($A1296="","",IF(OR($T1296=TRUE(),$T1296="TRUE"),1,0))</f>
        <v/>
      </c>
      <c r="Y1296">
        <f>IF($V1296=1,IFERROR(IF(VALUE($A1296)&lt;100000000,VALUE($A1296),1000000000),IFERROR(IF(VALUE(MID($A1296,2,20))&lt;100000000,VALUE(MID($A1296,2,20)),1000000000),1000000000))+ROW()/100000,"")</f>
        <v/>
      </c>
    </row>
    <row r="1297">
      <c r="F1297" s="7">
        <f>IF($A1297="","",E1297*L1297/100)</f>
        <v/>
      </c>
      <c r="J1297" s="7" t="n"/>
      <c r="K1297" s="7">
        <f>IF($A1297="","",N1297*U1297/100)</f>
        <v/>
      </c>
      <c r="L1297" s="7">
        <f>IF($A1297="","",N1297-K1297)</f>
        <v/>
      </c>
      <c r="M1297" s="7">
        <f>IF($A1297="","",L1297-F1297)</f>
        <v/>
      </c>
      <c r="N1297" s="7" t="n"/>
      <c r="O1297" s="7" t="n"/>
      <c r="P1297" s="7" t="n"/>
      <c r="R1297" s="14" t="n"/>
      <c r="V1297">
        <f>IF($A1297="","",IF(COUNTIF($A$2:$A1297,$A1297)=1,1,0))</f>
        <v/>
      </c>
      <c r="W1297">
        <f>IF($V1297=1,SUMPRODUCT(--($Y$2:$Y$1501&lt;$Y1297))+1,"")</f>
        <v/>
      </c>
      <c r="X1297">
        <f>IF($A1297="","",IF(OR($T1297=TRUE(),$T1297="TRUE"),1,0))</f>
        <v/>
      </c>
      <c r="Y1297">
        <f>IF($V1297=1,IFERROR(IF(VALUE($A1297)&lt;100000000,VALUE($A1297),1000000000),IFERROR(IF(VALUE(MID($A1297,2,20))&lt;100000000,VALUE(MID($A1297,2,20)),1000000000),1000000000))+ROW()/100000,"")</f>
        <v/>
      </c>
    </row>
    <row r="1298">
      <c r="F1298" s="7">
        <f>IF($A1298="","",E1298*L1298/100)</f>
        <v/>
      </c>
      <c r="J1298" s="7" t="n"/>
      <c r="K1298" s="7">
        <f>IF($A1298="","",N1298*U1298/100)</f>
        <v/>
      </c>
      <c r="L1298" s="7">
        <f>IF($A1298="","",N1298-K1298)</f>
        <v/>
      </c>
      <c r="M1298" s="7">
        <f>IF($A1298="","",L1298-F1298)</f>
        <v/>
      </c>
      <c r="N1298" s="7" t="n"/>
      <c r="O1298" s="7" t="n"/>
      <c r="P1298" s="7" t="n"/>
      <c r="R1298" s="14" t="n"/>
      <c r="V1298">
        <f>IF($A1298="","",IF(COUNTIF($A$2:$A1298,$A1298)=1,1,0))</f>
        <v/>
      </c>
      <c r="W1298">
        <f>IF($V1298=1,SUMPRODUCT(--($Y$2:$Y$1501&lt;$Y1298))+1,"")</f>
        <v/>
      </c>
      <c r="X1298">
        <f>IF($A1298="","",IF(OR($T1298=TRUE(),$T1298="TRUE"),1,0))</f>
        <v/>
      </c>
      <c r="Y1298">
        <f>IF($V1298=1,IFERROR(IF(VALUE($A1298)&lt;100000000,VALUE($A1298),1000000000),IFERROR(IF(VALUE(MID($A1298,2,20))&lt;100000000,VALUE(MID($A1298,2,20)),1000000000),1000000000))+ROW()/100000,"")</f>
        <v/>
      </c>
    </row>
    <row r="1299">
      <c r="F1299" s="7">
        <f>IF($A1299="","",E1299*L1299/100)</f>
        <v/>
      </c>
      <c r="J1299" s="7" t="n"/>
      <c r="K1299" s="7">
        <f>IF($A1299="","",N1299*U1299/100)</f>
        <v/>
      </c>
      <c r="L1299" s="7">
        <f>IF($A1299="","",N1299-K1299)</f>
        <v/>
      </c>
      <c r="M1299" s="7">
        <f>IF($A1299="","",L1299-F1299)</f>
        <v/>
      </c>
      <c r="N1299" s="7" t="n"/>
      <c r="O1299" s="7" t="n"/>
      <c r="P1299" s="7" t="n"/>
      <c r="R1299" s="14" t="n"/>
      <c r="V1299">
        <f>IF($A1299="","",IF(COUNTIF($A$2:$A1299,$A1299)=1,1,0))</f>
        <v/>
      </c>
      <c r="W1299">
        <f>IF($V1299=1,SUMPRODUCT(--($Y$2:$Y$1501&lt;$Y1299))+1,"")</f>
        <v/>
      </c>
      <c r="X1299">
        <f>IF($A1299="","",IF(OR($T1299=TRUE(),$T1299="TRUE"),1,0))</f>
        <v/>
      </c>
      <c r="Y1299">
        <f>IF($V1299=1,IFERROR(IF(VALUE($A1299)&lt;100000000,VALUE($A1299),1000000000),IFERROR(IF(VALUE(MID($A1299,2,20))&lt;100000000,VALUE(MID($A1299,2,20)),1000000000),1000000000))+ROW()/100000,"")</f>
        <v/>
      </c>
    </row>
    <row r="1300">
      <c r="F1300" s="7">
        <f>IF($A1300="","",E1300*L1300/100)</f>
        <v/>
      </c>
      <c r="J1300" s="7" t="n"/>
      <c r="K1300" s="7">
        <f>IF($A1300="","",N1300*U1300/100)</f>
        <v/>
      </c>
      <c r="L1300" s="7">
        <f>IF($A1300="","",N1300-K1300)</f>
        <v/>
      </c>
      <c r="M1300" s="7">
        <f>IF($A1300="","",L1300-F1300)</f>
        <v/>
      </c>
      <c r="N1300" s="7" t="n"/>
      <c r="O1300" s="7" t="n"/>
      <c r="P1300" s="7" t="n"/>
      <c r="R1300" s="14" t="n"/>
      <c r="V1300">
        <f>IF($A1300="","",IF(COUNTIF($A$2:$A1300,$A1300)=1,1,0))</f>
        <v/>
      </c>
      <c r="W1300">
        <f>IF($V1300=1,SUMPRODUCT(--($Y$2:$Y$1501&lt;$Y1300))+1,"")</f>
        <v/>
      </c>
      <c r="X1300">
        <f>IF($A1300="","",IF(OR($T1300=TRUE(),$T1300="TRUE"),1,0))</f>
        <v/>
      </c>
      <c r="Y1300">
        <f>IF($V1300=1,IFERROR(IF(VALUE($A1300)&lt;100000000,VALUE($A1300),1000000000),IFERROR(IF(VALUE(MID($A1300,2,20))&lt;100000000,VALUE(MID($A1300,2,20)),1000000000),1000000000))+ROW()/100000,"")</f>
        <v/>
      </c>
    </row>
    <row r="1301">
      <c r="F1301" s="7">
        <f>IF($A1301="","",E1301*L1301/100)</f>
        <v/>
      </c>
      <c r="J1301" s="7" t="n"/>
      <c r="K1301" s="7">
        <f>IF($A1301="","",N1301*U1301/100)</f>
        <v/>
      </c>
      <c r="L1301" s="7">
        <f>IF($A1301="","",N1301-K1301)</f>
        <v/>
      </c>
      <c r="M1301" s="7">
        <f>IF($A1301="","",L1301-F1301)</f>
        <v/>
      </c>
      <c r="N1301" s="7" t="n"/>
      <c r="O1301" s="7" t="n"/>
      <c r="P1301" s="7" t="n"/>
      <c r="R1301" s="14" t="n"/>
      <c r="V1301">
        <f>IF($A1301="","",IF(COUNTIF($A$2:$A1301,$A1301)=1,1,0))</f>
        <v/>
      </c>
      <c r="W1301">
        <f>IF($V1301=1,SUMPRODUCT(--($Y$2:$Y$1501&lt;$Y1301))+1,"")</f>
        <v/>
      </c>
      <c r="X1301">
        <f>IF($A1301="","",IF(OR($T1301=TRUE(),$T1301="TRUE"),1,0))</f>
        <v/>
      </c>
      <c r="Y1301">
        <f>IF($V1301=1,IFERROR(IF(VALUE($A1301)&lt;100000000,VALUE($A1301),1000000000),IFERROR(IF(VALUE(MID($A1301,2,20))&lt;100000000,VALUE(MID($A1301,2,20)),1000000000),1000000000))+ROW()/100000,"")</f>
        <v/>
      </c>
    </row>
    <row r="1302">
      <c r="F1302" s="7">
        <f>IF($A1302="","",E1302*L1302/100)</f>
        <v/>
      </c>
      <c r="J1302" s="7" t="n"/>
      <c r="K1302" s="7">
        <f>IF($A1302="","",N1302*U1302/100)</f>
        <v/>
      </c>
      <c r="L1302" s="7">
        <f>IF($A1302="","",N1302-K1302)</f>
        <v/>
      </c>
      <c r="M1302" s="7">
        <f>IF($A1302="","",L1302-F1302)</f>
        <v/>
      </c>
      <c r="N1302" s="7" t="n"/>
      <c r="O1302" s="7" t="n"/>
      <c r="P1302" s="7" t="n"/>
      <c r="R1302" s="14" t="n"/>
      <c r="V1302">
        <f>IF($A1302="","",IF(COUNTIF($A$2:$A1302,$A1302)=1,1,0))</f>
        <v/>
      </c>
      <c r="W1302">
        <f>IF($V1302=1,SUMPRODUCT(--($Y$2:$Y$1501&lt;$Y1302))+1,"")</f>
        <v/>
      </c>
      <c r="X1302">
        <f>IF($A1302="","",IF(OR($T1302=TRUE(),$T1302="TRUE"),1,0))</f>
        <v/>
      </c>
      <c r="Y1302">
        <f>IF($V1302=1,IFERROR(IF(VALUE($A1302)&lt;100000000,VALUE($A1302),1000000000),IFERROR(IF(VALUE(MID($A1302,2,20))&lt;100000000,VALUE(MID($A1302,2,20)),1000000000),1000000000))+ROW()/100000,"")</f>
        <v/>
      </c>
    </row>
    <row r="1303">
      <c r="F1303" s="7">
        <f>IF($A1303="","",E1303*L1303/100)</f>
        <v/>
      </c>
      <c r="J1303" s="7" t="n"/>
      <c r="K1303" s="7">
        <f>IF($A1303="","",N1303*U1303/100)</f>
        <v/>
      </c>
      <c r="L1303" s="7">
        <f>IF($A1303="","",N1303-K1303)</f>
        <v/>
      </c>
      <c r="M1303" s="7">
        <f>IF($A1303="","",L1303-F1303)</f>
        <v/>
      </c>
      <c r="N1303" s="7" t="n"/>
      <c r="O1303" s="7" t="n"/>
      <c r="P1303" s="7" t="n"/>
      <c r="R1303" s="14" t="n"/>
      <c r="V1303">
        <f>IF($A1303="","",IF(COUNTIF($A$2:$A1303,$A1303)=1,1,0))</f>
        <v/>
      </c>
      <c r="W1303">
        <f>IF($V1303=1,SUMPRODUCT(--($Y$2:$Y$1501&lt;$Y1303))+1,"")</f>
        <v/>
      </c>
      <c r="X1303">
        <f>IF($A1303="","",IF(OR($T1303=TRUE(),$T1303="TRUE"),1,0))</f>
        <v/>
      </c>
      <c r="Y1303">
        <f>IF($V1303=1,IFERROR(IF(VALUE($A1303)&lt;100000000,VALUE($A1303),1000000000),IFERROR(IF(VALUE(MID($A1303,2,20))&lt;100000000,VALUE(MID($A1303,2,20)),1000000000),1000000000))+ROW()/100000,"")</f>
        <v/>
      </c>
    </row>
    <row r="1304">
      <c r="F1304" s="7">
        <f>IF($A1304="","",E1304*L1304/100)</f>
        <v/>
      </c>
      <c r="J1304" s="7" t="n"/>
      <c r="K1304" s="7">
        <f>IF($A1304="","",N1304*U1304/100)</f>
        <v/>
      </c>
      <c r="L1304" s="7">
        <f>IF($A1304="","",N1304-K1304)</f>
        <v/>
      </c>
      <c r="M1304" s="7">
        <f>IF($A1304="","",L1304-F1304)</f>
        <v/>
      </c>
      <c r="N1304" s="7" t="n"/>
      <c r="O1304" s="7" t="n"/>
      <c r="P1304" s="7" t="n"/>
      <c r="R1304" s="14" t="n"/>
      <c r="V1304">
        <f>IF($A1304="","",IF(COUNTIF($A$2:$A1304,$A1304)=1,1,0))</f>
        <v/>
      </c>
      <c r="W1304">
        <f>IF($V1304=1,SUMPRODUCT(--($Y$2:$Y$1501&lt;$Y1304))+1,"")</f>
        <v/>
      </c>
      <c r="X1304">
        <f>IF($A1304="","",IF(OR($T1304=TRUE(),$T1304="TRUE"),1,0))</f>
        <v/>
      </c>
      <c r="Y1304">
        <f>IF($V1304=1,IFERROR(IF(VALUE($A1304)&lt;100000000,VALUE($A1304),1000000000),IFERROR(IF(VALUE(MID($A1304,2,20))&lt;100000000,VALUE(MID($A1304,2,20)),1000000000),1000000000))+ROW()/100000,"")</f>
        <v/>
      </c>
    </row>
    <row r="1305">
      <c r="F1305" s="7">
        <f>IF($A1305="","",E1305*L1305/100)</f>
        <v/>
      </c>
      <c r="J1305" s="7" t="n"/>
      <c r="K1305" s="7">
        <f>IF($A1305="","",N1305*U1305/100)</f>
        <v/>
      </c>
      <c r="L1305" s="7">
        <f>IF($A1305="","",N1305-K1305)</f>
        <v/>
      </c>
      <c r="M1305" s="7">
        <f>IF($A1305="","",L1305-F1305)</f>
        <v/>
      </c>
      <c r="N1305" s="7" t="n"/>
      <c r="O1305" s="7" t="n"/>
      <c r="P1305" s="7" t="n"/>
      <c r="R1305" s="14" t="n"/>
      <c r="V1305">
        <f>IF($A1305="","",IF(COUNTIF($A$2:$A1305,$A1305)=1,1,0))</f>
        <v/>
      </c>
      <c r="W1305">
        <f>IF($V1305=1,SUMPRODUCT(--($Y$2:$Y$1501&lt;$Y1305))+1,"")</f>
        <v/>
      </c>
      <c r="X1305">
        <f>IF($A1305="","",IF(OR($T1305=TRUE(),$T1305="TRUE"),1,0))</f>
        <v/>
      </c>
      <c r="Y1305">
        <f>IF($V1305=1,IFERROR(IF(VALUE($A1305)&lt;100000000,VALUE($A1305),1000000000),IFERROR(IF(VALUE(MID($A1305,2,20))&lt;100000000,VALUE(MID($A1305,2,20)),1000000000),1000000000))+ROW()/100000,"")</f>
        <v/>
      </c>
    </row>
    <row r="1306">
      <c r="F1306" s="7">
        <f>IF($A1306="","",E1306*L1306/100)</f>
        <v/>
      </c>
      <c r="J1306" s="7" t="n"/>
      <c r="K1306" s="7">
        <f>IF($A1306="","",N1306*U1306/100)</f>
        <v/>
      </c>
      <c r="L1306" s="7">
        <f>IF($A1306="","",N1306-K1306)</f>
        <v/>
      </c>
      <c r="M1306" s="7">
        <f>IF($A1306="","",L1306-F1306)</f>
        <v/>
      </c>
      <c r="N1306" s="7" t="n"/>
      <c r="O1306" s="7" t="n"/>
      <c r="P1306" s="7" t="n"/>
      <c r="R1306" s="14" t="n"/>
      <c r="V1306">
        <f>IF($A1306="","",IF(COUNTIF($A$2:$A1306,$A1306)=1,1,0))</f>
        <v/>
      </c>
      <c r="W1306">
        <f>IF($V1306=1,SUMPRODUCT(--($Y$2:$Y$1501&lt;$Y1306))+1,"")</f>
        <v/>
      </c>
      <c r="X1306">
        <f>IF($A1306="","",IF(OR($T1306=TRUE(),$T1306="TRUE"),1,0))</f>
        <v/>
      </c>
      <c r="Y1306">
        <f>IF($V1306=1,IFERROR(IF(VALUE($A1306)&lt;100000000,VALUE($A1306),1000000000),IFERROR(IF(VALUE(MID($A1306,2,20))&lt;100000000,VALUE(MID($A1306,2,20)),1000000000),1000000000))+ROW()/100000,"")</f>
        <v/>
      </c>
    </row>
    <row r="1307">
      <c r="F1307" s="7">
        <f>IF($A1307="","",E1307*L1307/100)</f>
        <v/>
      </c>
      <c r="J1307" s="7" t="n"/>
      <c r="K1307" s="7">
        <f>IF($A1307="","",N1307*U1307/100)</f>
        <v/>
      </c>
      <c r="L1307" s="7">
        <f>IF($A1307="","",N1307-K1307)</f>
        <v/>
      </c>
      <c r="M1307" s="7">
        <f>IF($A1307="","",L1307-F1307)</f>
        <v/>
      </c>
      <c r="N1307" s="7" t="n"/>
      <c r="O1307" s="7" t="n"/>
      <c r="P1307" s="7" t="n"/>
      <c r="R1307" s="14" t="n"/>
      <c r="V1307">
        <f>IF($A1307="","",IF(COUNTIF($A$2:$A1307,$A1307)=1,1,0))</f>
        <v/>
      </c>
      <c r="W1307">
        <f>IF($V1307=1,SUMPRODUCT(--($Y$2:$Y$1501&lt;$Y1307))+1,"")</f>
        <v/>
      </c>
      <c r="X1307">
        <f>IF($A1307="","",IF(OR($T1307=TRUE(),$T1307="TRUE"),1,0))</f>
        <v/>
      </c>
      <c r="Y1307">
        <f>IF($V1307=1,IFERROR(IF(VALUE($A1307)&lt;100000000,VALUE($A1307),1000000000),IFERROR(IF(VALUE(MID($A1307,2,20))&lt;100000000,VALUE(MID($A1307,2,20)),1000000000),1000000000))+ROW()/100000,"")</f>
        <v/>
      </c>
    </row>
    <row r="1308">
      <c r="F1308" s="7">
        <f>IF($A1308="","",E1308*L1308/100)</f>
        <v/>
      </c>
      <c r="J1308" s="7" t="n"/>
      <c r="K1308" s="7">
        <f>IF($A1308="","",N1308*U1308/100)</f>
        <v/>
      </c>
      <c r="L1308" s="7">
        <f>IF($A1308="","",N1308-K1308)</f>
        <v/>
      </c>
      <c r="M1308" s="7">
        <f>IF($A1308="","",L1308-F1308)</f>
        <v/>
      </c>
      <c r="N1308" s="7" t="n"/>
      <c r="O1308" s="7" t="n"/>
      <c r="P1308" s="7" t="n"/>
      <c r="R1308" s="14" t="n"/>
      <c r="V1308">
        <f>IF($A1308="","",IF(COUNTIF($A$2:$A1308,$A1308)=1,1,0))</f>
        <v/>
      </c>
      <c r="W1308">
        <f>IF($V1308=1,SUMPRODUCT(--($Y$2:$Y$1501&lt;$Y1308))+1,"")</f>
        <v/>
      </c>
      <c r="X1308">
        <f>IF($A1308="","",IF(OR($T1308=TRUE(),$T1308="TRUE"),1,0))</f>
        <v/>
      </c>
      <c r="Y1308">
        <f>IF($V1308=1,IFERROR(IF(VALUE($A1308)&lt;100000000,VALUE($A1308),1000000000),IFERROR(IF(VALUE(MID($A1308,2,20))&lt;100000000,VALUE(MID($A1308,2,20)),1000000000),1000000000))+ROW()/100000,"")</f>
        <v/>
      </c>
    </row>
    <row r="1309">
      <c r="F1309" s="7">
        <f>IF($A1309="","",E1309*L1309/100)</f>
        <v/>
      </c>
      <c r="J1309" s="7" t="n"/>
      <c r="K1309" s="7">
        <f>IF($A1309="","",N1309*U1309/100)</f>
        <v/>
      </c>
      <c r="L1309" s="7">
        <f>IF($A1309="","",N1309-K1309)</f>
        <v/>
      </c>
      <c r="M1309" s="7">
        <f>IF($A1309="","",L1309-F1309)</f>
        <v/>
      </c>
      <c r="N1309" s="7" t="n"/>
      <c r="O1309" s="7" t="n"/>
      <c r="P1309" s="7" t="n"/>
      <c r="R1309" s="14" t="n"/>
      <c r="V1309">
        <f>IF($A1309="","",IF(COUNTIF($A$2:$A1309,$A1309)=1,1,0))</f>
        <v/>
      </c>
      <c r="W1309">
        <f>IF($V1309=1,SUMPRODUCT(--($Y$2:$Y$1501&lt;$Y1309))+1,"")</f>
        <v/>
      </c>
      <c r="X1309">
        <f>IF($A1309="","",IF(OR($T1309=TRUE(),$T1309="TRUE"),1,0))</f>
        <v/>
      </c>
      <c r="Y1309">
        <f>IF($V1309=1,IFERROR(IF(VALUE($A1309)&lt;100000000,VALUE($A1309),1000000000),IFERROR(IF(VALUE(MID($A1309,2,20))&lt;100000000,VALUE(MID($A1309,2,20)),1000000000),1000000000))+ROW()/100000,"")</f>
        <v/>
      </c>
    </row>
    <row r="1310">
      <c r="F1310" s="7">
        <f>IF($A1310="","",E1310*L1310/100)</f>
        <v/>
      </c>
      <c r="J1310" s="7" t="n"/>
      <c r="K1310" s="7">
        <f>IF($A1310="","",N1310*U1310/100)</f>
        <v/>
      </c>
      <c r="L1310" s="7">
        <f>IF($A1310="","",N1310-K1310)</f>
        <v/>
      </c>
      <c r="M1310" s="7">
        <f>IF($A1310="","",L1310-F1310)</f>
        <v/>
      </c>
      <c r="N1310" s="7" t="n"/>
      <c r="O1310" s="7" t="n"/>
      <c r="P1310" s="7" t="n"/>
      <c r="R1310" s="14" t="n"/>
      <c r="V1310">
        <f>IF($A1310="","",IF(COUNTIF($A$2:$A1310,$A1310)=1,1,0))</f>
        <v/>
      </c>
      <c r="W1310">
        <f>IF($V1310=1,SUMPRODUCT(--($Y$2:$Y$1501&lt;$Y1310))+1,"")</f>
        <v/>
      </c>
      <c r="X1310">
        <f>IF($A1310="","",IF(OR($T1310=TRUE(),$T1310="TRUE"),1,0))</f>
        <v/>
      </c>
      <c r="Y1310">
        <f>IF($V1310=1,IFERROR(IF(VALUE($A1310)&lt;100000000,VALUE($A1310),1000000000),IFERROR(IF(VALUE(MID($A1310,2,20))&lt;100000000,VALUE(MID($A1310,2,20)),1000000000),1000000000))+ROW()/100000,"")</f>
        <v/>
      </c>
    </row>
    <row r="1311">
      <c r="F1311" s="7">
        <f>IF($A1311="","",E1311*L1311/100)</f>
        <v/>
      </c>
      <c r="J1311" s="7" t="n"/>
      <c r="K1311" s="7">
        <f>IF($A1311="","",N1311*U1311/100)</f>
        <v/>
      </c>
      <c r="L1311" s="7">
        <f>IF($A1311="","",N1311-K1311)</f>
        <v/>
      </c>
      <c r="M1311" s="7">
        <f>IF($A1311="","",L1311-F1311)</f>
        <v/>
      </c>
      <c r="N1311" s="7" t="n"/>
      <c r="O1311" s="7" t="n"/>
      <c r="P1311" s="7" t="n"/>
      <c r="R1311" s="14" t="n"/>
      <c r="V1311">
        <f>IF($A1311="","",IF(COUNTIF($A$2:$A1311,$A1311)=1,1,0))</f>
        <v/>
      </c>
      <c r="W1311">
        <f>IF($V1311=1,SUMPRODUCT(--($Y$2:$Y$1501&lt;$Y1311))+1,"")</f>
        <v/>
      </c>
      <c r="X1311">
        <f>IF($A1311="","",IF(OR($T1311=TRUE(),$T1311="TRUE"),1,0))</f>
        <v/>
      </c>
      <c r="Y1311">
        <f>IF($V1311=1,IFERROR(IF(VALUE($A1311)&lt;100000000,VALUE($A1311),1000000000),IFERROR(IF(VALUE(MID($A1311,2,20))&lt;100000000,VALUE(MID($A1311,2,20)),1000000000),1000000000))+ROW()/100000,"")</f>
        <v/>
      </c>
    </row>
    <row r="1312">
      <c r="F1312" s="7">
        <f>IF($A1312="","",E1312*L1312/100)</f>
        <v/>
      </c>
      <c r="J1312" s="7" t="n"/>
      <c r="K1312" s="7">
        <f>IF($A1312="","",N1312*U1312/100)</f>
        <v/>
      </c>
      <c r="L1312" s="7">
        <f>IF($A1312="","",N1312-K1312)</f>
        <v/>
      </c>
      <c r="M1312" s="7">
        <f>IF($A1312="","",L1312-F1312)</f>
        <v/>
      </c>
      <c r="N1312" s="7" t="n"/>
      <c r="O1312" s="7" t="n"/>
      <c r="P1312" s="7" t="n"/>
      <c r="R1312" s="14" t="n"/>
      <c r="V1312">
        <f>IF($A1312="","",IF(COUNTIF($A$2:$A1312,$A1312)=1,1,0))</f>
        <v/>
      </c>
      <c r="W1312">
        <f>IF($V1312=1,SUMPRODUCT(--($Y$2:$Y$1501&lt;$Y1312))+1,"")</f>
        <v/>
      </c>
      <c r="X1312">
        <f>IF($A1312="","",IF(OR($T1312=TRUE(),$T1312="TRUE"),1,0))</f>
        <v/>
      </c>
      <c r="Y1312">
        <f>IF($V1312=1,IFERROR(IF(VALUE($A1312)&lt;100000000,VALUE($A1312),1000000000),IFERROR(IF(VALUE(MID($A1312,2,20))&lt;100000000,VALUE(MID($A1312,2,20)),1000000000),1000000000))+ROW()/100000,"")</f>
        <v/>
      </c>
    </row>
    <row r="1313">
      <c r="F1313" s="7">
        <f>IF($A1313="","",E1313*L1313/100)</f>
        <v/>
      </c>
      <c r="J1313" s="7" t="n"/>
      <c r="K1313" s="7">
        <f>IF($A1313="","",N1313*U1313/100)</f>
        <v/>
      </c>
      <c r="L1313" s="7">
        <f>IF($A1313="","",N1313-K1313)</f>
        <v/>
      </c>
      <c r="M1313" s="7">
        <f>IF($A1313="","",L1313-F1313)</f>
        <v/>
      </c>
      <c r="N1313" s="7" t="n"/>
      <c r="O1313" s="7" t="n"/>
      <c r="P1313" s="7" t="n"/>
      <c r="R1313" s="14" t="n"/>
      <c r="V1313">
        <f>IF($A1313="","",IF(COUNTIF($A$2:$A1313,$A1313)=1,1,0))</f>
        <v/>
      </c>
      <c r="W1313">
        <f>IF($V1313=1,SUMPRODUCT(--($Y$2:$Y$1501&lt;$Y1313))+1,"")</f>
        <v/>
      </c>
      <c r="X1313">
        <f>IF($A1313="","",IF(OR($T1313=TRUE(),$T1313="TRUE"),1,0))</f>
        <v/>
      </c>
      <c r="Y1313">
        <f>IF($V1313=1,IFERROR(IF(VALUE($A1313)&lt;100000000,VALUE($A1313),1000000000),IFERROR(IF(VALUE(MID($A1313,2,20))&lt;100000000,VALUE(MID($A1313,2,20)),1000000000),1000000000))+ROW()/100000,"")</f>
        <v/>
      </c>
    </row>
    <row r="1314">
      <c r="F1314" s="7">
        <f>IF($A1314="","",E1314*L1314/100)</f>
        <v/>
      </c>
      <c r="J1314" s="7" t="n"/>
      <c r="K1314" s="7">
        <f>IF($A1314="","",N1314*U1314/100)</f>
        <v/>
      </c>
      <c r="L1314" s="7">
        <f>IF($A1314="","",N1314-K1314)</f>
        <v/>
      </c>
      <c r="M1314" s="7">
        <f>IF($A1314="","",L1314-F1314)</f>
        <v/>
      </c>
      <c r="N1314" s="7" t="n"/>
      <c r="O1314" s="7" t="n"/>
      <c r="P1314" s="7" t="n"/>
      <c r="R1314" s="14" t="n"/>
      <c r="V1314">
        <f>IF($A1314="","",IF(COUNTIF($A$2:$A1314,$A1314)=1,1,0))</f>
        <v/>
      </c>
      <c r="W1314">
        <f>IF($V1314=1,SUMPRODUCT(--($Y$2:$Y$1501&lt;$Y1314))+1,"")</f>
        <v/>
      </c>
      <c r="X1314">
        <f>IF($A1314="","",IF(OR($T1314=TRUE(),$T1314="TRUE"),1,0))</f>
        <v/>
      </c>
      <c r="Y1314">
        <f>IF($V1314=1,IFERROR(IF(VALUE($A1314)&lt;100000000,VALUE($A1314),1000000000),IFERROR(IF(VALUE(MID($A1314,2,20))&lt;100000000,VALUE(MID($A1314,2,20)),1000000000),1000000000))+ROW()/100000,"")</f>
        <v/>
      </c>
    </row>
    <row r="1315">
      <c r="F1315" s="7">
        <f>IF($A1315="","",E1315*L1315/100)</f>
        <v/>
      </c>
      <c r="J1315" s="7" t="n"/>
      <c r="K1315" s="7">
        <f>IF($A1315="","",N1315*U1315/100)</f>
        <v/>
      </c>
      <c r="L1315" s="7">
        <f>IF($A1315="","",N1315-K1315)</f>
        <v/>
      </c>
      <c r="M1315" s="7">
        <f>IF($A1315="","",L1315-F1315)</f>
        <v/>
      </c>
      <c r="N1315" s="7" t="n"/>
      <c r="O1315" s="7" t="n"/>
      <c r="P1315" s="7" t="n"/>
      <c r="R1315" s="14" t="n"/>
      <c r="V1315">
        <f>IF($A1315="","",IF(COUNTIF($A$2:$A1315,$A1315)=1,1,0))</f>
        <v/>
      </c>
      <c r="W1315">
        <f>IF($V1315=1,SUMPRODUCT(--($Y$2:$Y$1501&lt;$Y1315))+1,"")</f>
        <v/>
      </c>
      <c r="X1315">
        <f>IF($A1315="","",IF(OR($T1315=TRUE(),$T1315="TRUE"),1,0))</f>
        <v/>
      </c>
      <c r="Y1315">
        <f>IF($V1315=1,IFERROR(IF(VALUE($A1315)&lt;100000000,VALUE($A1315),1000000000),IFERROR(IF(VALUE(MID($A1315,2,20))&lt;100000000,VALUE(MID($A1315,2,20)),1000000000),1000000000))+ROW()/100000,"")</f>
        <v/>
      </c>
    </row>
    <row r="1316">
      <c r="F1316" s="7">
        <f>IF($A1316="","",E1316*L1316/100)</f>
        <v/>
      </c>
      <c r="J1316" s="7" t="n"/>
      <c r="K1316" s="7">
        <f>IF($A1316="","",N1316*U1316/100)</f>
        <v/>
      </c>
      <c r="L1316" s="7">
        <f>IF($A1316="","",N1316-K1316)</f>
        <v/>
      </c>
      <c r="M1316" s="7">
        <f>IF($A1316="","",L1316-F1316)</f>
        <v/>
      </c>
      <c r="N1316" s="7" t="n"/>
      <c r="O1316" s="7" t="n"/>
      <c r="P1316" s="7" t="n"/>
      <c r="R1316" s="14" t="n"/>
      <c r="V1316">
        <f>IF($A1316="","",IF(COUNTIF($A$2:$A1316,$A1316)=1,1,0))</f>
        <v/>
      </c>
      <c r="W1316">
        <f>IF($V1316=1,SUMPRODUCT(--($Y$2:$Y$1501&lt;$Y1316))+1,"")</f>
        <v/>
      </c>
      <c r="X1316">
        <f>IF($A1316="","",IF(OR($T1316=TRUE(),$T1316="TRUE"),1,0))</f>
        <v/>
      </c>
      <c r="Y1316">
        <f>IF($V1316=1,IFERROR(IF(VALUE($A1316)&lt;100000000,VALUE($A1316),1000000000),IFERROR(IF(VALUE(MID($A1316,2,20))&lt;100000000,VALUE(MID($A1316,2,20)),1000000000),1000000000))+ROW()/100000,"")</f>
        <v/>
      </c>
    </row>
    <row r="1317">
      <c r="F1317" s="7">
        <f>IF($A1317="","",E1317*L1317/100)</f>
        <v/>
      </c>
      <c r="J1317" s="7" t="n"/>
      <c r="K1317" s="7">
        <f>IF($A1317="","",N1317*U1317/100)</f>
        <v/>
      </c>
      <c r="L1317" s="7">
        <f>IF($A1317="","",N1317-K1317)</f>
        <v/>
      </c>
      <c r="M1317" s="7">
        <f>IF($A1317="","",L1317-F1317)</f>
        <v/>
      </c>
      <c r="N1317" s="7" t="n"/>
      <c r="O1317" s="7" t="n"/>
      <c r="P1317" s="7" t="n"/>
      <c r="R1317" s="14" t="n"/>
      <c r="V1317">
        <f>IF($A1317="","",IF(COUNTIF($A$2:$A1317,$A1317)=1,1,0))</f>
        <v/>
      </c>
      <c r="W1317">
        <f>IF($V1317=1,SUMPRODUCT(--($Y$2:$Y$1501&lt;$Y1317))+1,"")</f>
        <v/>
      </c>
      <c r="X1317">
        <f>IF($A1317="","",IF(OR($T1317=TRUE(),$T1317="TRUE"),1,0))</f>
        <v/>
      </c>
      <c r="Y1317">
        <f>IF($V1317=1,IFERROR(IF(VALUE($A1317)&lt;100000000,VALUE($A1317),1000000000),IFERROR(IF(VALUE(MID($A1317,2,20))&lt;100000000,VALUE(MID($A1317,2,20)),1000000000),1000000000))+ROW()/100000,"")</f>
        <v/>
      </c>
    </row>
    <row r="1318">
      <c r="F1318" s="7">
        <f>IF($A1318="","",E1318*L1318/100)</f>
        <v/>
      </c>
      <c r="J1318" s="7" t="n"/>
      <c r="K1318" s="7">
        <f>IF($A1318="","",N1318*U1318/100)</f>
        <v/>
      </c>
      <c r="L1318" s="7">
        <f>IF($A1318="","",N1318-K1318)</f>
        <v/>
      </c>
      <c r="M1318" s="7">
        <f>IF($A1318="","",L1318-F1318)</f>
        <v/>
      </c>
      <c r="N1318" s="7" t="n"/>
      <c r="O1318" s="7" t="n"/>
      <c r="P1318" s="7" t="n"/>
      <c r="R1318" s="14" t="n"/>
      <c r="V1318">
        <f>IF($A1318="","",IF(COUNTIF($A$2:$A1318,$A1318)=1,1,0))</f>
        <v/>
      </c>
      <c r="W1318">
        <f>IF($V1318=1,SUMPRODUCT(--($Y$2:$Y$1501&lt;$Y1318))+1,"")</f>
        <v/>
      </c>
      <c r="X1318">
        <f>IF($A1318="","",IF(OR($T1318=TRUE(),$T1318="TRUE"),1,0))</f>
        <v/>
      </c>
      <c r="Y1318">
        <f>IF($V1318=1,IFERROR(IF(VALUE($A1318)&lt;100000000,VALUE($A1318),1000000000),IFERROR(IF(VALUE(MID($A1318,2,20))&lt;100000000,VALUE(MID($A1318,2,20)),1000000000),1000000000))+ROW()/100000,"")</f>
        <v/>
      </c>
    </row>
    <row r="1319">
      <c r="F1319" s="7">
        <f>IF($A1319="","",E1319*L1319/100)</f>
        <v/>
      </c>
      <c r="J1319" s="7" t="n"/>
      <c r="K1319" s="7">
        <f>IF($A1319="","",N1319*U1319/100)</f>
        <v/>
      </c>
      <c r="L1319" s="7">
        <f>IF($A1319="","",N1319-K1319)</f>
        <v/>
      </c>
      <c r="M1319" s="7">
        <f>IF($A1319="","",L1319-F1319)</f>
        <v/>
      </c>
      <c r="N1319" s="7" t="n"/>
      <c r="O1319" s="7" t="n"/>
      <c r="P1319" s="7" t="n"/>
      <c r="R1319" s="14" t="n"/>
      <c r="V1319">
        <f>IF($A1319="","",IF(COUNTIF($A$2:$A1319,$A1319)=1,1,0))</f>
        <v/>
      </c>
      <c r="W1319">
        <f>IF($V1319=1,SUMPRODUCT(--($Y$2:$Y$1501&lt;$Y1319))+1,"")</f>
        <v/>
      </c>
      <c r="X1319">
        <f>IF($A1319="","",IF(OR($T1319=TRUE(),$T1319="TRUE"),1,0))</f>
        <v/>
      </c>
      <c r="Y1319">
        <f>IF($V1319=1,IFERROR(IF(VALUE($A1319)&lt;100000000,VALUE($A1319),1000000000),IFERROR(IF(VALUE(MID($A1319,2,20))&lt;100000000,VALUE(MID($A1319,2,20)),1000000000),1000000000))+ROW()/100000,"")</f>
        <v/>
      </c>
    </row>
    <row r="1320">
      <c r="F1320" s="7">
        <f>IF($A1320="","",E1320*L1320/100)</f>
        <v/>
      </c>
      <c r="J1320" s="7" t="n"/>
      <c r="K1320" s="7">
        <f>IF($A1320="","",N1320*U1320/100)</f>
        <v/>
      </c>
      <c r="L1320" s="7">
        <f>IF($A1320="","",N1320-K1320)</f>
        <v/>
      </c>
      <c r="M1320" s="7">
        <f>IF($A1320="","",L1320-F1320)</f>
        <v/>
      </c>
      <c r="N1320" s="7" t="n"/>
      <c r="O1320" s="7" t="n"/>
      <c r="P1320" s="7" t="n"/>
      <c r="R1320" s="14" t="n"/>
      <c r="V1320">
        <f>IF($A1320="","",IF(COUNTIF($A$2:$A1320,$A1320)=1,1,0))</f>
        <v/>
      </c>
      <c r="W1320">
        <f>IF($V1320=1,SUMPRODUCT(--($Y$2:$Y$1501&lt;$Y1320))+1,"")</f>
        <v/>
      </c>
      <c r="X1320">
        <f>IF($A1320="","",IF(OR($T1320=TRUE(),$T1320="TRUE"),1,0))</f>
        <v/>
      </c>
      <c r="Y1320">
        <f>IF($V1320=1,IFERROR(IF(VALUE($A1320)&lt;100000000,VALUE($A1320),1000000000),IFERROR(IF(VALUE(MID($A1320,2,20))&lt;100000000,VALUE(MID($A1320,2,20)),1000000000),1000000000))+ROW()/100000,"")</f>
        <v/>
      </c>
    </row>
    <row r="1321">
      <c r="F1321" s="7">
        <f>IF($A1321="","",E1321*L1321/100)</f>
        <v/>
      </c>
      <c r="J1321" s="7" t="n"/>
      <c r="K1321" s="7">
        <f>IF($A1321="","",N1321*U1321/100)</f>
        <v/>
      </c>
      <c r="L1321" s="7">
        <f>IF($A1321="","",N1321-K1321)</f>
        <v/>
      </c>
      <c r="M1321" s="7">
        <f>IF($A1321="","",L1321-F1321)</f>
        <v/>
      </c>
      <c r="N1321" s="7" t="n"/>
      <c r="O1321" s="7" t="n"/>
      <c r="P1321" s="7" t="n"/>
      <c r="R1321" s="14" t="n"/>
      <c r="V1321">
        <f>IF($A1321="","",IF(COUNTIF($A$2:$A1321,$A1321)=1,1,0))</f>
        <v/>
      </c>
      <c r="W1321">
        <f>IF($V1321=1,SUMPRODUCT(--($Y$2:$Y$1501&lt;$Y1321))+1,"")</f>
        <v/>
      </c>
      <c r="X1321">
        <f>IF($A1321="","",IF(OR($T1321=TRUE(),$T1321="TRUE"),1,0))</f>
        <v/>
      </c>
      <c r="Y1321">
        <f>IF($V1321=1,IFERROR(IF(VALUE($A1321)&lt;100000000,VALUE($A1321),1000000000),IFERROR(IF(VALUE(MID($A1321,2,20))&lt;100000000,VALUE(MID($A1321,2,20)),1000000000),1000000000))+ROW()/100000,"")</f>
        <v/>
      </c>
    </row>
    <row r="1322">
      <c r="F1322" s="7">
        <f>IF($A1322="","",E1322*L1322/100)</f>
        <v/>
      </c>
      <c r="J1322" s="7" t="n"/>
      <c r="K1322" s="7">
        <f>IF($A1322="","",N1322*U1322/100)</f>
        <v/>
      </c>
      <c r="L1322" s="7">
        <f>IF($A1322="","",N1322-K1322)</f>
        <v/>
      </c>
      <c r="M1322" s="7">
        <f>IF($A1322="","",L1322-F1322)</f>
        <v/>
      </c>
      <c r="N1322" s="7" t="n"/>
      <c r="O1322" s="7" t="n"/>
      <c r="P1322" s="7" t="n"/>
      <c r="R1322" s="14" t="n"/>
      <c r="V1322">
        <f>IF($A1322="","",IF(COUNTIF($A$2:$A1322,$A1322)=1,1,0))</f>
        <v/>
      </c>
      <c r="W1322">
        <f>IF($V1322=1,SUMPRODUCT(--($Y$2:$Y$1501&lt;$Y1322))+1,"")</f>
        <v/>
      </c>
      <c r="X1322">
        <f>IF($A1322="","",IF(OR($T1322=TRUE(),$T1322="TRUE"),1,0))</f>
        <v/>
      </c>
      <c r="Y1322">
        <f>IF($V1322=1,IFERROR(IF(VALUE($A1322)&lt;100000000,VALUE($A1322),1000000000),IFERROR(IF(VALUE(MID($A1322,2,20))&lt;100000000,VALUE(MID($A1322,2,20)),1000000000),1000000000))+ROW()/100000,"")</f>
        <v/>
      </c>
    </row>
    <row r="1323">
      <c r="F1323" s="7">
        <f>IF($A1323="","",E1323*L1323/100)</f>
        <v/>
      </c>
      <c r="J1323" s="7" t="n"/>
      <c r="K1323" s="7">
        <f>IF($A1323="","",N1323*U1323/100)</f>
        <v/>
      </c>
      <c r="L1323" s="7">
        <f>IF($A1323="","",N1323-K1323)</f>
        <v/>
      </c>
      <c r="M1323" s="7">
        <f>IF($A1323="","",L1323-F1323)</f>
        <v/>
      </c>
      <c r="N1323" s="7" t="n"/>
      <c r="O1323" s="7" t="n"/>
      <c r="P1323" s="7" t="n"/>
      <c r="R1323" s="14" t="n"/>
      <c r="V1323">
        <f>IF($A1323="","",IF(COUNTIF($A$2:$A1323,$A1323)=1,1,0))</f>
        <v/>
      </c>
      <c r="W1323">
        <f>IF($V1323=1,SUMPRODUCT(--($Y$2:$Y$1501&lt;$Y1323))+1,"")</f>
        <v/>
      </c>
      <c r="X1323">
        <f>IF($A1323="","",IF(OR($T1323=TRUE(),$T1323="TRUE"),1,0))</f>
        <v/>
      </c>
      <c r="Y1323">
        <f>IF($V1323=1,IFERROR(IF(VALUE($A1323)&lt;100000000,VALUE($A1323),1000000000),IFERROR(IF(VALUE(MID($A1323,2,20))&lt;100000000,VALUE(MID($A1323,2,20)),1000000000),1000000000))+ROW()/100000,"")</f>
        <v/>
      </c>
    </row>
    <row r="1324">
      <c r="F1324" s="7">
        <f>IF($A1324="","",E1324*L1324/100)</f>
        <v/>
      </c>
      <c r="J1324" s="7" t="n"/>
      <c r="K1324" s="7">
        <f>IF($A1324="","",N1324*U1324/100)</f>
        <v/>
      </c>
      <c r="L1324" s="7">
        <f>IF($A1324="","",N1324-K1324)</f>
        <v/>
      </c>
      <c r="M1324" s="7">
        <f>IF($A1324="","",L1324-F1324)</f>
        <v/>
      </c>
      <c r="N1324" s="7" t="n"/>
      <c r="O1324" s="7" t="n"/>
      <c r="P1324" s="7" t="n"/>
      <c r="R1324" s="14" t="n"/>
      <c r="V1324">
        <f>IF($A1324="","",IF(COUNTIF($A$2:$A1324,$A1324)=1,1,0))</f>
        <v/>
      </c>
      <c r="W1324">
        <f>IF($V1324=1,SUMPRODUCT(--($Y$2:$Y$1501&lt;$Y1324))+1,"")</f>
        <v/>
      </c>
      <c r="X1324">
        <f>IF($A1324="","",IF(OR($T1324=TRUE(),$T1324="TRUE"),1,0))</f>
        <v/>
      </c>
      <c r="Y1324">
        <f>IF($V1324=1,IFERROR(IF(VALUE($A1324)&lt;100000000,VALUE($A1324),1000000000),IFERROR(IF(VALUE(MID($A1324,2,20))&lt;100000000,VALUE(MID($A1324,2,20)),1000000000),1000000000))+ROW()/100000,"")</f>
        <v/>
      </c>
    </row>
    <row r="1325">
      <c r="F1325" s="7">
        <f>IF($A1325="","",E1325*L1325/100)</f>
        <v/>
      </c>
      <c r="J1325" s="7" t="n"/>
      <c r="K1325" s="7">
        <f>IF($A1325="","",N1325*U1325/100)</f>
        <v/>
      </c>
      <c r="L1325" s="7">
        <f>IF($A1325="","",N1325-K1325)</f>
        <v/>
      </c>
      <c r="M1325" s="7">
        <f>IF($A1325="","",L1325-F1325)</f>
        <v/>
      </c>
      <c r="N1325" s="7" t="n"/>
      <c r="O1325" s="7" t="n"/>
      <c r="P1325" s="7" t="n"/>
      <c r="R1325" s="14" t="n"/>
      <c r="V1325">
        <f>IF($A1325="","",IF(COUNTIF($A$2:$A1325,$A1325)=1,1,0))</f>
        <v/>
      </c>
      <c r="W1325">
        <f>IF($V1325=1,SUMPRODUCT(--($Y$2:$Y$1501&lt;$Y1325))+1,"")</f>
        <v/>
      </c>
      <c r="X1325">
        <f>IF($A1325="","",IF(OR($T1325=TRUE(),$T1325="TRUE"),1,0))</f>
        <v/>
      </c>
      <c r="Y1325">
        <f>IF($V1325=1,IFERROR(IF(VALUE($A1325)&lt;100000000,VALUE($A1325),1000000000),IFERROR(IF(VALUE(MID($A1325,2,20))&lt;100000000,VALUE(MID($A1325,2,20)),1000000000),1000000000))+ROW()/100000,"")</f>
        <v/>
      </c>
    </row>
    <row r="1326">
      <c r="F1326" s="7">
        <f>IF($A1326="","",E1326*L1326/100)</f>
        <v/>
      </c>
      <c r="J1326" s="7" t="n"/>
      <c r="K1326" s="7">
        <f>IF($A1326="","",N1326*U1326/100)</f>
        <v/>
      </c>
      <c r="L1326" s="7">
        <f>IF($A1326="","",N1326-K1326)</f>
        <v/>
      </c>
      <c r="M1326" s="7">
        <f>IF($A1326="","",L1326-F1326)</f>
        <v/>
      </c>
      <c r="N1326" s="7" t="n"/>
      <c r="O1326" s="7" t="n"/>
      <c r="P1326" s="7" t="n"/>
      <c r="R1326" s="14" t="n"/>
      <c r="V1326">
        <f>IF($A1326="","",IF(COUNTIF($A$2:$A1326,$A1326)=1,1,0))</f>
        <v/>
      </c>
      <c r="W1326">
        <f>IF($V1326=1,SUMPRODUCT(--($Y$2:$Y$1501&lt;$Y1326))+1,"")</f>
        <v/>
      </c>
      <c r="X1326">
        <f>IF($A1326="","",IF(OR($T1326=TRUE(),$T1326="TRUE"),1,0))</f>
        <v/>
      </c>
      <c r="Y1326">
        <f>IF($V1326=1,IFERROR(IF(VALUE($A1326)&lt;100000000,VALUE($A1326),1000000000),IFERROR(IF(VALUE(MID($A1326,2,20))&lt;100000000,VALUE(MID($A1326,2,20)),1000000000),1000000000))+ROW()/100000,"")</f>
        <v/>
      </c>
    </row>
    <row r="1327">
      <c r="F1327" s="7">
        <f>IF($A1327="","",E1327*L1327/100)</f>
        <v/>
      </c>
      <c r="J1327" s="7" t="n"/>
      <c r="K1327" s="7">
        <f>IF($A1327="","",N1327*U1327/100)</f>
        <v/>
      </c>
      <c r="L1327" s="7">
        <f>IF($A1327="","",N1327-K1327)</f>
        <v/>
      </c>
      <c r="M1327" s="7">
        <f>IF($A1327="","",L1327-F1327)</f>
        <v/>
      </c>
      <c r="N1327" s="7" t="n"/>
      <c r="O1327" s="7" t="n"/>
      <c r="P1327" s="7" t="n"/>
      <c r="R1327" s="14" t="n"/>
      <c r="V1327">
        <f>IF($A1327="","",IF(COUNTIF($A$2:$A1327,$A1327)=1,1,0))</f>
        <v/>
      </c>
      <c r="W1327">
        <f>IF($V1327=1,SUMPRODUCT(--($Y$2:$Y$1501&lt;$Y1327))+1,"")</f>
        <v/>
      </c>
      <c r="X1327">
        <f>IF($A1327="","",IF(OR($T1327=TRUE(),$T1327="TRUE"),1,0))</f>
        <v/>
      </c>
      <c r="Y1327">
        <f>IF($V1327=1,IFERROR(IF(VALUE($A1327)&lt;100000000,VALUE($A1327),1000000000),IFERROR(IF(VALUE(MID($A1327,2,20))&lt;100000000,VALUE(MID($A1327,2,20)),1000000000),1000000000))+ROW()/100000,"")</f>
        <v/>
      </c>
    </row>
    <row r="1328">
      <c r="F1328" s="7">
        <f>IF($A1328="","",E1328*L1328/100)</f>
        <v/>
      </c>
      <c r="J1328" s="7" t="n"/>
      <c r="K1328" s="7">
        <f>IF($A1328="","",N1328*U1328/100)</f>
        <v/>
      </c>
      <c r="L1328" s="7">
        <f>IF($A1328="","",N1328-K1328)</f>
        <v/>
      </c>
      <c r="M1328" s="7">
        <f>IF($A1328="","",L1328-F1328)</f>
        <v/>
      </c>
      <c r="N1328" s="7" t="n"/>
      <c r="O1328" s="7" t="n"/>
      <c r="P1328" s="7" t="n"/>
      <c r="R1328" s="14" t="n"/>
      <c r="V1328">
        <f>IF($A1328="","",IF(COUNTIF($A$2:$A1328,$A1328)=1,1,0))</f>
        <v/>
      </c>
      <c r="W1328">
        <f>IF($V1328=1,SUMPRODUCT(--($Y$2:$Y$1501&lt;$Y1328))+1,"")</f>
        <v/>
      </c>
      <c r="X1328">
        <f>IF($A1328="","",IF(OR($T1328=TRUE(),$T1328="TRUE"),1,0))</f>
        <v/>
      </c>
      <c r="Y1328">
        <f>IF($V1328=1,IFERROR(IF(VALUE($A1328)&lt;100000000,VALUE($A1328),1000000000),IFERROR(IF(VALUE(MID($A1328,2,20))&lt;100000000,VALUE(MID($A1328,2,20)),1000000000),1000000000))+ROW()/100000,"")</f>
        <v/>
      </c>
    </row>
    <row r="1329">
      <c r="F1329" s="7">
        <f>IF($A1329="","",E1329*L1329/100)</f>
        <v/>
      </c>
      <c r="J1329" s="7" t="n"/>
      <c r="K1329" s="7">
        <f>IF($A1329="","",N1329*U1329/100)</f>
        <v/>
      </c>
      <c r="L1329" s="7">
        <f>IF($A1329="","",N1329-K1329)</f>
        <v/>
      </c>
      <c r="M1329" s="7">
        <f>IF($A1329="","",L1329-F1329)</f>
        <v/>
      </c>
      <c r="N1329" s="7" t="n"/>
      <c r="O1329" s="7" t="n"/>
      <c r="P1329" s="7" t="n"/>
      <c r="R1329" s="14" t="n"/>
      <c r="V1329">
        <f>IF($A1329="","",IF(COUNTIF($A$2:$A1329,$A1329)=1,1,0))</f>
        <v/>
      </c>
      <c r="W1329">
        <f>IF($V1329=1,SUMPRODUCT(--($Y$2:$Y$1501&lt;$Y1329))+1,"")</f>
        <v/>
      </c>
      <c r="X1329">
        <f>IF($A1329="","",IF(OR($T1329=TRUE(),$T1329="TRUE"),1,0))</f>
        <v/>
      </c>
      <c r="Y1329">
        <f>IF($V1329=1,IFERROR(IF(VALUE($A1329)&lt;100000000,VALUE($A1329),1000000000),IFERROR(IF(VALUE(MID($A1329,2,20))&lt;100000000,VALUE(MID($A1329,2,20)),1000000000),1000000000))+ROW()/100000,"")</f>
        <v/>
      </c>
    </row>
    <row r="1330">
      <c r="F1330" s="7">
        <f>IF($A1330="","",E1330*L1330/100)</f>
        <v/>
      </c>
      <c r="J1330" s="7" t="n"/>
      <c r="K1330" s="7">
        <f>IF($A1330="","",N1330*U1330/100)</f>
        <v/>
      </c>
      <c r="L1330" s="7">
        <f>IF($A1330="","",N1330-K1330)</f>
        <v/>
      </c>
      <c r="M1330" s="7">
        <f>IF($A1330="","",L1330-F1330)</f>
        <v/>
      </c>
      <c r="N1330" s="7" t="n"/>
      <c r="O1330" s="7" t="n"/>
      <c r="P1330" s="7" t="n"/>
      <c r="R1330" s="14" t="n"/>
      <c r="V1330">
        <f>IF($A1330="","",IF(COUNTIF($A$2:$A1330,$A1330)=1,1,0))</f>
        <v/>
      </c>
      <c r="W1330">
        <f>IF($V1330=1,SUMPRODUCT(--($Y$2:$Y$1501&lt;$Y1330))+1,"")</f>
        <v/>
      </c>
      <c r="X1330">
        <f>IF($A1330="","",IF(OR($T1330=TRUE(),$T1330="TRUE"),1,0))</f>
        <v/>
      </c>
      <c r="Y1330">
        <f>IF($V1330=1,IFERROR(IF(VALUE($A1330)&lt;100000000,VALUE($A1330),1000000000),IFERROR(IF(VALUE(MID($A1330,2,20))&lt;100000000,VALUE(MID($A1330,2,20)),1000000000),1000000000))+ROW()/100000,"")</f>
        <v/>
      </c>
    </row>
    <row r="1331">
      <c r="F1331" s="7">
        <f>IF($A1331="","",E1331*L1331/100)</f>
        <v/>
      </c>
      <c r="J1331" s="7" t="n"/>
      <c r="K1331" s="7">
        <f>IF($A1331="","",N1331*U1331/100)</f>
        <v/>
      </c>
      <c r="L1331" s="7">
        <f>IF($A1331="","",N1331-K1331)</f>
        <v/>
      </c>
      <c r="M1331" s="7">
        <f>IF($A1331="","",L1331-F1331)</f>
        <v/>
      </c>
      <c r="N1331" s="7" t="n"/>
      <c r="O1331" s="7" t="n"/>
      <c r="P1331" s="7" t="n"/>
      <c r="R1331" s="14" t="n"/>
      <c r="V1331">
        <f>IF($A1331="","",IF(COUNTIF($A$2:$A1331,$A1331)=1,1,0))</f>
        <v/>
      </c>
      <c r="W1331">
        <f>IF($V1331=1,SUMPRODUCT(--($Y$2:$Y$1501&lt;$Y1331))+1,"")</f>
        <v/>
      </c>
      <c r="X1331">
        <f>IF($A1331="","",IF(OR($T1331=TRUE(),$T1331="TRUE"),1,0))</f>
        <v/>
      </c>
      <c r="Y1331">
        <f>IF($V1331=1,IFERROR(IF(VALUE($A1331)&lt;100000000,VALUE($A1331),1000000000),IFERROR(IF(VALUE(MID($A1331,2,20))&lt;100000000,VALUE(MID($A1331,2,20)),1000000000),1000000000))+ROW()/100000,"")</f>
        <v/>
      </c>
    </row>
    <row r="1332">
      <c r="F1332" s="7">
        <f>IF($A1332="","",E1332*L1332/100)</f>
        <v/>
      </c>
      <c r="J1332" s="7" t="n"/>
      <c r="K1332" s="7">
        <f>IF($A1332="","",N1332*U1332/100)</f>
        <v/>
      </c>
      <c r="L1332" s="7">
        <f>IF($A1332="","",N1332-K1332)</f>
        <v/>
      </c>
      <c r="M1332" s="7">
        <f>IF($A1332="","",L1332-F1332)</f>
        <v/>
      </c>
      <c r="N1332" s="7" t="n"/>
      <c r="O1332" s="7" t="n"/>
      <c r="P1332" s="7" t="n"/>
      <c r="R1332" s="14" t="n"/>
      <c r="V1332">
        <f>IF($A1332="","",IF(COUNTIF($A$2:$A1332,$A1332)=1,1,0))</f>
        <v/>
      </c>
      <c r="W1332">
        <f>IF($V1332=1,SUMPRODUCT(--($Y$2:$Y$1501&lt;$Y1332))+1,"")</f>
        <v/>
      </c>
      <c r="X1332">
        <f>IF($A1332="","",IF(OR($T1332=TRUE(),$T1332="TRUE"),1,0))</f>
        <v/>
      </c>
      <c r="Y1332">
        <f>IF($V1332=1,IFERROR(IF(VALUE($A1332)&lt;100000000,VALUE($A1332),1000000000),IFERROR(IF(VALUE(MID($A1332,2,20))&lt;100000000,VALUE(MID($A1332,2,20)),1000000000),1000000000))+ROW()/100000,"")</f>
        <v/>
      </c>
    </row>
    <row r="1333">
      <c r="F1333" s="7">
        <f>IF($A1333="","",E1333*L1333/100)</f>
        <v/>
      </c>
      <c r="J1333" s="7" t="n"/>
      <c r="K1333" s="7">
        <f>IF($A1333="","",N1333*U1333/100)</f>
        <v/>
      </c>
      <c r="L1333" s="7">
        <f>IF($A1333="","",N1333-K1333)</f>
        <v/>
      </c>
      <c r="M1333" s="7">
        <f>IF($A1333="","",L1333-F1333)</f>
        <v/>
      </c>
      <c r="N1333" s="7" t="n"/>
      <c r="O1333" s="7" t="n"/>
      <c r="P1333" s="7" t="n"/>
      <c r="R1333" s="14" t="n"/>
      <c r="V1333">
        <f>IF($A1333="","",IF(COUNTIF($A$2:$A1333,$A1333)=1,1,0))</f>
        <v/>
      </c>
      <c r="W1333">
        <f>IF($V1333=1,SUMPRODUCT(--($Y$2:$Y$1501&lt;$Y1333))+1,"")</f>
        <v/>
      </c>
      <c r="X1333">
        <f>IF($A1333="","",IF(OR($T1333=TRUE(),$T1333="TRUE"),1,0))</f>
        <v/>
      </c>
      <c r="Y1333">
        <f>IF($V1333=1,IFERROR(IF(VALUE($A1333)&lt;100000000,VALUE($A1333),1000000000),IFERROR(IF(VALUE(MID($A1333,2,20))&lt;100000000,VALUE(MID($A1333,2,20)),1000000000),1000000000))+ROW()/100000,"")</f>
        <v/>
      </c>
    </row>
    <row r="1334">
      <c r="F1334" s="7">
        <f>IF($A1334="","",E1334*L1334/100)</f>
        <v/>
      </c>
      <c r="J1334" s="7" t="n"/>
      <c r="K1334" s="7">
        <f>IF($A1334="","",N1334*U1334/100)</f>
        <v/>
      </c>
      <c r="L1334" s="7">
        <f>IF($A1334="","",N1334-K1334)</f>
        <v/>
      </c>
      <c r="M1334" s="7">
        <f>IF($A1334="","",L1334-F1334)</f>
        <v/>
      </c>
      <c r="N1334" s="7" t="n"/>
      <c r="O1334" s="7" t="n"/>
      <c r="P1334" s="7" t="n"/>
      <c r="R1334" s="14" t="n"/>
      <c r="V1334">
        <f>IF($A1334="","",IF(COUNTIF($A$2:$A1334,$A1334)=1,1,0))</f>
        <v/>
      </c>
      <c r="W1334">
        <f>IF($V1334=1,SUMPRODUCT(--($Y$2:$Y$1501&lt;$Y1334))+1,"")</f>
        <v/>
      </c>
      <c r="X1334">
        <f>IF($A1334="","",IF(OR($T1334=TRUE(),$T1334="TRUE"),1,0))</f>
        <v/>
      </c>
      <c r="Y1334">
        <f>IF($V1334=1,IFERROR(IF(VALUE($A1334)&lt;100000000,VALUE($A1334),1000000000),IFERROR(IF(VALUE(MID($A1334,2,20))&lt;100000000,VALUE(MID($A1334,2,20)),1000000000),1000000000))+ROW()/100000,"")</f>
        <v/>
      </c>
    </row>
    <row r="1335">
      <c r="F1335" s="7">
        <f>IF($A1335="","",E1335*L1335/100)</f>
        <v/>
      </c>
      <c r="J1335" s="7" t="n"/>
      <c r="K1335" s="7">
        <f>IF($A1335="","",N1335*U1335/100)</f>
        <v/>
      </c>
      <c r="L1335" s="7">
        <f>IF($A1335="","",N1335-K1335)</f>
        <v/>
      </c>
      <c r="M1335" s="7">
        <f>IF($A1335="","",L1335-F1335)</f>
        <v/>
      </c>
      <c r="N1335" s="7" t="n"/>
      <c r="O1335" s="7" t="n"/>
      <c r="P1335" s="7" t="n"/>
      <c r="R1335" s="14" t="n"/>
      <c r="V1335">
        <f>IF($A1335="","",IF(COUNTIF($A$2:$A1335,$A1335)=1,1,0))</f>
        <v/>
      </c>
      <c r="W1335">
        <f>IF($V1335=1,SUMPRODUCT(--($Y$2:$Y$1501&lt;$Y1335))+1,"")</f>
        <v/>
      </c>
      <c r="X1335">
        <f>IF($A1335="","",IF(OR($T1335=TRUE(),$T1335="TRUE"),1,0))</f>
        <v/>
      </c>
      <c r="Y1335">
        <f>IF($V1335=1,IFERROR(IF(VALUE($A1335)&lt;100000000,VALUE($A1335),1000000000),IFERROR(IF(VALUE(MID($A1335,2,20))&lt;100000000,VALUE(MID($A1335,2,20)),1000000000),1000000000))+ROW()/100000,"")</f>
        <v/>
      </c>
    </row>
    <row r="1336">
      <c r="F1336" s="7">
        <f>IF($A1336="","",E1336*L1336/100)</f>
        <v/>
      </c>
      <c r="J1336" s="7" t="n"/>
      <c r="K1336" s="7">
        <f>IF($A1336="","",N1336*U1336/100)</f>
        <v/>
      </c>
      <c r="L1336" s="7">
        <f>IF($A1336="","",N1336-K1336)</f>
        <v/>
      </c>
      <c r="M1336" s="7">
        <f>IF($A1336="","",L1336-F1336)</f>
        <v/>
      </c>
      <c r="N1336" s="7" t="n"/>
      <c r="O1336" s="7" t="n"/>
      <c r="P1336" s="7" t="n"/>
      <c r="R1336" s="14" t="n"/>
      <c r="V1336">
        <f>IF($A1336="","",IF(COUNTIF($A$2:$A1336,$A1336)=1,1,0))</f>
        <v/>
      </c>
      <c r="W1336">
        <f>IF($V1336=1,SUMPRODUCT(--($Y$2:$Y$1501&lt;$Y1336))+1,"")</f>
        <v/>
      </c>
      <c r="X1336">
        <f>IF($A1336="","",IF(OR($T1336=TRUE(),$T1336="TRUE"),1,0))</f>
        <v/>
      </c>
      <c r="Y1336">
        <f>IF($V1336=1,IFERROR(IF(VALUE($A1336)&lt;100000000,VALUE($A1336),1000000000),IFERROR(IF(VALUE(MID($A1336,2,20))&lt;100000000,VALUE(MID($A1336,2,20)),1000000000),1000000000))+ROW()/100000,"")</f>
        <v/>
      </c>
    </row>
    <row r="1337">
      <c r="F1337" s="7">
        <f>IF($A1337="","",E1337*L1337/100)</f>
        <v/>
      </c>
      <c r="J1337" s="7" t="n"/>
      <c r="K1337" s="7">
        <f>IF($A1337="","",N1337*U1337/100)</f>
        <v/>
      </c>
      <c r="L1337" s="7">
        <f>IF($A1337="","",N1337-K1337)</f>
        <v/>
      </c>
      <c r="M1337" s="7">
        <f>IF($A1337="","",L1337-F1337)</f>
        <v/>
      </c>
      <c r="N1337" s="7" t="n"/>
      <c r="O1337" s="7" t="n"/>
      <c r="P1337" s="7" t="n"/>
      <c r="R1337" s="14" t="n"/>
      <c r="V1337">
        <f>IF($A1337="","",IF(COUNTIF($A$2:$A1337,$A1337)=1,1,0))</f>
        <v/>
      </c>
      <c r="W1337">
        <f>IF($V1337=1,SUMPRODUCT(--($Y$2:$Y$1501&lt;$Y1337))+1,"")</f>
        <v/>
      </c>
      <c r="X1337">
        <f>IF($A1337="","",IF(OR($T1337=TRUE(),$T1337="TRUE"),1,0))</f>
        <v/>
      </c>
      <c r="Y1337">
        <f>IF($V1337=1,IFERROR(IF(VALUE($A1337)&lt;100000000,VALUE($A1337),1000000000),IFERROR(IF(VALUE(MID($A1337,2,20))&lt;100000000,VALUE(MID($A1337,2,20)),1000000000),1000000000))+ROW()/100000,"")</f>
        <v/>
      </c>
    </row>
    <row r="1338">
      <c r="F1338" s="7">
        <f>IF($A1338="","",E1338*L1338/100)</f>
        <v/>
      </c>
      <c r="J1338" s="7" t="n"/>
      <c r="K1338" s="7">
        <f>IF($A1338="","",N1338*U1338/100)</f>
        <v/>
      </c>
      <c r="L1338" s="7">
        <f>IF($A1338="","",N1338-K1338)</f>
        <v/>
      </c>
      <c r="M1338" s="7">
        <f>IF($A1338="","",L1338-F1338)</f>
        <v/>
      </c>
      <c r="N1338" s="7" t="n"/>
      <c r="O1338" s="7" t="n"/>
      <c r="P1338" s="7" t="n"/>
      <c r="R1338" s="14" t="n"/>
      <c r="V1338">
        <f>IF($A1338="","",IF(COUNTIF($A$2:$A1338,$A1338)=1,1,0))</f>
        <v/>
      </c>
      <c r="W1338">
        <f>IF($V1338=1,SUMPRODUCT(--($Y$2:$Y$1501&lt;$Y1338))+1,"")</f>
        <v/>
      </c>
      <c r="X1338">
        <f>IF($A1338="","",IF(OR($T1338=TRUE(),$T1338="TRUE"),1,0))</f>
        <v/>
      </c>
      <c r="Y1338">
        <f>IF($V1338=1,IFERROR(IF(VALUE($A1338)&lt;100000000,VALUE($A1338),1000000000),IFERROR(IF(VALUE(MID($A1338,2,20))&lt;100000000,VALUE(MID($A1338,2,20)),1000000000),1000000000))+ROW()/100000,"")</f>
        <v/>
      </c>
    </row>
    <row r="1339">
      <c r="F1339" s="7">
        <f>IF($A1339="","",E1339*L1339/100)</f>
        <v/>
      </c>
      <c r="J1339" s="7" t="n"/>
      <c r="K1339" s="7">
        <f>IF($A1339="","",N1339*U1339/100)</f>
        <v/>
      </c>
      <c r="L1339" s="7">
        <f>IF($A1339="","",N1339-K1339)</f>
        <v/>
      </c>
      <c r="M1339" s="7">
        <f>IF($A1339="","",L1339-F1339)</f>
        <v/>
      </c>
      <c r="N1339" s="7" t="n"/>
      <c r="O1339" s="7" t="n"/>
      <c r="P1339" s="7" t="n"/>
      <c r="R1339" s="14" t="n"/>
      <c r="V1339">
        <f>IF($A1339="","",IF(COUNTIF($A$2:$A1339,$A1339)=1,1,0))</f>
        <v/>
      </c>
      <c r="W1339">
        <f>IF($V1339=1,SUMPRODUCT(--($Y$2:$Y$1501&lt;$Y1339))+1,"")</f>
        <v/>
      </c>
      <c r="X1339">
        <f>IF($A1339="","",IF(OR($T1339=TRUE(),$T1339="TRUE"),1,0))</f>
        <v/>
      </c>
      <c r="Y1339">
        <f>IF($V1339=1,IFERROR(IF(VALUE($A1339)&lt;100000000,VALUE($A1339),1000000000),IFERROR(IF(VALUE(MID($A1339,2,20))&lt;100000000,VALUE(MID($A1339,2,20)),1000000000),1000000000))+ROW()/100000,"")</f>
        <v/>
      </c>
    </row>
    <row r="1340">
      <c r="F1340" s="7">
        <f>IF($A1340="","",E1340*L1340/100)</f>
        <v/>
      </c>
      <c r="J1340" s="7" t="n"/>
      <c r="K1340" s="7">
        <f>IF($A1340="","",N1340*U1340/100)</f>
        <v/>
      </c>
      <c r="L1340" s="7">
        <f>IF($A1340="","",N1340-K1340)</f>
        <v/>
      </c>
      <c r="M1340" s="7">
        <f>IF($A1340="","",L1340-F1340)</f>
        <v/>
      </c>
      <c r="N1340" s="7" t="n"/>
      <c r="O1340" s="7" t="n"/>
      <c r="P1340" s="7" t="n"/>
      <c r="R1340" s="14" t="n"/>
      <c r="V1340">
        <f>IF($A1340="","",IF(COUNTIF($A$2:$A1340,$A1340)=1,1,0))</f>
        <v/>
      </c>
      <c r="W1340">
        <f>IF($V1340=1,SUMPRODUCT(--($Y$2:$Y$1501&lt;$Y1340))+1,"")</f>
        <v/>
      </c>
      <c r="X1340">
        <f>IF($A1340="","",IF(OR($T1340=TRUE(),$T1340="TRUE"),1,0))</f>
        <v/>
      </c>
      <c r="Y1340">
        <f>IF($V1340=1,IFERROR(IF(VALUE($A1340)&lt;100000000,VALUE($A1340),1000000000),IFERROR(IF(VALUE(MID($A1340,2,20))&lt;100000000,VALUE(MID($A1340,2,20)),1000000000),1000000000))+ROW()/100000,"")</f>
        <v/>
      </c>
    </row>
    <row r="1341">
      <c r="F1341" s="7">
        <f>IF($A1341="","",E1341*L1341/100)</f>
        <v/>
      </c>
      <c r="J1341" s="7" t="n"/>
      <c r="K1341" s="7">
        <f>IF($A1341="","",N1341*U1341/100)</f>
        <v/>
      </c>
      <c r="L1341" s="7">
        <f>IF($A1341="","",N1341-K1341)</f>
        <v/>
      </c>
      <c r="M1341" s="7">
        <f>IF($A1341="","",L1341-F1341)</f>
        <v/>
      </c>
      <c r="N1341" s="7" t="n"/>
      <c r="O1341" s="7" t="n"/>
      <c r="P1341" s="7" t="n"/>
      <c r="R1341" s="14" t="n"/>
      <c r="V1341">
        <f>IF($A1341="","",IF(COUNTIF($A$2:$A1341,$A1341)=1,1,0))</f>
        <v/>
      </c>
      <c r="W1341">
        <f>IF($V1341=1,SUMPRODUCT(--($Y$2:$Y$1501&lt;$Y1341))+1,"")</f>
        <v/>
      </c>
      <c r="X1341">
        <f>IF($A1341="","",IF(OR($T1341=TRUE(),$T1341="TRUE"),1,0))</f>
        <v/>
      </c>
      <c r="Y1341">
        <f>IF($V1341=1,IFERROR(IF(VALUE($A1341)&lt;100000000,VALUE($A1341),1000000000),IFERROR(IF(VALUE(MID($A1341,2,20))&lt;100000000,VALUE(MID($A1341,2,20)),1000000000),1000000000))+ROW()/100000,"")</f>
        <v/>
      </c>
    </row>
    <row r="1342">
      <c r="F1342" s="7">
        <f>IF($A1342="","",E1342*L1342/100)</f>
        <v/>
      </c>
      <c r="J1342" s="7" t="n"/>
      <c r="K1342" s="7">
        <f>IF($A1342="","",N1342*U1342/100)</f>
        <v/>
      </c>
      <c r="L1342" s="7">
        <f>IF($A1342="","",N1342-K1342)</f>
        <v/>
      </c>
      <c r="M1342" s="7">
        <f>IF($A1342="","",L1342-F1342)</f>
        <v/>
      </c>
      <c r="N1342" s="7" t="n"/>
      <c r="O1342" s="7" t="n"/>
      <c r="P1342" s="7" t="n"/>
      <c r="R1342" s="14" t="n"/>
      <c r="V1342">
        <f>IF($A1342="","",IF(COUNTIF($A$2:$A1342,$A1342)=1,1,0))</f>
        <v/>
      </c>
      <c r="W1342">
        <f>IF($V1342=1,SUMPRODUCT(--($Y$2:$Y$1501&lt;$Y1342))+1,"")</f>
        <v/>
      </c>
      <c r="X1342">
        <f>IF($A1342="","",IF(OR($T1342=TRUE(),$T1342="TRUE"),1,0))</f>
        <v/>
      </c>
      <c r="Y1342">
        <f>IF($V1342=1,IFERROR(IF(VALUE($A1342)&lt;100000000,VALUE($A1342),1000000000),IFERROR(IF(VALUE(MID($A1342,2,20))&lt;100000000,VALUE(MID($A1342,2,20)),1000000000),1000000000))+ROW()/100000,"")</f>
        <v/>
      </c>
    </row>
    <row r="1343">
      <c r="F1343" s="7">
        <f>IF($A1343="","",E1343*L1343/100)</f>
        <v/>
      </c>
      <c r="J1343" s="7" t="n"/>
      <c r="K1343" s="7">
        <f>IF($A1343="","",N1343*U1343/100)</f>
        <v/>
      </c>
      <c r="L1343" s="7">
        <f>IF($A1343="","",N1343-K1343)</f>
        <v/>
      </c>
      <c r="M1343" s="7">
        <f>IF($A1343="","",L1343-F1343)</f>
        <v/>
      </c>
      <c r="N1343" s="7" t="n"/>
      <c r="O1343" s="7" t="n"/>
      <c r="P1343" s="7" t="n"/>
      <c r="R1343" s="14" t="n"/>
      <c r="V1343">
        <f>IF($A1343="","",IF(COUNTIF($A$2:$A1343,$A1343)=1,1,0))</f>
        <v/>
      </c>
      <c r="W1343">
        <f>IF($V1343=1,SUMPRODUCT(--($Y$2:$Y$1501&lt;$Y1343))+1,"")</f>
        <v/>
      </c>
      <c r="X1343">
        <f>IF($A1343="","",IF(OR($T1343=TRUE(),$T1343="TRUE"),1,0))</f>
        <v/>
      </c>
      <c r="Y1343">
        <f>IF($V1343=1,IFERROR(IF(VALUE($A1343)&lt;100000000,VALUE($A1343),1000000000),IFERROR(IF(VALUE(MID($A1343,2,20))&lt;100000000,VALUE(MID($A1343,2,20)),1000000000),1000000000))+ROW()/100000,"")</f>
        <v/>
      </c>
    </row>
    <row r="1344">
      <c r="F1344" s="7">
        <f>IF($A1344="","",E1344*L1344/100)</f>
        <v/>
      </c>
      <c r="J1344" s="7" t="n"/>
      <c r="K1344" s="7">
        <f>IF($A1344="","",N1344*U1344/100)</f>
        <v/>
      </c>
      <c r="L1344" s="7">
        <f>IF($A1344="","",N1344-K1344)</f>
        <v/>
      </c>
      <c r="M1344" s="7">
        <f>IF($A1344="","",L1344-F1344)</f>
        <v/>
      </c>
      <c r="N1344" s="7" t="n"/>
      <c r="O1344" s="7" t="n"/>
      <c r="P1344" s="7" t="n"/>
      <c r="R1344" s="14" t="n"/>
      <c r="V1344">
        <f>IF($A1344="","",IF(COUNTIF($A$2:$A1344,$A1344)=1,1,0))</f>
        <v/>
      </c>
      <c r="W1344">
        <f>IF($V1344=1,SUMPRODUCT(--($Y$2:$Y$1501&lt;$Y1344))+1,"")</f>
        <v/>
      </c>
      <c r="X1344">
        <f>IF($A1344="","",IF(OR($T1344=TRUE(),$T1344="TRUE"),1,0))</f>
        <v/>
      </c>
      <c r="Y1344">
        <f>IF($V1344=1,IFERROR(IF(VALUE($A1344)&lt;100000000,VALUE($A1344),1000000000),IFERROR(IF(VALUE(MID($A1344,2,20))&lt;100000000,VALUE(MID($A1344,2,20)),1000000000),1000000000))+ROW()/100000,"")</f>
        <v/>
      </c>
    </row>
    <row r="1345">
      <c r="F1345" s="7">
        <f>IF($A1345="","",E1345*L1345/100)</f>
        <v/>
      </c>
      <c r="J1345" s="7" t="n"/>
      <c r="K1345" s="7">
        <f>IF($A1345="","",N1345*U1345/100)</f>
        <v/>
      </c>
      <c r="L1345" s="7">
        <f>IF($A1345="","",N1345-K1345)</f>
        <v/>
      </c>
      <c r="M1345" s="7">
        <f>IF($A1345="","",L1345-F1345)</f>
        <v/>
      </c>
      <c r="N1345" s="7" t="n"/>
      <c r="O1345" s="7" t="n"/>
      <c r="P1345" s="7" t="n"/>
      <c r="R1345" s="14" t="n"/>
      <c r="V1345">
        <f>IF($A1345="","",IF(COUNTIF($A$2:$A1345,$A1345)=1,1,0))</f>
        <v/>
      </c>
      <c r="W1345">
        <f>IF($V1345=1,SUMPRODUCT(--($Y$2:$Y$1501&lt;$Y1345))+1,"")</f>
        <v/>
      </c>
      <c r="X1345">
        <f>IF($A1345="","",IF(OR($T1345=TRUE(),$T1345="TRUE"),1,0))</f>
        <v/>
      </c>
      <c r="Y1345">
        <f>IF($V1345=1,IFERROR(IF(VALUE($A1345)&lt;100000000,VALUE($A1345),1000000000),IFERROR(IF(VALUE(MID($A1345,2,20))&lt;100000000,VALUE(MID($A1345,2,20)),1000000000),1000000000))+ROW()/100000,"")</f>
        <v/>
      </c>
    </row>
    <row r="1346">
      <c r="F1346" s="7">
        <f>IF($A1346="","",E1346*L1346/100)</f>
        <v/>
      </c>
      <c r="J1346" s="7" t="n"/>
      <c r="K1346" s="7">
        <f>IF($A1346="","",N1346*U1346/100)</f>
        <v/>
      </c>
      <c r="L1346" s="7">
        <f>IF($A1346="","",N1346-K1346)</f>
        <v/>
      </c>
      <c r="M1346" s="7">
        <f>IF($A1346="","",L1346-F1346)</f>
        <v/>
      </c>
      <c r="N1346" s="7" t="n"/>
      <c r="O1346" s="7" t="n"/>
      <c r="P1346" s="7" t="n"/>
      <c r="R1346" s="14" t="n"/>
      <c r="V1346">
        <f>IF($A1346="","",IF(COUNTIF($A$2:$A1346,$A1346)=1,1,0))</f>
        <v/>
      </c>
      <c r="W1346">
        <f>IF($V1346=1,SUMPRODUCT(--($Y$2:$Y$1501&lt;$Y1346))+1,"")</f>
        <v/>
      </c>
      <c r="X1346">
        <f>IF($A1346="","",IF(OR($T1346=TRUE(),$T1346="TRUE"),1,0))</f>
        <v/>
      </c>
      <c r="Y1346">
        <f>IF($V1346=1,IFERROR(IF(VALUE($A1346)&lt;100000000,VALUE($A1346),1000000000),IFERROR(IF(VALUE(MID($A1346,2,20))&lt;100000000,VALUE(MID($A1346,2,20)),1000000000),1000000000))+ROW()/100000,"")</f>
        <v/>
      </c>
    </row>
    <row r="1347">
      <c r="F1347" s="7">
        <f>IF($A1347="","",E1347*L1347/100)</f>
        <v/>
      </c>
      <c r="J1347" s="7" t="n"/>
      <c r="K1347" s="7">
        <f>IF($A1347="","",N1347*U1347/100)</f>
        <v/>
      </c>
      <c r="L1347" s="7">
        <f>IF($A1347="","",N1347-K1347)</f>
        <v/>
      </c>
      <c r="M1347" s="7">
        <f>IF($A1347="","",L1347-F1347)</f>
        <v/>
      </c>
      <c r="N1347" s="7" t="n"/>
      <c r="O1347" s="7" t="n"/>
      <c r="P1347" s="7" t="n"/>
      <c r="R1347" s="14" t="n"/>
      <c r="V1347">
        <f>IF($A1347="","",IF(COUNTIF($A$2:$A1347,$A1347)=1,1,0))</f>
        <v/>
      </c>
      <c r="W1347">
        <f>IF($V1347=1,SUMPRODUCT(--($Y$2:$Y$1501&lt;$Y1347))+1,"")</f>
        <v/>
      </c>
      <c r="X1347">
        <f>IF($A1347="","",IF(OR($T1347=TRUE(),$T1347="TRUE"),1,0))</f>
        <v/>
      </c>
      <c r="Y1347">
        <f>IF($V1347=1,IFERROR(IF(VALUE($A1347)&lt;100000000,VALUE($A1347),1000000000),IFERROR(IF(VALUE(MID($A1347,2,20))&lt;100000000,VALUE(MID($A1347,2,20)),1000000000),1000000000))+ROW()/100000,"")</f>
        <v/>
      </c>
    </row>
    <row r="1348">
      <c r="F1348" s="7">
        <f>IF($A1348="","",E1348*L1348/100)</f>
        <v/>
      </c>
      <c r="J1348" s="7" t="n"/>
      <c r="K1348" s="7">
        <f>IF($A1348="","",N1348*U1348/100)</f>
        <v/>
      </c>
      <c r="L1348" s="7">
        <f>IF($A1348="","",N1348-K1348)</f>
        <v/>
      </c>
      <c r="M1348" s="7">
        <f>IF($A1348="","",L1348-F1348)</f>
        <v/>
      </c>
      <c r="N1348" s="7" t="n"/>
      <c r="O1348" s="7" t="n"/>
      <c r="P1348" s="7" t="n"/>
      <c r="R1348" s="14" t="n"/>
      <c r="V1348">
        <f>IF($A1348="","",IF(COUNTIF($A$2:$A1348,$A1348)=1,1,0))</f>
        <v/>
      </c>
      <c r="W1348">
        <f>IF($V1348=1,SUMPRODUCT(--($Y$2:$Y$1501&lt;$Y1348))+1,"")</f>
        <v/>
      </c>
      <c r="X1348">
        <f>IF($A1348="","",IF(OR($T1348=TRUE(),$T1348="TRUE"),1,0))</f>
        <v/>
      </c>
      <c r="Y1348">
        <f>IF($V1348=1,IFERROR(IF(VALUE($A1348)&lt;100000000,VALUE($A1348),1000000000),IFERROR(IF(VALUE(MID($A1348,2,20))&lt;100000000,VALUE(MID($A1348,2,20)),1000000000),1000000000))+ROW()/100000,"")</f>
        <v/>
      </c>
    </row>
    <row r="1349">
      <c r="F1349" s="7">
        <f>IF($A1349="","",E1349*L1349/100)</f>
        <v/>
      </c>
      <c r="J1349" s="7" t="n"/>
      <c r="K1349" s="7">
        <f>IF($A1349="","",N1349*U1349/100)</f>
        <v/>
      </c>
      <c r="L1349" s="7">
        <f>IF($A1349="","",N1349-K1349)</f>
        <v/>
      </c>
      <c r="M1349" s="7">
        <f>IF($A1349="","",L1349-F1349)</f>
        <v/>
      </c>
      <c r="N1349" s="7" t="n"/>
      <c r="O1349" s="7" t="n"/>
      <c r="P1349" s="7" t="n"/>
      <c r="R1349" s="14" t="n"/>
      <c r="V1349">
        <f>IF($A1349="","",IF(COUNTIF($A$2:$A1349,$A1349)=1,1,0))</f>
        <v/>
      </c>
      <c r="W1349">
        <f>IF($V1349=1,SUMPRODUCT(--($Y$2:$Y$1501&lt;$Y1349))+1,"")</f>
        <v/>
      </c>
      <c r="X1349">
        <f>IF($A1349="","",IF(OR($T1349=TRUE(),$T1349="TRUE"),1,0))</f>
        <v/>
      </c>
      <c r="Y1349">
        <f>IF($V1349=1,IFERROR(IF(VALUE($A1349)&lt;100000000,VALUE($A1349),1000000000),IFERROR(IF(VALUE(MID($A1349,2,20))&lt;100000000,VALUE(MID($A1349,2,20)),1000000000),1000000000))+ROW()/100000,"")</f>
        <v/>
      </c>
    </row>
    <row r="1350">
      <c r="F1350" s="7">
        <f>IF($A1350="","",E1350*L1350/100)</f>
        <v/>
      </c>
      <c r="J1350" s="7" t="n"/>
      <c r="K1350" s="7">
        <f>IF($A1350="","",N1350*U1350/100)</f>
        <v/>
      </c>
      <c r="L1350" s="7">
        <f>IF($A1350="","",N1350-K1350)</f>
        <v/>
      </c>
      <c r="M1350" s="7">
        <f>IF($A1350="","",L1350-F1350)</f>
        <v/>
      </c>
      <c r="N1350" s="7" t="n"/>
      <c r="O1350" s="7" t="n"/>
      <c r="P1350" s="7" t="n"/>
      <c r="R1350" s="14" t="n"/>
      <c r="V1350">
        <f>IF($A1350="","",IF(COUNTIF($A$2:$A1350,$A1350)=1,1,0))</f>
        <v/>
      </c>
      <c r="W1350">
        <f>IF($V1350=1,SUMPRODUCT(--($Y$2:$Y$1501&lt;$Y1350))+1,"")</f>
        <v/>
      </c>
      <c r="X1350">
        <f>IF($A1350="","",IF(OR($T1350=TRUE(),$T1350="TRUE"),1,0))</f>
        <v/>
      </c>
      <c r="Y1350">
        <f>IF($V1350=1,IFERROR(IF(VALUE($A1350)&lt;100000000,VALUE($A1350),1000000000),IFERROR(IF(VALUE(MID($A1350,2,20))&lt;100000000,VALUE(MID($A1350,2,20)),1000000000),1000000000))+ROW()/100000,"")</f>
        <v/>
      </c>
    </row>
    <row r="1351">
      <c r="F1351" s="7">
        <f>IF($A1351="","",E1351*L1351/100)</f>
        <v/>
      </c>
      <c r="J1351" s="7" t="n"/>
      <c r="K1351" s="7">
        <f>IF($A1351="","",N1351*U1351/100)</f>
        <v/>
      </c>
      <c r="L1351" s="7">
        <f>IF($A1351="","",N1351-K1351)</f>
        <v/>
      </c>
      <c r="M1351" s="7">
        <f>IF($A1351="","",L1351-F1351)</f>
        <v/>
      </c>
      <c r="N1351" s="7" t="n"/>
      <c r="O1351" s="7" t="n"/>
      <c r="P1351" s="7" t="n"/>
      <c r="R1351" s="14" t="n"/>
      <c r="V1351">
        <f>IF($A1351="","",IF(COUNTIF($A$2:$A1351,$A1351)=1,1,0))</f>
        <v/>
      </c>
      <c r="W1351">
        <f>IF($V1351=1,SUMPRODUCT(--($Y$2:$Y$1501&lt;$Y1351))+1,"")</f>
        <v/>
      </c>
      <c r="X1351">
        <f>IF($A1351="","",IF(OR($T1351=TRUE(),$T1351="TRUE"),1,0))</f>
        <v/>
      </c>
      <c r="Y1351">
        <f>IF($V1351=1,IFERROR(IF(VALUE($A1351)&lt;100000000,VALUE($A1351),1000000000),IFERROR(IF(VALUE(MID($A1351,2,20))&lt;100000000,VALUE(MID($A1351,2,20)),1000000000),1000000000))+ROW()/100000,"")</f>
        <v/>
      </c>
    </row>
    <row r="1352">
      <c r="F1352" s="7">
        <f>IF($A1352="","",E1352*L1352/100)</f>
        <v/>
      </c>
      <c r="J1352" s="7" t="n"/>
      <c r="K1352" s="7">
        <f>IF($A1352="","",N1352*U1352/100)</f>
        <v/>
      </c>
      <c r="L1352" s="7">
        <f>IF($A1352="","",N1352-K1352)</f>
        <v/>
      </c>
      <c r="M1352" s="7">
        <f>IF($A1352="","",L1352-F1352)</f>
        <v/>
      </c>
      <c r="N1352" s="7" t="n"/>
      <c r="O1352" s="7" t="n"/>
      <c r="P1352" s="7" t="n"/>
      <c r="R1352" s="14" t="n"/>
      <c r="V1352">
        <f>IF($A1352="","",IF(COUNTIF($A$2:$A1352,$A1352)=1,1,0))</f>
        <v/>
      </c>
      <c r="W1352">
        <f>IF($V1352=1,SUMPRODUCT(--($Y$2:$Y$1501&lt;$Y1352))+1,"")</f>
        <v/>
      </c>
      <c r="X1352">
        <f>IF($A1352="","",IF(OR($T1352=TRUE(),$T1352="TRUE"),1,0))</f>
        <v/>
      </c>
      <c r="Y1352">
        <f>IF($V1352=1,IFERROR(IF(VALUE($A1352)&lt;100000000,VALUE($A1352),1000000000),IFERROR(IF(VALUE(MID($A1352,2,20))&lt;100000000,VALUE(MID($A1352,2,20)),1000000000),1000000000))+ROW()/100000,"")</f>
        <v/>
      </c>
    </row>
    <row r="1353">
      <c r="F1353" s="7">
        <f>IF($A1353="","",E1353*L1353/100)</f>
        <v/>
      </c>
      <c r="J1353" s="7" t="n"/>
      <c r="K1353" s="7">
        <f>IF($A1353="","",N1353*U1353/100)</f>
        <v/>
      </c>
      <c r="L1353" s="7">
        <f>IF($A1353="","",N1353-K1353)</f>
        <v/>
      </c>
      <c r="M1353" s="7">
        <f>IF($A1353="","",L1353-F1353)</f>
        <v/>
      </c>
      <c r="N1353" s="7" t="n"/>
      <c r="O1353" s="7" t="n"/>
      <c r="P1353" s="7" t="n"/>
      <c r="R1353" s="14" t="n"/>
      <c r="V1353">
        <f>IF($A1353="","",IF(COUNTIF($A$2:$A1353,$A1353)=1,1,0))</f>
        <v/>
      </c>
      <c r="W1353">
        <f>IF($V1353=1,SUMPRODUCT(--($Y$2:$Y$1501&lt;$Y1353))+1,"")</f>
        <v/>
      </c>
      <c r="X1353">
        <f>IF($A1353="","",IF(OR($T1353=TRUE(),$T1353="TRUE"),1,0))</f>
        <v/>
      </c>
      <c r="Y1353">
        <f>IF($V1353=1,IFERROR(IF(VALUE($A1353)&lt;100000000,VALUE($A1353),1000000000),IFERROR(IF(VALUE(MID($A1353,2,20))&lt;100000000,VALUE(MID($A1353,2,20)),1000000000),1000000000))+ROW()/100000,"")</f>
        <v/>
      </c>
    </row>
    <row r="1354">
      <c r="F1354" s="7">
        <f>IF($A1354="","",E1354*L1354/100)</f>
        <v/>
      </c>
      <c r="J1354" s="7" t="n"/>
      <c r="K1354" s="7">
        <f>IF($A1354="","",N1354*U1354/100)</f>
        <v/>
      </c>
      <c r="L1354" s="7">
        <f>IF($A1354="","",N1354-K1354)</f>
        <v/>
      </c>
      <c r="M1354" s="7">
        <f>IF($A1354="","",L1354-F1354)</f>
        <v/>
      </c>
      <c r="N1354" s="7" t="n"/>
      <c r="O1354" s="7" t="n"/>
      <c r="P1354" s="7" t="n"/>
      <c r="R1354" s="14" t="n"/>
      <c r="V1354">
        <f>IF($A1354="","",IF(COUNTIF($A$2:$A1354,$A1354)=1,1,0))</f>
        <v/>
      </c>
      <c r="W1354">
        <f>IF($V1354=1,SUMPRODUCT(--($Y$2:$Y$1501&lt;$Y1354))+1,"")</f>
        <v/>
      </c>
      <c r="X1354">
        <f>IF($A1354="","",IF(OR($T1354=TRUE(),$T1354="TRUE"),1,0))</f>
        <v/>
      </c>
      <c r="Y1354">
        <f>IF($V1354=1,IFERROR(IF(VALUE($A1354)&lt;100000000,VALUE($A1354),1000000000),IFERROR(IF(VALUE(MID($A1354,2,20))&lt;100000000,VALUE(MID($A1354,2,20)),1000000000),1000000000))+ROW()/100000,"")</f>
        <v/>
      </c>
    </row>
    <row r="1355">
      <c r="F1355" s="7">
        <f>IF($A1355="","",E1355*L1355/100)</f>
        <v/>
      </c>
      <c r="J1355" s="7" t="n"/>
      <c r="K1355" s="7">
        <f>IF($A1355="","",N1355*U1355/100)</f>
        <v/>
      </c>
      <c r="L1355" s="7">
        <f>IF($A1355="","",N1355-K1355)</f>
        <v/>
      </c>
      <c r="M1355" s="7">
        <f>IF($A1355="","",L1355-F1355)</f>
        <v/>
      </c>
      <c r="N1355" s="7" t="n"/>
      <c r="O1355" s="7" t="n"/>
      <c r="P1355" s="7" t="n"/>
      <c r="R1355" s="14" t="n"/>
      <c r="V1355">
        <f>IF($A1355="","",IF(COUNTIF($A$2:$A1355,$A1355)=1,1,0))</f>
        <v/>
      </c>
      <c r="W1355">
        <f>IF($V1355=1,SUMPRODUCT(--($Y$2:$Y$1501&lt;$Y1355))+1,"")</f>
        <v/>
      </c>
      <c r="X1355">
        <f>IF($A1355="","",IF(OR($T1355=TRUE(),$T1355="TRUE"),1,0))</f>
        <v/>
      </c>
      <c r="Y1355">
        <f>IF($V1355=1,IFERROR(IF(VALUE($A1355)&lt;100000000,VALUE($A1355),1000000000),IFERROR(IF(VALUE(MID($A1355,2,20))&lt;100000000,VALUE(MID($A1355,2,20)),1000000000),1000000000))+ROW()/100000,"")</f>
        <v/>
      </c>
    </row>
    <row r="1356">
      <c r="F1356" s="7">
        <f>IF($A1356="","",E1356*L1356/100)</f>
        <v/>
      </c>
      <c r="J1356" s="7" t="n"/>
      <c r="K1356" s="7">
        <f>IF($A1356="","",N1356*U1356/100)</f>
        <v/>
      </c>
      <c r="L1356" s="7">
        <f>IF($A1356="","",N1356-K1356)</f>
        <v/>
      </c>
      <c r="M1356" s="7">
        <f>IF($A1356="","",L1356-F1356)</f>
        <v/>
      </c>
      <c r="N1356" s="7" t="n"/>
      <c r="O1356" s="7" t="n"/>
      <c r="P1356" s="7" t="n"/>
      <c r="R1356" s="14" t="n"/>
      <c r="V1356">
        <f>IF($A1356="","",IF(COUNTIF($A$2:$A1356,$A1356)=1,1,0))</f>
        <v/>
      </c>
      <c r="W1356">
        <f>IF($V1356=1,SUMPRODUCT(--($Y$2:$Y$1501&lt;$Y1356))+1,"")</f>
        <v/>
      </c>
      <c r="X1356">
        <f>IF($A1356="","",IF(OR($T1356=TRUE(),$T1356="TRUE"),1,0))</f>
        <v/>
      </c>
      <c r="Y1356">
        <f>IF($V1356=1,IFERROR(IF(VALUE($A1356)&lt;100000000,VALUE($A1356),1000000000),IFERROR(IF(VALUE(MID($A1356,2,20))&lt;100000000,VALUE(MID($A1356,2,20)),1000000000),1000000000))+ROW()/100000,"")</f>
        <v/>
      </c>
    </row>
    <row r="1357">
      <c r="F1357" s="7">
        <f>IF($A1357="","",E1357*L1357/100)</f>
        <v/>
      </c>
      <c r="J1357" s="7" t="n"/>
      <c r="K1357" s="7">
        <f>IF($A1357="","",N1357*U1357/100)</f>
        <v/>
      </c>
      <c r="L1357" s="7">
        <f>IF($A1357="","",N1357-K1357)</f>
        <v/>
      </c>
      <c r="M1357" s="7">
        <f>IF($A1357="","",L1357-F1357)</f>
        <v/>
      </c>
      <c r="N1357" s="7" t="n"/>
      <c r="O1357" s="7" t="n"/>
      <c r="P1357" s="7" t="n"/>
      <c r="R1357" s="14" t="n"/>
      <c r="V1357">
        <f>IF($A1357="","",IF(COUNTIF($A$2:$A1357,$A1357)=1,1,0))</f>
        <v/>
      </c>
      <c r="W1357">
        <f>IF($V1357=1,SUMPRODUCT(--($Y$2:$Y$1501&lt;$Y1357))+1,"")</f>
        <v/>
      </c>
      <c r="X1357">
        <f>IF($A1357="","",IF(OR($T1357=TRUE(),$T1357="TRUE"),1,0))</f>
        <v/>
      </c>
      <c r="Y1357">
        <f>IF($V1357=1,IFERROR(IF(VALUE($A1357)&lt;100000000,VALUE($A1357),1000000000),IFERROR(IF(VALUE(MID($A1357,2,20))&lt;100000000,VALUE(MID($A1357,2,20)),1000000000),1000000000))+ROW()/100000,"")</f>
        <v/>
      </c>
    </row>
    <row r="1358">
      <c r="F1358" s="7">
        <f>IF($A1358="","",E1358*L1358/100)</f>
        <v/>
      </c>
      <c r="J1358" s="7" t="n"/>
      <c r="K1358" s="7">
        <f>IF($A1358="","",N1358*U1358/100)</f>
        <v/>
      </c>
      <c r="L1358" s="7">
        <f>IF($A1358="","",N1358-K1358)</f>
        <v/>
      </c>
      <c r="M1358" s="7">
        <f>IF($A1358="","",L1358-F1358)</f>
        <v/>
      </c>
      <c r="N1358" s="7" t="n"/>
      <c r="O1358" s="7" t="n"/>
      <c r="P1358" s="7" t="n"/>
      <c r="R1358" s="14" t="n"/>
      <c r="V1358">
        <f>IF($A1358="","",IF(COUNTIF($A$2:$A1358,$A1358)=1,1,0))</f>
        <v/>
      </c>
      <c r="W1358">
        <f>IF($V1358=1,SUMPRODUCT(--($Y$2:$Y$1501&lt;$Y1358))+1,"")</f>
        <v/>
      </c>
      <c r="X1358">
        <f>IF($A1358="","",IF(OR($T1358=TRUE(),$T1358="TRUE"),1,0))</f>
        <v/>
      </c>
      <c r="Y1358">
        <f>IF($V1358=1,IFERROR(IF(VALUE($A1358)&lt;100000000,VALUE($A1358),1000000000),IFERROR(IF(VALUE(MID($A1358,2,20))&lt;100000000,VALUE(MID($A1358,2,20)),1000000000),1000000000))+ROW()/100000,"")</f>
        <v/>
      </c>
    </row>
    <row r="1359">
      <c r="F1359" s="7">
        <f>IF($A1359="","",E1359*L1359/100)</f>
        <v/>
      </c>
      <c r="J1359" s="7" t="n"/>
      <c r="K1359" s="7">
        <f>IF($A1359="","",N1359*U1359/100)</f>
        <v/>
      </c>
      <c r="L1359" s="7">
        <f>IF($A1359="","",N1359-K1359)</f>
        <v/>
      </c>
      <c r="M1359" s="7">
        <f>IF($A1359="","",L1359-F1359)</f>
        <v/>
      </c>
      <c r="N1359" s="7" t="n"/>
      <c r="O1359" s="7" t="n"/>
      <c r="P1359" s="7" t="n"/>
      <c r="R1359" s="14" t="n"/>
      <c r="V1359">
        <f>IF($A1359="","",IF(COUNTIF($A$2:$A1359,$A1359)=1,1,0))</f>
        <v/>
      </c>
      <c r="W1359">
        <f>IF($V1359=1,SUMPRODUCT(--($Y$2:$Y$1501&lt;$Y1359))+1,"")</f>
        <v/>
      </c>
      <c r="X1359">
        <f>IF($A1359="","",IF(OR($T1359=TRUE(),$T1359="TRUE"),1,0))</f>
        <v/>
      </c>
      <c r="Y1359">
        <f>IF($V1359=1,IFERROR(IF(VALUE($A1359)&lt;100000000,VALUE($A1359),1000000000),IFERROR(IF(VALUE(MID($A1359,2,20))&lt;100000000,VALUE(MID($A1359,2,20)),1000000000),1000000000))+ROW()/100000,"")</f>
        <v/>
      </c>
    </row>
    <row r="1360">
      <c r="F1360" s="7">
        <f>IF($A1360="","",E1360*L1360/100)</f>
        <v/>
      </c>
      <c r="J1360" s="7" t="n"/>
      <c r="K1360" s="7">
        <f>IF($A1360="","",N1360*U1360/100)</f>
        <v/>
      </c>
      <c r="L1360" s="7">
        <f>IF($A1360="","",N1360-K1360)</f>
        <v/>
      </c>
      <c r="M1360" s="7">
        <f>IF($A1360="","",L1360-F1360)</f>
        <v/>
      </c>
      <c r="N1360" s="7" t="n"/>
      <c r="O1360" s="7" t="n"/>
      <c r="P1360" s="7" t="n"/>
      <c r="R1360" s="14" t="n"/>
      <c r="V1360">
        <f>IF($A1360="","",IF(COUNTIF($A$2:$A1360,$A1360)=1,1,0))</f>
        <v/>
      </c>
      <c r="W1360">
        <f>IF($V1360=1,SUMPRODUCT(--($Y$2:$Y$1501&lt;$Y1360))+1,"")</f>
        <v/>
      </c>
      <c r="X1360">
        <f>IF($A1360="","",IF(OR($T1360=TRUE(),$T1360="TRUE"),1,0))</f>
        <v/>
      </c>
      <c r="Y1360">
        <f>IF($V1360=1,IFERROR(IF(VALUE($A1360)&lt;100000000,VALUE($A1360),1000000000),IFERROR(IF(VALUE(MID($A1360,2,20))&lt;100000000,VALUE(MID($A1360,2,20)),1000000000),1000000000))+ROW()/100000,"")</f>
        <v/>
      </c>
    </row>
    <row r="1361">
      <c r="F1361" s="7">
        <f>IF($A1361="","",E1361*L1361/100)</f>
        <v/>
      </c>
      <c r="J1361" s="7" t="n"/>
      <c r="K1361" s="7">
        <f>IF($A1361="","",N1361*U1361/100)</f>
        <v/>
      </c>
      <c r="L1361" s="7">
        <f>IF($A1361="","",N1361-K1361)</f>
        <v/>
      </c>
      <c r="M1361" s="7">
        <f>IF($A1361="","",L1361-F1361)</f>
        <v/>
      </c>
      <c r="N1361" s="7" t="n"/>
      <c r="O1361" s="7" t="n"/>
      <c r="P1361" s="7" t="n"/>
      <c r="R1361" s="14" t="n"/>
      <c r="V1361">
        <f>IF($A1361="","",IF(COUNTIF($A$2:$A1361,$A1361)=1,1,0))</f>
        <v/>
      </c>
      <c r="W1361">
        <f>IF($V1361=1,SUMPRODUCT(--($Y$2:$Y$1501&lt;$Y1361))+1,"")</f>
        <v/>
      </c>
      <c r="X1361">
        <f>IF($A1361="","",IF(OR($T1361=TRUE(),$T1361="TRUE"),1,0))</f>
        <v/>
      </c>
      <c r="Y1361">
        <f>IF($V1361=1,IFERROR(IF(VALUE($A1361)&lt;100000000,VALUE($A1361),1000000000),IFERROR(IF(VALUE(MID($A1361,2,20))&lt;100000000,VALUE(MID($A1361,2,20)),1000000000),1000000000))+ROW()/100000,"")</f>
        <v/>
      </c>
    </row>
    <row r="1362">
      <c r="F1362" s="7">
        <f>IF($A1362="","",E1362*L1362/100)</f>
        <v/>
      </c>
      <c r="J1362" s="7" t="n"/>
      <c r="K1362" s="7">
        <f>IF($A1362="","",N1362*U1362/100)</f>
        <v/>
      </c>
      <c r="L1362" s="7">
        <f>IF($A1362="","",N1362-K1362)</f>
        <v/>
      </c>
      <c r="M1362" s="7">
        <f>IF($A1362="","",L1362-F1362)</f>
        <v/>
      </c>
      <c r="N1362" s="7" t="n"/>
      <c r="O1362" s="7" t="n"/>
      <c r="P1362" s="7" t="n"/>
      <c r="R1362" s="14" t="n"/>
      <c r="V1362">
        <f>IF($A1362="","",IF(COUNTIF($A$2:$A1362,$A1362)=1,1,0))</f>
        <v/>
      </c>
      <c r="W1362">
        <f>IF($V1362=1,SUMPRODUCT(--($Y$2:$Y$1501&lt;$Y1362))+1,"")</f>
        <v/>
      </c>
      <c r="X1362">
        <f>IF($A1362="","",IF(OR($T1362=TRUE(),$T1362="TRUE"),1,0))</f>
        <v/>
      </c>
      <c r="Y1362">
        <f>IF($V1362=1,IFERROR(IF(VALUE($A1362)&lt;100000000,VALUE($A1362),1000000000),IFERROR(IF(VALUE(MID($A1362,2,20))&lt;100000000,VALUE(MID($A1362,2,20)),1000000000),1000000000))+ROW()/100000,"")</f>
        <v/>
      </c>
    </row>
    <row r="1363">
      <c r="F1363" s="7">
        <f>IF($A1363="","",E1363*L1363/100)</f>
        <v/>
      </c>
      <c r="J1363" s="7" t="n"/>
      <c r="K1363" s="7">
        <f>IF($A1363="","",N1363*U1363/100)</f>
        <v/>
      </c>
      <c r="L1363" s="7">
        <f>IF($A1363="","",N1363-K1363)</f>
        <v/>
      </c>
      <c r="M1363" s="7">
        <f>IF($A1363="","",L1363-F1363)</f>
        <v/>
      </c>
      <c r="N1363" s="7" t="n"/>
      <c r="O1363" s="7" t="n"/>
      <c r="P1363" s="7" t="n"/>
      <c r="R1363" s="14" t="n"/>
      <c r="V1363">
        <f>IF($A1363="","",IF(COUNTIF($A$2:$A1363,$A1363)=1,1,0))</f>
        <v/>
      </c>
      <c r="W1363">
        <f>IF($V1363=1,SUMPRODUCT(--($Y$2:$Y$1501&lt;$Y1363))+1,"")</f>
        <v/>
      </c>
      <c r="X1363">
        <f>IF($A1363="","",IF(OR($T1363=TRUE(),$T1363="TRUE"),1,0))</f>
        <v/>
      </c>
      <c r="Y1363">
        <f>IF($V1363=1,IFERROR(IF(VALUE($A1363)&lt;100000000,VALUE($A1363),1000000000),IFERROR(IF(VALUE(MID($A1363,2,20))&lt;100000000,VALUE(MID($A1363,2,20)),1000000000),1000000000))+ROW()/100000,"")</f>
        <v/>
      </c>
    </row>
    <row r="1364">
      <c r="F1364" s="7">
        <f>IF($A1364="","",E1364*L1364/100)</f>
        <v/>
      </c>
      <c r="J1364" s="7" t="n"/>
      <c r="K1364" s="7">
        <f>IF($A1364="","",N1364*U1364/100)</f>
        <v/>
      </c>
      <c r="L1364" s="7">
        <f>IF($A1364="","",N1364-K1364)</f>
        <v/>
      </c>
      <c r="M1364" s="7">
        <f>IF($A1364="","",L1364-F1364)</f>
        <v/>
      </c>
      <c r="N1364" s="7" t="n"/>
      <c r="O1364" s="7" t="n"/>
      <c r="P1364" s="7" t="n"/>
      <c r="R1364" s="14" t="n"/>
      <c r="V1364">
        <f>IF($A1364="","",IF(COUNTIF($A$2:$A1364,$A1364)=1,1,0))</f>
        <v/>
      </c>
      <c r="W1364">
        <f>IF($V1364=1,SUMPRODUCT(--($Y$2:$Y$1501&lt;$Y1364))+1,"")</f>
        <v/>
      </c>
      <c r="X1364">
        <f>IF($A1364="","",IF(OR($T1364=TRUE(),$T1364="TRUE"),1,0))</f>
        <v/>
      </c>
      <c r="Y1364">
        <f>IF($V1364=1,IFERROR(IF(VALUE($A1364)&lt;100000000,VALUE($A1364),1000000000),IFERROR(IF(VALUE(MID($A1364,2,20))&lt;100000000,VALUE(MID($A1364,2,20)),1000000000),1000000000))+ROW()/100000,"")</f>
        <v/>
      </c>
    </row>
    <row r="1365">
      <c r="F1365" s="7">
        <f>IF($A1365="","",E1365*L1365/100)</f>
        <v/>
      </c>
      <c r="J1365" s="7" t="n"/>
      <c r="K1365" s="7">
        <f>IF($A1365="","",N1365*U1365/100)</f>
        <v/>
      </c>
      <c r="L1365" s="7">
        <f>IF($A1365="","",N1365-K1365)</f>
        <v/>
      </c>
      <c r="M1365" s="7">
        <f>IF($A1365="","",L1365-F1365)</f>
        <v/>
      </c>
      <c r="N1365" s="7" t="n"/>
      <c r="O1365" s="7" t="n"/>
      <c r="P1365" s="7" t="n"/>
      <c r="R1365" s="14" t="n"/>
      <c r="V1365">
        <f>IF($A1365="","",IF(COUNTIF($A$2:$A1365,$A1365)=1,1,0))</f>
        <v/>
      </c>
      <c r="W1365">
        <f>IF($V1365=1,SUMPRODUCT(--($Y$2:$Y$1501&lt;$Y1365))+1,"")</f>
        <v/>
      </c>
      <c r="X1365">
        <f>IF($A1365="","",IF(OR($T1365=TRUE(),$T1365="TRUE"),1,0))</f>
        <v/>
      </c>
      <c r="Y1365">
        <f>IF($V1365=1,IFERROR(IF(VALUE($A1365)&lt;100000000,VALUE($A1365),1000000000),IFERROR(IF(VALUE(MID($A1365,2,20))&lt;100000000,VALUE(MID($A1365,2,20)),1000000000),1000000000))+ROW()/100000,"")</f>
        <v/>
      </c>
    </row>
    <row r="1366">
      <c r="F1366" s="7">
        <f>IF($A1366="","",E1366*L1366/100)</f>
        <v/>
      </c>
      <c r="J1366" s="7" t="n"/>
      <c r="K1366" s="7">
        <f>IF($A1366="","",N1366*U1366/100)</f>
        <v/>
      </c>
      <c r="L1366" s="7">
        <f>IF($A1366="","",N1366-K1366)</f>
        <v/>
      </c>
      <c r="M1366" s="7">
        <f>IF($A1366="","",L1366-F1366)</f>
        <v/>
      </c>
      <c r="N1366" s="7" t="n"/>
      <c r="O1366" s="7" t="n"/>
      <c r="P1366" s="7" t="n"/>
      <c r="R1366" s="14" t="n"/>
      <c r="V1366">
        <f>IF($A1366="","",IF(COUNTIF($A$2:$A1366,$A1366)=1,1,0))</f>
        <v/>
      </c>
      <c r="W1366">
        <f>IF($V1366=1,SUMPRODUCT(--($Y$2:$Y$1501&lt;$Y1366))+1,"")</f>
        <v/>
      </c>
      <c r="X1366">
        <f>IF($A1366="","",IF(OR($T1366=TRUE(),$T1366="TRUE"),1,0))</f>
        <v/>
      </c>
      <c r="Y1366">
        <f>IF($V1366=1,IFERROR(IF(VALUE($A1366)&lt;100000000,VALUE($A1366),1000000000),IFERROR(IF(VALUE(MID($A1366,2,20))&lt;100000000,VALUE(MID($A1366,2,20)),1000000000),1000000000))+ROW()/100000,"")</f>
        <v/>
      </c>
    </row>
    <row r="1367">
      <c r="F1367" s="7">
        <f>IF($A1367="","",E1367*L1367/100)</f>
        <v/>
      </c>
      <c r="J1367" s="7" t="n"/>
      <c r="K1367" s="7">
        <f>IF($A1367="","",N1367*U1367/100)</f>
        <v/>
      </c>
      <c r="L1367" s="7">
        <f>IF($A1367="","",N1367-K1367)</f>
        <v/>
      </c>
      <c r="M1367" s="7">
        <f>IF($A1367="","",L1367-F1367)</f>
        <v/>
      </c>
      <c r="N1367" s="7" t="n"/>
      <c r="O1367" s="7" t="n"/>
      <c r="P1367" s="7" t="n"/>
      <c r="R1367" s="14" t="n"/>
      <c r="V1367">
        <f>IF($A1367="","",IF(COUNTIF($A$2:$A1367,$A1367)=1,1,0))</f>
        <v/>
      </c>
      <c r="W1367">
        <f>IF($V1367=1,SUMPRODUCT(--($Y$2:$Y$1501&lt;$Y1367))+1,"")</f>
        <v/>
      </c>
      <c r="X1367">
        <f>IF($A1367="","",IF(OR($T1367=TRUE(),$T1367="TRUE"),1,0))</f>
        <v/>
      </c>
      <c r="Y1367">
        <f>IF($V1367=1,IFERROR(IF(VALUE($A1367)&lt;100000000,VALUE($A1367),1000000000),IFERROR(IF(VALUE(MID($A1367,2,20))&lt;100000000,VALUE(MID($A1367,2,20)),1000000000),1000000000))+ROW()/100000,"")</f>
        <v/>
      </c>
    </row>
    <row r="1368">
      <c r="F1368" s="7">
        <f>IF($A1368="","",E1368*L1368/100)</f>
        <v/>
      </c>
      <c r="J1368" s="7" t="n"/>
      <c r="K1368" s="7">
        <f>IF($A1368="","",N1368*U1368/100)</f>
        <v/>
      </c>
      <c r="L1368" s="7">
        <f>IF($A1368="","",N1368-K1368)</f>
        <v/>
      </c>
      <c r="M1368" s="7">
        <f>IF($A1368="","",L1368-F1368)</f>
        <v/>
      </c>
      <c r="N1368" s="7" t="n"/>
      <c r="O1368" s="7" t="n"/>
      <c r="P1368" s="7" t="n"/>
      <c r="R1368" s="14" t="n"/>
      <c r="V1368">
        <f>IF($A1368="","",IF(COUNTIF($A$2:$A1368,$A1368)=1,1,0))</f>
        <v/>
      </c>
      <c r="W1368">
        <f>IF($V1368=1,SUMPRODUCT(--($Y$2:$Y$1501&lt;$Y1368))+1,"")</f>
        <v/>
      </c>
      <c r="X1368">
        <f>IF($A1368="","",IF(OR($T1368=TRUE(),$T1368="TRUE"),1,0))</f>
        <v/>
      </c>
      <c r="Y1368">
        <f>IF($V1368=1,IFERROR(IF(VALUE($A1368)&lt;100000000,VALUE($A1368),1000000000),IFERROR(IF(VALUE(MID($A1368,2,20))&lt;100000000,VALUE(MID($A1368,2,20)),1000000000),1000000000))+ROW()/100000,"")</f>
        <v/>
      </c>
    </row>
    <row r="1369">
      <c r="F1369" s="7">
        <f>IF($A1369="","",E1369*L1369/100)</f>
        <v/>
      </c>
      <c r="J1369" s="7" t="n"/>
      <c r="K1369" s="7">
        <f>IF($A1369="","",N1369*U1369/100)</f>
        <v/>
      </c>
      <c r="L1369" s="7">
        <f>IF($A1369="","",N1369-K1369)</f>
        <v/>
      </c>
      <c r="M1369" s="7">
        <f>IF($A1369="","",L1369-F1369)</f>
        <v/>
      </c>
      <c r="N1369" s="7" t="n"/>
      <c r="O1369" s="7" t="n"/>
      <c r="P1369" s="7" t="n"/>
      <c r="R1369" s="14" t="n"/>
      <c r="V1369">
        <f>IF($A1369="","",IF(COUNTIF($A$2:$A1369,$A1369)=1,1,0))</f>
        <v/>
      </c>
      <c r="W1369">
        <f>IF($V1369=1,SUMPRODUCT(--($Y$2:$Y$1501&lt;$Y1369))+1,"")</f>
        <v/>
      </c>
      <c r="X1369">
        <f>IF($A1369="","",IF(OR($T1369=TRUE(),$T1369="TRUE"),1,0))</f>
        <v/>
      </c>
      <c r="Y1369">
        <f>IF($V1369=1,IFERROR(IF(VALUE($A1369)&lt;100000000,VALUE($A1369),1000000000),IFERROR(IF(VALUE(MID($A1369,2,20))&lt;100000000,VALUE(MID($A1369,2,20)),1000000000),1000000000))+ROW()/100000,"")</f>
        <v/>
      </c>
    </row>
    <row r="1370">
      <c r="F1370" s="7">
        <f>IF($A1370="","",E1370*L1370/100)</f>
        <v/>
      </c>
      <c r="J1370" s="7" t="n"/>
      <c r="K1370" s="7">
        <f>IF($A1370="","",N1370*U1370/100)</f>
        <v/>
      </c>
      <c r="L1370" s="7">
        <f>IF($A1370="","",N1370-K1370)</f>
        <v/>
      </c>
      <c r="M1370" s="7">
        <f>IF($A1370="","",L1370-F1370)</f>
        <v/>
      </c>
      <c r="N1370" s="7" t="n"/>
      <c r="O1370" s="7" t="n"/>
      <c r="P1370" s="7" t="n"/>
      <c r="R1370" s="14" t="n"/>
      <c r="V1370">
        <f>IF($A1370="","",IF(COUNTIF($A$2:$A1370,$A1370)=1,1,0))</f>
        <v/>
      </c>
      <c r="W1370">
        <f>IF($V1370=1,SUMPRODUCT(--($Y$2:$Y$1501&lt;$Y1370))+1,"")</f>
        <v/>
      </c>
      <c r="X1370">
        <f>IF($A1370="","",IF(OR($T1370=TRUE(),$T1370="TRUE"),1,0))</f>
        <v/>
      </c>
      <c r="Y1370">
        <f>IF($V1370=1,IFERROR(IF(VALUE($A1370)&lt;100000000,VALUE($A1370),1000000000),IFERROR(IF(VALUE(MID($A1370,2,20))&lt;100000000,VALUE(MID($A1370,2,20)),1000000000),1000000000))+ROW()/100000,"")</f>
        <v/>
      </c>
    </row>
    <row r="1371">
      <c r="F1371" s="7">
        <f>IF($A1371="","",E1371*L1371/100)</f>
        <v/>
      </c>
      <c r="J1371" s="7" t="n"/>
      <c r="K1371" s="7">
        <f>IF($A1371="","",N1371*U1371/100)</f>
        <v/>
      </c>
      <c r="L1371" s="7">
        <f>IF($A1371="","",N1371-K1371)</f>
        <v/>
      </c>
      <c r="M1371" s="7">
        <f>IF($A1371="","",L1371-F1371)</f>
        <v/>
      </c>
      <c r="N1371" s="7" t="n"/>
      <c r="O1371" s="7" t="n"/>
      <c r="P1371" s="7" t="n"/>
      <c r="R1371" s="14" t="n"/>
      <c r="V1371">
        <f>IF($A1371="","",IF(COUNTIF($A$2:$A1371,$A1371)=1,1,0))</f>
        <v/>
      </c>
      <c r="W1371">
        <f>IF($V1371=1,SUMPRODUCT(--($Y$2:$Y$1501&lt;$Y1371))+1,"")</f>
        <v/>
      </c>
      <c r="X1371">
        <f>IF($A1371="","",IF(OR($T1371=TRUE(),$T1371="TRUE"),1,0))</f>
        <v/>
      </c>
      <c r="Y1371">
        <f>IF($V1371=1,IFERROR(IF(VALUE($A1371)&lt;100000000,VALUE($A1371),1000000000),IFERROR(IF(VALUE(MID($A1371,2,20))&lt;100000000,VALUE(MID($A1371,2,20)),1000000000),1000000000))+ROW()/100000,"")</f>
        <v/>
      </c>
    </row>
    <row r="1372">
      <c r="F1372" s="7">
        <f>IF($A1372="","",E1372*L1372/100)</f>
        <v/>
      </c>
      <c r="J1372" s="7" t="n"/>
      <c r="K1372" s="7">
        <f>IF($A1372="","",N1372*U1372/100)</f>
        <v/>
      </c>
      <c r="L1372" s="7">
        <f>IF($A1372="","",N1372-K1372)</f>
        <v/>
      </c>
      <c r="M1372" s="7">
        <f>IF($A1372="","",L1372-F1372)</f>
        <v/>
      </c>
      <c r="N1372" s="7" t="n"/>
      <c r="O1372" s="7" t="n"/>
      <c r="P1372" s="7" t="n"/>
      <c r="R1372" s="14" t="n"/>
      <c r="V1372">
        <f>IF($A1372="","",IF(COUNTIF($A$2:$A1372,$A1372)=1,1,0))</f>
        <v/>
      </c>
      <c r="W1372">
        <f>IF($V1372=1,SUMPRODUCT(--($Y$2:$Y$1501&lt;$Y1372))+1,"")</f>
        <v/>
      </c>
      <c r="X1372">
        <f>IF($A1372="","",IF(OR($T1372=TRUE(),$T1372="TRUE"),1,0))</f>
        <v/>
      </c>
      <c r="Y1372">
        <f>IF($V1372=1,IFERROR(IF(VALUE($A1372)&lt;100000000,VALUE($A1372),1000000000),IFERROR(IF(VALUE(MID($A1372,2,20))&lt;100000000,VALUE(MID($A1372,2,20)),1000000000),1000000000))+ROW()/100000,"")</f>
        <v/>
      </c>
    </row>
    <row r="1373">
      <c r="F1373" s="7">
        <f>IF($A1373="","",E1373*L1373/100)</f>
        <v/>
      </c>
      <c r="J1373" s="7" t="n"/>
      <c r="K1373" s="7">
        <f>IF($A1373="","",N1373*U1373/100)</f>
        <v/>
      </c>
      <c r="L1373" s="7">
        <f>IF($A1373="","",N1373-K1373)</f>
        <v/>
      </c>
      <c r="M1373" s="7">
        <f>IF($A1373="","",L1373-F1373)</f>
        <v/>
      </c>
      <c r="N1373" s="7" t="n"/>
      <c r="O1373" s="7" t="n"/>
      <c r="P1373" s="7" t="n"/>
      <c r="R1373" s="14" t="n"/>
      <c r="V1373">
        <f>IF($A1373="","",IF(COUNTIF($A$2:$A1373,$A1373)=1,1,0))</f>
        <v/>
      </c>
      <c r="W1373">
        <f>IF($V1373=1,SUMPRODUCT(--($Y$2:$Y$1501&lt;$Y1373))+1,"")</f>
        <v/>
      </c>
      <c r="X1373">
        <f>IF($A1373="","",IF(OR($T1373=TRUE(),$T1373="TRUE"),1,0))</f>
        <v/>
      </c>
      <c r="Y1373">
        <f>IF($V1373=1,IFERROR(IF(VALUE($A1373)&lt;100000000,VALUE($A1373),1000000000),IFERROR(IF(VALUE(MID($A1373,2,20))&lt;100000000,VALUE(MID($A1373,2,20)),1000000000),1000000000))+ROW()/100000,"")</f>
        <v/>
      </c>
    </row>
    <row r="1374">
      <c r="F1374" s="7">
        <f>IF($A1374="","",E1374*L1374/100)</f>
        <v/>
      </c>
      <c r="J1374" s="7" t="n"/>
      <c r="K1374" s="7">
        <f>IF($A1374="","",N1374*U1374/100)</f>
        <v/>
      </c>
      <c r="L1374" s="7">
        <f>IF($A1374="","",N1374-K1374)</f>
        <v/>
      </c>
      <c r="M1374" s="7">
        <f>IF($A1374="","",L1374-F1374)</f>
        <v/>
      </c>
      <c r="N1374" s="7" t="n"/>
      <c r="O1374" s="7" t="n"/>
      <c r="P1374" s="7" t="n"/>
      <c r="R1374" s="14" t="n"/>
      <c r="V1374">
        <f>IF($A1374="","",IF(COUNTIF($A$2:$A1374,$A1374)=1,1,0))</f>
        <v/>
      </c>
      <c r="W1374">
        <f>IF($V1374=1,SUMPRODUCT(--($Y$2:$Y$1501&lt;$Y1374))+1,"")</f>
        <v/>
      </c>
      <c r="X1374">
        <f>IF($A1374="","",IF(OR($T1374=TRUE(),$T1374="TRUE"),1,0))</f>
        <v/>
      </c>
      <c r="Y1374">
        <f>IF($V1374=1,IFERROR(IF(VALUE($A1374)&lt;100000000,VALUE($A1374),1000000000),IFERROR(IF(VALUE(MID($A1374,2,20))&lt;100000000,VALUE(MID($A1374,2,20)),1000000000),1000000000))+ROW()/100000,"")</f>
        <v/>
      </c>
    </row>
    <row r="1375">
      <c r="F1375" s="7">
        <f>IF($A1375="","",E1375*L1375/100)</f>
        <v/>
      </c>
      <c r="J1375" s="7" t="n"/>
      <c r="K1375" s="7">
        <f>IF($A1375="","",N1375*U1375/100)</f>
        <v/>
      </c>
      <c r="L1375" s="7">
        <f>IF($A1375="","",N1375-K1375)</f>
        <v/>
      </c>
      <c r="M1375" s="7">
        <f>IF($A1375="","",L1375-F1375)</f>
        <v/>
      </c>
      <c r="N1375" s="7" t="n"/>
      <c r="O1375" s="7" t="n"/>
      <c r="P1375" s="7" t="n"/>
      <c r="R1375" s="14" t="n"/>
      <c r="V1375">
        <f>IF($A1375="","",IF(COUNTIF($A$2:$A1375,$A1375)=1,1,0))</f>
        <v/>
      </c>
      <c r="W1375">
        <f>IF($V1375=1,SUMPRODUCT(--($Y$2:$Y$1501&lt;$Y1375))+1,"")</f>
        <v/>
      </c>
      <c r="X1375">
        <f>IF($A1375="","",IF(OR($T1375=TRUE(),$T1375="TRUE"),1,0))</f>
        <v/>
      </c>
      <c r="Y1375">
        <f>IF($V1375=1,IFERROR(IF(VALUE($A1375)&lt;100000000,VALUE($A1375),1000000000),IFERROR(IF(VALUE(MID($A1375,2,20))&lt;100000000,VALUE(MID($A1375,2,20)),1000000000),1000000000))+ROW()/100000,"")</f>
        <v/>
      </c>
    </row>
    <row r="1376">
      <c r="F1376" s="7">
        <f>IF($A1376="","",E1376*L1376/100)</f>
        <v/>
      </c>
      <c r="J1376" s="7" t="n"/>
      <c r="K1376" s="7">
        <f>IF($A1376="","",N1376*U1376/100)</f>
        <v/>
      </c>
      <c r="L1376" s="7">
        <f>IF($A1376="","",N1376-K1376)</f>
        <v/>
      </c>
      <c r="M1376" s="7">
        <f>IF($A1376="","",L1376-F1376)</f>
        <v/>
      </c>
      <c r="N1376" s="7" t="n"/>
      <c r="O1376" s="7" t="n"/>
      <c r="P1376" s="7" t="n"/>
      <c r="R1376" s="14" t="n"/>
      <c r="V1376">
        <f>IF($A1376="","",IF(COUNTIF($A$2:$A1376,$A1376)=1,1,0))</f>
        <v/>
      </c>
      <c r="W1376">
        <f>IF($V1376=1,SUMPRODUCT(--($Y$2:$Y$1501&lt;$Y1376))+1,"")</f>
        <v/>
      </c>
      <c r="X1376">
        <f>IF($A1376="","",IF(OR($T1376=TRUE(),$T1376="TRUE"),1,0))</f>
        <v/>
      </c>
      <c r="Y1376">
        <f>IF($V1376=1,IFERROR(IF(VALUE($A1376)&lt;100000000,VALUE($A1376),1000000000),IFERROR(IF(VALUE(MID($A1376,2,20))&lt;100000000,VALUE(MID($A1376,2,20)),1000000000),1000000000))+ROW()/100000,"")</f>
        <v/>
      </c>
    </row>
    <row r="1377">
      <c r="F1377" s="7">
        <f>IF($A1377="","",E1377*L1377/100)</f>
        <v/>
      </c>
      <c r="J1377" s="7" t="n"/>
      <c r="K1377" s="7">
        <f>IF($A1377="","",N1377*U1377/100)</f>
        <v/>
      </c>
      <c r="L1377" s="7">
        <f>IF($A1377="","",N1377-K1377)</f>
        <v/>
      </c>
      <c r="M1377" s="7">
        <f>IF($A1377="","",L1377-F1377)</f>
        <v/>
      </c>
      <c r="N1377" s="7" t="n"/>
      <c r="O1377" s="7" t="n"/>
      <c r="P1377" s="7" t="n"/>
      <c r="R1377" s="14" t="n"/>
      <c r="V1377">
        <f>IF($A1377="","",IF(COUNTIF($A$2:$A1377,$A1377)=1,1,0))</f>
        <v/>
      </c>
      <c r="W1377">
        <f>IF($V1377=1,SUMPRODUCT(--($Y$2:$Y$1501&lt;$Y1377))+1,"")</f>
        <v/>
      </c>
      <c r="X1377">
        <f>IF($A1377="","",IF(OR($T1377=TRUE(),$T1377="TRUE"),1,0))</f>
        <v/>
      </c>
      <c r="Y1377">
        <f>IF($V1377=1,IFERROR(IF(VALUE($A1377)&lt;100000000,VALUE($A1377),1000000000),IFERROR(IF(VALUE(MID($A1377,2,20))&lt;100000000,VALUE(MID($A1377,2,20)),1000000000),1000000000))+ROW()/100000,"")</f>
        <v/>
      </c>
    </row>
    <row r="1378">
      <c r="F1378" s="7">
        <f>IF($A1378="","",E1378*L1378/100)</f>
        <v/>
      </c>
      <c r="J1378" s="7" t="n"/>
      <c r="K1378" s="7">
        <f>IF($A1378="","",N1378*U1378/100)</f>
        <v/>
      </c>
      <c r="L1378" s="7">
        <f>IF($A1378="","",N1378-K1378)</f>
        <v/>
      </c>
      <c r="M1378" s="7">
        <f>IF($A1378="","",L1378-F1378)</f>
        <v/>
      </c>
      <c r="N1378" s="7" t="n"/>
      <c r="O1378" s="7" t="n"/>
      <c r="P1378" s="7" t="n"/>
      <c r="R1378" s="14" t="n"/>
      <c r="V1378">
        <f>IF($A1378="","",IF(COUNTIF($A$2:$A1378,$A1378)=1,1,0))</f>
        <v/>
      </c>
      <c r="W1378">
        <f>IF($V1378=1,SUMPRODUCT(--($Y$2:$Y$1501&lt;$Y1378))+1,"")</f>
        <v/>
      </c>
      <c r="X1378">
        <f>IF($A1378="","",IF(OR($T1378=TRUE(),$T1378="TRUE"),1,0))</f>
        <v/>
      </c>
      <c r="Y1378">
        <f>IF($V1378=1,IFERROR(IF(VALUE($A1378)&lt;100000000,VALUE($A1378),1000000000),IFERROR(IF(VALUE(MID($A1378,2,20))&lt;100000000,VALUE(MID($A1378,2,20)),1000000000),1000000000))+ROW()/100000,"")</f>
        <v/>
      </c>
    </row>
    <row r="1379">
      <c r="F1379" s="7">
        <f>IF($A1379="","",E1379*L1379/100)</f>
        <v/>
      </c>
      <c r="J1379" s="7" t="n"/>
      <c r="K1379" s="7">
        <f>IF($A1379="","",N1379*U1379/100)</f>
        <v/>
      </c>
      <c r="L1379" s="7">
        <f>IF($A1379="","",N1379-K1379)</f>
        <v/>
      </c>
      <c r="M1379" s="7">
        <f>IF($A1379="","",L1379-F1379)</f>
        <v/>
      </c>
      <c r="N1379" s="7" t="n"/>
      <c r="O1379" s="7" t="n"/>
      <c r="P1379" s="7" t="n"/>
      <c r="R1379" s="14" t="n"/>
      <c r="V1379">
        <f>IF($A1379="","",IF(COUNTIF($A$2:$A1379,$A1379)=1,1,0))</f>
        <v/>
      </c>
      <c r="W1379">
        <f>IF($V1379=1,SUMPRODUCT(--($Y$2:$Y$1501&lt;$Y1379))+1,"")</f>
        <v/>
      </c>
      <c r="X1379">
        <f>IF($A1379="","",IF(OR($T1379=TRUE(),$T1379="TRUE"),1,0))</f>
        <v/>
      </c>
      <c r="Y1379">
        <f>IF($V1379=1,IFERROR(IF(VALUE($A1379)&lt;100000000,VALUE($A1379),1000000000),IFERROR(IF(VALUE(MID($A1379,2,20))&lt;100000000,VALUE(MID($A1379,2,20)),1000000000),1000000000))+ROW()/100000,"")</f>
        <v/>
      </c>
    </row>
    <row r="1380">
      <c r="F1380" s="7">
        <f>IF($A1380="","",E1380*L1380/100)</f>
        <v/>
      </c>
      <c r="J1380" s="7" t="n"/>
      <c r="K1380" s="7">
        <f>IF($A1380="","",N1380*U1380/100)</f>
        <v/>
      </c>
      <c r="L1380" s="7">
        <f>IF($A1380="","",N1380-K1380)</f>
        <v/>
      </c>
      <c r="M1380" s="7">
        <f>IF($A1380="","",L1380-F1380)</f>
        <v/>
      </c>
      <c r="N1380" s="7" t="n"/>
      <c r="O1380" s="7" t="n"/>
      <c r="P1380" s="7" t="n"/>
      <c r="R1380" s="14" t="n"/>
      <c r="V1380">
        <f>IF($A1380="","",IF(COUNTIF($A$2:$A1380,$A1380)=1,1,0))</f>
        <v/>
      </c>
      <c r="W1380">
        <f>IF($V1380=1,SUMPRODUCT(--($Y$2:$Y$1501&lt;$Y1380))+1,"")</f>
        <v/>
      </c>
      <c r="X1380">
        <f>IF($A1380="","",IF(OR($T1380=TRUE(),$T1380="TRUE"),1,0))</f>
        <v/>
      </c>
      <c r="Y1380">
        <f>IF($V1380=1,IFERROR(IF(VALUE($A1380)&lt;100000000,VALUE($A1380),1000000000),IFERROR(IF(VALUE(MID($A1380,2,20))&lt;100000000,VALUE(MID($A1380,2,20)),1000000000),1000000000))+ROW()/100000,"")</f>
        <v/>
      </c>
    </row>
    <row r="1381">
      <c r="F1381" s="7">
        <f>IF($A1381="","",E1381*L1381/100)</f>
        <v/>
      </c>
      <c r="J1381" s="7" t="n"/>
      <c r="K1381" s="7">
        <f>IF($A1381="","",N1381*U1381/100)</f>
        <v/>
      </c>
      <c r="L1381" s="7">
        <f>IF($A1381="","",N1381-K1381)</f>
        <v/>
      </c>
      <c r="M1381" s="7">
        <f>IF($A1381="","",L1381-F1381)</f>
        <v/>
      </c>
      <c r="N1381" s="7" t="n"/>
      <c r="O1381" s="7" t="n"/>
      <c r="P1381" s="7" t="n"/>
      <c r="R1381" s="14" t="n"/>
      <c r="V1381">
        <f>IF($A1381="","",IF(COUNTIF($A$2:$A1381,$A1381)=1,1,0))</f>
        <v/>
      </c>
      <c r="W1381">
        <f>IF($V1381=1,SUMPRODUCT(--($Y$2:$Y$1501&lt;$Y1381))+1,"")</f>
        <v/>
      </c>
      <c r="X1381">
        <f>IF($A1381="","",IF(OR($T1381=TRUE(),$T1381="TRUE"),1,0))</f>
        <v/>
      </c>
      <c r="Y1381">
        <f>IF($V1381=1,IFERROR(IF(VALUE($A1381)&lt;100000000,VALUE($A1381),1000000000),IFERROR(IF(VALUE(MID($A1381,2,20))&lt;100000000,VALUE(MID($A1381,2,20)),1000000000),1000000000))+ROW()/100000,"")</f>
        <v/>
      </c>
    </row>
    <row r="1382">
      <c r="F1382" s="7">
        <f>IF($A1382="","",E1382*L1382/100)</f>
        <v/>
      </c>
      <c r="J1382" s="7" t="n"/>
      <c r="K1382" s="7">
        <f>IF($A1382="","",N1382*U1382/100)</f>
        <v/>
      </c>
      <c r="L1382" s="7">
        <f>IF($A1382="","",N1382-K1382)</f>
        <v/>
      </c>
      <c r="M1382" s="7">
        <f>IF($A1382="","",L1382-F1382)</f>
        <v/>
      </c>
      <c r="N1382" s="7" t="n"/>
      <c r="O1382" s="7" t="n"/>
      <c r="P1382" s="7" t="n"/>
      <c r="R1382" s="14" t="n"/>
      <c r="V1382">
        <f>IF($A1382="","",IF(COUNTIF($A$2:$A1382,$A1382)=1,1,0))</f>
        <v/>
      </c>
      <c r="W1382">
        <f>IF($V1382=1,SUMPRODUCT(--($Y$2:$Y$1501&lt;$Y1382))+1,"")</f>
        <v/>
      </c>
      <c r="X1382">
        <f>IF($A1382="","",IF(OR($T1382=TRUE(),$T1382="TRUE"),1,0))</f>
        <v/>
      </c>
      <c r="Y1382">
        <f>IF($V1382=1,IFERROR(IF(VALUE($A1382)&lt;100000000,VALUE($A1382),1000000000),IFERROR(IF(VALUE(MID($A1382,2,20))&lt;100000000,VALUE(MID($A1382,2,20)),1000000000),1000000000))+ROW()/100000,"")</f>
        <v/>
      </c>
    </row>
    <row r="1383">
      <c r="F1383" s="7">
        <f>IF($A1383="","",E1383*L1383/100)</f>
        <v/>
      </c>
      <c r="J1383" s="7" t="n"/>
      <c r="K1383" s="7">
        <f>IF($A1383="","",N1383*U1383/100)</f>
        <v/>
      </c>
      <c r="L1383" s="7">
        <f>IF($A1383="","",N1383-K1383)</f>
        <v/>
      </c>
      <c r="M1383" s="7">
        <f>IF($A1383="","",L1383-F1383)</f>
        <v/>
      </c>
      <c r="N1383" s="7" t="n"/>
      <c r="O1383" s="7" t="n"/>
      <c r="P1383" s="7" t="n"/>
      <c r="R1383" s="14" t="n"/>
      <c r="V1383">
        <f>IF($A1383="","",IF(COUNTIF($A$2:$A1383,$A1383)=1,1,0))</f>
        <v/>
      </c>
      <c r="W1383">
        <f>IF($V1383=1,SUMPRODUCT(--($Y$2:$Y$1501&lt;$Y1383))+1,"")</f>
        <v/>
      </c>
      <c r="X1383">
        <f>IF($A1383="","",IF(OR($T1383=TRUE(),$T1383="TRUE"),1,0))</f>
        <v/>
      </c>
      <c r="Y1383">
        <f>IF($V1383=1,IFERROR(IF(VALUE($A1383)&lt;100000000,VALUE($A1383),1000000000),IFERROR(IF(VALUE(MID($A1383,2,20))&lt;100000000,VALUE(MID($A1383,2,20)),1000000000),1000000000))+ROW()/100000,"")</f>
        <v/>
      </c>
    </row>
    <row r="1384">
      <c r="F1384" s="7">
        <f>IF($A1384="","",E1384*L1384/100)</f>
        <v/>
      </c>
      <c r="J1384" s="7" t="n"/>
      <c r="K1384" s="7">
        <f>IF($A1384="","",N1384*U1384/100)</f>
        <v/>
      </c>
      <c r="L1384" s="7">
        <f>IF($A1384="","",N1384-K1384)</f>
        <v/>
      </c>
      <c r="M1384" s="7">
        <f>IF($A1384="","",L1384-F1384)</f>
        <v/>
      </c>
      <c r="N1384" s="7" t="n"/>
      <c r="O1384" s="7" t="n"/>
      <c r="P1384" s="7" t="n"/>
      <c r="R1384" s="14" t="n"/>
      <c r="V1384">
        <f>IF($A1384="","",IF(COUNTIF($A$2:$A1384,$A1384)=1,1,0))</f>
        <v/>
      </c>
      <c r="W1384">
        <f>IF($V1384=1,SUMPRODUCT(--($Y$2:$Y$1501&lt;$Y1384))+1,"")</f>
        <v/>
      </c>
      <c r="X1384">
        <f>IF($A1384="","",IF(OR($T1384=TRUE(),$T1384="TRUE"),1,0))</f>
        <v/>
      </c>
      <c r="Y1384">
        <f>IF($V1384=1,IFERROR(IF(VALUE($A1384)&lt;100000000,VALUE($A1384),1000000000),IFERROR(IF(VALUE(MID($A1384,2,20))&lt;100000000,VALUE(MID($A1384,2,20)),1000000000),1000000000))+ROW()/100000,"")</f>
        <v/>
      </c>
    </row>
    <row r="1385">
      <c r="F1385" s="7">
        <f>IF($A1385="","",E1385*L1385/100)</f>
        <v/>
      </c>
      <c r="J1385" s="7" t="n"/>
      <c r="K1385" s="7">
        <f>IF($A1385="","",N1385*U1385/100)</f>
        <v/>
      </c>
      <c r="L1385" s="7">
        <f>IF($A1385="","",N1385-K1385)</f>
        <v/>
      </c>
      <c r="M1385" s="7">
        <f>IF($A1385="","",L1385-F1385)</f>
        <v/>
      </c>
      <c r="N1385" s="7" t="n"/>
      <c r="O1385" s="7" t="n"/>
      <c r="P1385" s="7" t="n"/>
      <c r="R1385" s="14" t="n"/>
      <c r="V1385">
        <f>IF($A1385="","",IF(COUNTIF($A$2:$A1385,$A1385)=1,1,0))</f>
        <v/>
      </c>
      <c r="W1385">
        <f>IF($V1385=1,SUMPRODUCT(--($Y$2:$Y$1501&lt;$Y1385))+1,"")</f>
        <v/>
      </c>
      <c r="X1385">
        <f>IF($A1385="","",IF(OR($T1385=TRUE(),$T1385="TRUE"),1,0))</f>
        <v/>
      </c>
      <c r="Y1385">
        <f>IF($V1385=1,IFERROR(IF(VALUE($A1385)&lt;100000000,VALUE($A1385),1000000000),IFERROR(IF(VALUE(MID($A1385,2,20))&lt;100000000,VALUE(MID($A1385,2,20)),1000000000),1000000000))+ROW()/100000,"")</f>
        <v/>
      </c>
    </row>
    <row r="1386">
      <c r="F1386" s="7">
        <f>IF($A1386="","",E1386*L1386/100)</f>
        <v/>
      </c>
      <c r="J1386" s="7" t="n"/>
      <c r="K1386" s="7">
        <f>IF($A1386="","",N1386*U1386/100)</f>
        <v/>
      </c>
      <c r="L1386" s="7">
        <f>IF($A1386="","",N1386-K1386)</f>
        <v/>
      </c>
      <c r="M1386" s="7">
        <f>IF($A1386="","",L1386-F1386)</f>
        <v/>
      </c>
      <c r="N1386" s="7" t="n"/>
      <c r="O1386" s="7" t="n"/>
      <c r="P1386" s="7" t="n"/>
      <c r="R1386" s="14" t="n"/>
      <c r="V1386">
        <f>IF($A1386="","",IF(COUNTIF($A$2:$A1386,$A1386)=1,1,0))</f>
        <v/>
      </c>
      <c r="W1386">
        <f>IF($V1386=1,SUMPRODUCT(--($Y$2:$Y$1501&lt;$Y1386))+1,"")</f>
        <v/>
      </c>
      <c r="X1386">
        <f>IF($A1386="","",IF(OR($T1386=TRUE(),$T1386="TRUE"),1,0))</f>
        <v/>
      </c>
      <c r="Y1386">
        <f>IF($V1386=1,IFERROR(IF(VALUE($A1386)&lt;100000000,VALUE($A1386),1000000000),IFERROR(IF(VALUE(MID($A1386,2,20))&lt;100000000,VALUE(MID($A1386,2,20)),1000000000),1000000000))+ROW()/100000,"")</f>
        <v/>
      </c>
    </row>
    <row r="1387">
      <c r="F1387" s="7">
        <f>IF($A1387="","",E1387*L1387/100)</f>
        <v/>
      </c>
      <c r="J1387" s="7" t="n"/>
      <c r="K1387" s="7">
        <f>IF($A1387="","",N1387*U1387/100)</f>
        <v/>
      </c>
      <c r="L1387" s="7">
        <f>IF($A1387="","",N1387-K1387)</f>
        <v/>
      </c>
      <c r="M1387" s="7">
        <f>IF($A1387="","",L1387-F1387)</f>
        <v/>
      </c>
      <c r="N1387" s="7" t="n"/>
      <c r="O1387" s="7" t="n"/>
      <c r="P1387" s="7" t="n"/>
      <c r="R1387" s="14" t="n"/>
      <c r="V1387">
        <f>IF($A1387="","",IF(COUNTIF($A$2:$A1387,$A1387)=1,1,0))</f>
        <v/>
      </c>
      <c r="W1387">
        <f>IF($V1387=1,SUMPRODUCT(--($Y$2:$Y$1501&lt;$Y1387))+1,"")</f>
        <v/>
      </c>
      <c r="X1387">
        <f>IF($A1387="","",IF(OR($T1387=TRUE(),$T1387="TRUE"),1,0))</f>
        <v/>
      </c>
      <c r="Y1387">
        <f>IF($V1387=1,IFERROR(IF(VALUE($A1387)&lt;100000000,VALUE($A1387),1000000000),IFERROR(IF(VALUE(MID($A1387,2,20))&lt;100000000,VALUE(MID($A1387,2,20)),1000000000),1000000000))+ROW()/100000,"")</f>
        <v/>
      </c>
    </row>
    <row r="1388">
      <c r="F1388" s="7">
        <f>IF($A1388="","",E1388*L1388/100)</f>
        <v/>
      </c>
      <c r="J1388" s="7" t="n"/>
      <c r="K1388" s="7">
        <f>IF($A1388="","",N1388*U1388/100)</f>
        <v/>
      </c>
      <c r="L1388" s="7">
        <f>IF($A1388="","",N1388-K1388)</f>
        <v/>
      </c>
      <c r="M1388" s="7">
        <f>IF($A1388="","",L1388-F1388)</f>
        <v/>
      </c>
      <c r="N1388" s="7" t="n"/>
      <c r="O1388" s="7" t="n"/>
      <c r="P1388" s="7" t="n"/>
      <c r="R1388" s="14" t="n"/>
      <c r="V1388">
        <f>IF($A1388="","",IF(COUNTIF($A$2:$A1388,$A1388)=1,1,0))</f>
        <v/>
      </c>
      <c r="W1388">
        <f>IF($V1388=1,SUMPRODUCT(--($Y$2:$Y$1501&lt;$Y1388))+1,"")</f>
        <v/>
      </c>
      <c r="X1388">
        <f>IF($A1388="","",IF(OR($T1388=TRUE(),$T1388="TRUE"),1,0))</f>
        <v/>
      </c>
      <c r="Y1388">
        <f>IF($V1388=1,IFERROR(IF(VALUE($A1388)&lt;100000000,VALUE($A1388),1000000000),IFERROR(IF(VALUE(MID($A1388,2,20))&lt;100000000,VALUE(MID($A1388,2,20)),1000000000),1000000000))+ROW()/100000,"")</f>
        <v/>
      </c>
    </row>
    <row r="1389">
      <c r="F1389" s="7">
        <f>IF($A1389="","",E1389*L1389/100)</f>
        <v/>
      </c>
      <c r="J1389" s="7" t="n"/>
      <c r="K1389" s="7">
        <f>IF($A1389="","",N1389*U1389/100)</f>
        <v/>
      </c>
      <c r="L1389" s="7">
        <f>IF($A1389="","",N1389-K1389)</f>
        <v/>
      </c>
      <c r="M1389" s="7">
        <f>IF($A1389="","",L1389-F1389)</f>
        <v/>
      </c>
      <c r="N1389" s="7" t="n"/>
      <c r="O1389" s="7" t="n"/>
      <c r="P1389" s="7" t="n"/>
      <c r="R1389" s="14" t="n"/>
      <c r="V1389">
        <f>IF($A1389="","",IF(COUNTIF($A$2:$A1389,$A1389)=1,1,0))</f>
        <v/>
      </c>
      <c r="W1389">
        <f>IF($V1389=1,SUMPRODUCT(--($Y$2:$Y$1501&lt;$Y1389))+1,"")</f>
        <v/>
      </c>
      <c r="X1389">
        <f>IF($A1389="","",IF(OR($T1389=TRUE(),$T1389="TRUE"),1,0))</f>
        <v/>
      </c>
      <c r="Y1389">
        <f>IF($V1389=1,IFERROR(IF(VALUE($A1389)&lt;100000000,VALUE($A1389),1000000000),IFERROR(IF(VALUE(MID($A1389,2,20))&lt;100000000,VALUE(MID($A1389,2,20)),1000000000),1000000000))+ROW()/100000,"")</f>
        <v/>
      </c>
    </row>
    <row r="1390">
      <c r="F1390" s="7">
        <f>IF($A1390="","",E1390*L1390/100)</f>
        <v/>
      </c>
      <c r="J1390" s="7" t="n"/>
      <c r="K1390" s="7">
        <f>IF($A1390="","",N1390*U1390/100)</f>
        <v/>
      </c>
      <c r="L1390" s="7">
        <f>IF($A1390="","",N1390-K1390)</f>
        <v/>
      </c>
      <c r="M1390" s="7">
        <f>IF($A1390="","",L1390-F1390)</f>
        <v/>
      </c>
      <c r="N1390" s="7" t="n"/>
      <c r="O1390" s="7" t="n"/>
      <c r="P1390" s="7" t="n"/>
      <c r="R1390" s="14" t="n"/>
      <c r="V1390">
        <f>IF($A1390="","",IF(COUNTIF($A$2:$A1390,$A1390)=1,1,0))</f>
        <v/>
      </c>
      <c r="W1390">
        <f>IF($V1390=1,SUMPRODUCT(--($Y$2:$Y$1501&lt;$Y1390))+1,"")</f>
        <v/>
      </c>
      <c r="X1390">
        <f>IF($A1390="","",IF(OR($T1390=TRUE(),$T1390="TRUE"),1,0))</f>
        <v/>
      </c>
      <c r="Y1390">
        <f>IF($V1390=1,IFERROR(IF(VALUE($A1390)&lt;100000000,VALUE($A1390),1000000000),IFERROR(IF(VALUE(MID($A1390,2,20))&lt;100000000,VALUE(MID($A1390,2,20)),1000000000),1000000000))+ROW()/100000,"")</f>
        <v/>
      </c>
    </row>
    <row r="1391">
      <c r="F1391" s="7">
        <f>IF($A1391="","",E1391*L1391/100)</f>
        <v/>
      </c>
      <c r="J1391" s="7" t="n"/>
      <c r="K1391" s="7">
        <f>IF($A1391="","",N1391*U1391/100)</f>
        <v/>
      </c>
      <c r="L1391" s="7">
        <f>IF($A1391="","",N1391-K1391)</f>
        <v/>
      </c>
      <c r="M1391" s="7">
        <f>IF($A1391="","",L1391-F1391)</f>
        <v/>
      </c>
      <c r="N1391" s="7" t="n"/>
      <c r="O1391" s="7" t="n"/>
      <c r="P1391" s="7" t="n"/>
      <c r="R1391" s="14" t="n"/>
      <c r="V1391">
        <f>IF($A1391="","",IF(COUNTIF($A$2:$A1391,$A1391)=1,1,0))</f>
        <v/>
      </c>
      <c r="W1391">
        <f>IF($V1391=1,SUMPRODUCT(--($Y$2:$Y$1501&lt;$Y1391))+1,"")</f>
        <v/>
      </c>
      <c r="X1391">
        <f>IF($A1391="","",IF(OR($T1391=TRUE(),$T1391="TRUE"),1,0))</f>
        <v/>
      </c>
      <c r="Y1391">
        <f>IF($V1391=1,IFERROR(IF(VALUE($A1391)&lt;100000000,VALUE($A1391),1000000000),IFERROR(IF(VALUE(MID($A1391,2,20))&lt;100000000,VALUE(MID($A1391,2,20)),1000000000),1000000000))+ROW()/100000,"")</f>
        <v/>
      </c>
    </row>
    <row r="1392">
      <c r="F1392" s="7">
        <f>IF($A1392="","",E1392*L1392/100)</f>
        <v/>
      </c>
      <c r="J1392" s="7" t="n"/>
      <c r="K1392" s="7">
        <f>IF($A1392="","",N1392*U1392/100)</f>
        <v/>
      </c>
      <c r="L1392" s="7">
        <f>IF($A1392="","",N1392-K1392)</f>
        <v/>
      </c>
      <c r="M1392" s="7">
        <f>IF($A1392="","",L1392-F1392)</f>
        <v/>
      </c>
      <c r="N1392" s="7" t="n"/>
      <c r="O1392" s="7" t="n"/>
      <c r="P1392" s="7" t="n"/>
      <c r="R1392" s="14" t="n"/>
      <c r="V1392">
        <f>IF($A1392="","",IF(COUNTIF($A$2:$A1392,$A1392)=1,1,0))</f>
        <v/>
      </c>
      <c r="W1392">
        <f>IF($V1392=1,SUMPRODUCT(--($Y$2:$Y$1501&lt;$Y1392))+1,"")</f>
        <v/>
      </c>
      <c r="X1392">
        <f>IF($A1392="","",IF(OR($T1392=TRUE(),$T1392="TRUE"),1,0))</f>
        <v/>
      </c>
      <c r="Y1392">
        <f>IF($V1392=1,IFERROR(IF(VALUE($A1392)&lt;100000000,VALUE($A1392),1000000000),IFERROR(IF(VALUE(MID($A1392,2,20))&lt;100000000,VALUE(MID($A1392,2,20)),1000000000),1000000000))+ROW()/100000,"")</f>
        <v/>
      </c>
    </row>
    <row r="1393">
      <c r="F1393" s="7">
        <f>IF($A1393="","",E1393*L1393/100)</f>
        <v/>
      </c>
      <c r="J1393" s="7" t="n"/>
      <c r="K1393" s="7">
        <f>IF($A1393="","",N1393*U1393/100)</f>
        <v/>
      </c>
      <c r="L1393" s="7">
        <f>IF($A1393="","",N1393-K1393)</f>
        <v/>
      </c>
      <c r="M1393" s="7">
        <f>IF($A1393="","",L1393-F1393)</f>
        <v/>
      </c>
      <c r="N1393" s="7" t="n"/>
      <c r="O1393" s="7" t="n"/>
      <c r="P1393" s="7" t="n"/>
      <c r="R1393" s="14" t="n"/>
      <c r="V1393">
        <f>IF($A1393="","",IF(COUNTIF($A$2:$A1393,$A1393)=1,1,0))</f>
        <v/>
      </c>
      <c r="W1393">
        <f>IF($V1393=1,SUMPRODUCT(--($Y$2:$Y$1501&lt;$Y1393))+1,"")</f>
        <v/>
      </c>
      <c r="X1393">
        <f>IF($A1393="","",IF(OR($T1393=TRUE(),$T1393="TRUE"),1,0))</f>
        <v/>
      </c>
      <c r="Y1393">
        <f>IF($V1393=1,IFERROR(IF(VALUE($A1393)&lt;100000000,VALUE($A1393),1000000000),IFERROR(IF(VALUE(MID($A1393,2,20))&lt;100000000,VALUE(MID($A1393,2,20)),1000000000),1000000000))+ROW()/100000,"")</f>
        <v/>
      </c>
    </row>
    <row r="1394">
      <c r="F1394" s="7">
        <f>IF($A1394="","",E1394*L1394/100)</f>
        <v/>
      </c>
      <c r="J1394" s="7" t="n"/>
      <c r="K1394" s="7">
        <f>IF($A1394="","",N1394*U1394/100)</f>
        <v/>
      </c>
      <c r="L1394" s="7">
        <f>IF($A1394="","",N1394-K1394)</f>
        <v/>
      </c>
      <c r="M1394" s="7">
        <f>IF($A1394="","",L1394-F1394)</f>
        <v/>
      </c>
      <c r="N1394" s="7" t="n"/>
      <c r="O1394" s="7" t="n"/>
      <c r="P1394" s="7" t="n"/>
      <c r="R1394" s="14" t="n"/>
      <c r="V1394">
        <f>IF($A1394="","",IF(COUNTIF($A$2:$A1394,$A1394)=1,1,0))</f>
        <v/>
      </c>
      <c r="W1394">
        <f>IF($V1394=1,SUMPRODUCT(--($Y$2:$Y$1501&lt;$Y1394))+1,"")</f>
        <v/>
      </c>
      <c r="X1394">
        <f>IF($A1394="","",IF(OR($T1394=TRUE(),$T1394="TRUE"),1,0))</f>
        <v/>
      </c>
      <c r="Y1394">
        <f>IF($V1394=1,IFERROR(IF(VALUE($A1394)&lt;100000000,VALUE($A1394),1000000000),IFERROR(IF(VALUE(MID($A1394,2,20))&lt;100000000,VALUE(MID($A1394,2,20)),1000000000),1000000000))+ROW()/100000,"")</f>
        <v/>
      </c>
    </row>
    <row r="1395">
      <c r="F1395" s="7">
        <f>IF($A1395="","",E1395*L1395/100)</f>
        <v/>
      </c>
      <c r="J1395" s="7" t="n"/>
      <c r="K1395" s="7">
        <f>IF($A1395="","",N1395*U1395/100)</f>
        <v/>
      </c>
      <c r="L1395" s="7">
        <f>IF($A1395="","",N1395-K1395)</f>
        <v/>
      </c>
      <c r="M1395" s="7">
        <f>IF($A1395="","",L1395-F1395)</f>
        <v/>
      </c>
      <c r="N1395" s="7" t="n"/>
      <c r="O1395" s="7" t="n"/>
      <c r="P1395" s="7" t="n"/>
      <c r="R1395" s="14" t="n"/>
      <c r="V1395">
        <f>IF($A1395="","",IF(COUNTIF($A$2:$A1395,$A1395)=1,1,0))</f>
        <v/>
      </c>
      <c r="W1395">
        <f>IF($V1395=1,SUMPRODUCT(--($Y$2:$Y$1501&lt;$Y1395))+1,"")</f>
        <v/>
      </c>
      <c r="X1395">
        <f>IF($A1395="","",IF(OR($T1395=TRUE(),$T1395="TRUE"),1,0))</f>
        <v/>
      </c>
      <c r="Y1395">
        <f>IF($V1395=1,IFERROR(IF(VALUE($A1395)&lt;100000000,VALUE($A1395),1000000000),IFERROR(IF(VALUE(MID($A1395,2,20))&lt;100000000,VALUE(MID($A1395,2,20)),1000000000),1000000000))+ROW()/100000,"")</f>
        <v/>
      </c>
    </row>
    <row r="1396">
      <c r="F1396" s="7">
        <f>IF($A1396="","",E1396*L1396/100)</f>
        <v/>
      </c>
      <c r="J1396" s="7" t="n"/>
      <c r="K1396" s="7">
        <f>IF($A1396="","",N1396*U1396/100)</f>
        <v/>
      </c>
      <c r="L1396" s="7">
        <f>IF($A1396="","",N1396-K1396)</f>
        <v/>
      </c>
      <c r="M1396" s="7">
        <f>IF($A1396="","",L1396-F1396)</f>
        <v/>
      </c>
      <c r="N1396" s="7" t="n"/>
      <c r="O1396" s="7" t="n"/>
      <c r="P1396" s="7" t="n"/>
      <c r="R1396" s="14" t="n"/>
      <c r="V1396">
        <f>IF($A1396="","",IF(COUNTIF($A$2:$A1396,$A1396)=1,1,0))</f>
        <v/>
      </c>
      <c r="W1396">
        <f>IF($V1396=1,SUMPRODUCT(--($Y$2:$Y$1501&lt;$Y1396))+1,"")</f>
        <v/>
      </c>
      <c r="X1396">
        <f>IF($A1396="","",IF(OR($T1396=TRUE(),$T1396="TRUE"),1,0))</f>
        <v/>
      </c>
      <c r="Y1396">
        <f>IF($V1396=1,IFERROR(IF(VALUE($A1396)&lt;100000000,VALUE($A1396),1000000000),IFERROR(IF(VALUE(MID($A1396,2,20))&lt;100000000,VALUE(MID($A1396,2,20)),1000000000),1000000000))+ROW()/100000,"")</f>
        <v/>
      </c>
    </row>
    <row r="1397">
      <c r="F1397" s="7">
        <f>IF($A1397="","",E1397*L1397/100)</f>
        <v/>
      </c>
      <c r="J1397" s="7" t="n"/>
      <c r="K1397" s="7">
        <f>IF($A1397="","",N1397*U1397/100)</f>
        <v/>
      </c>
      <c r="L1397" s="7">
        <f>IF($A1397="","",N1397-K1397)</f>
        <v/>
      </c>
      <c r="M1397" s="7">
        <f>IF($A1397="","",L1397-F1397)</f>
        <v/>
      </c>
      <c r="N1397" s="7" t="n"/>
      <c r="O1397" s="7" t="n"/>
      <c r="P1397" s="7" t="n"/>
      <c r="R1397" s="14" t="n"/>
      <c r="V1397">
        <f>IF($A1397="","",IF(COUNTIF($A$2:$A1397,$A1397)=1,1,0))</f>
        <v/>
      </c>
      <c r="W1397">
        <f>IF($V1397=1,SUMPRODUCT(--($Y$2:$Y$1501&lt;$Y1397))+1,"")</f>
        <v/>
      </c>
      <c r="X1397">
        <f>IF($A1397="","",IF(OR($T1397=TRUE(),$T1397="TRUE"),1,0))</f>
        <v/>
      </c>
      <c r="Y1397">
        <f>IF($V1397=1,IFERROR(IF(VALUE($A1397)&lt;100000000,VALUE($A1397),1000000000),IFERROR(IF(VALUE(MID($A1397,2,20))&lt;100000000,VALUE(MID($A1397,2,20)),1000000000),1000000000))+ROW()/100000,"")</f>
        <v/>
      </c>
    </row>
    <row r="1398">
      <c r="F1398" s="7">
        <f>IF($A1398="","",E1398*L1398/100)</f>
        <v/>
      </c>
      <c r="J1398" s="7" t="n"/>
      <c r="K1398" s="7">
        <f>IF($A1398="","",N1398*U1398/100)</f>
        <v/>
      </c>
      <c r="L1398" s="7">
        <f>IF($A1398="","",N1398-K1398)</f>
        <v/>
      </c>
      <c r="M1398" s="7">
        <f>IF($A1398="","",L1398-F1398)</f>
        <v/>
      </c>
      <c r="N1398" s="7" t="n"/>
      <c r="O1398" s="7" t="n"/>
      <c r="P1398" s="7" t="n"/>
      <c r="R1398" s="14" t="n"/>
      <c r="V1398">
        <f>IF($A1398="","",IF(COUNTIF($A$2:$A1398,$A1398)=1,1,0))</f>
        <v/>
      </c>
      <c r="W1398">
        <f>IF($V1398=1,SUMPRODUCT(--($Y$2:$Y$1501&lt;$Y1398))+1,"")</f>
        <v/>
      </c>
      <c r="X1398">
        <f>IF($A1398="","",IF(OR($T1398=TRUE(),$T1398="TRUE"),1,0))</f>
        <v/>
      </c>
      <c r="Y1398">
        <f>IF($V1398=1,IFERROR(IF(VALUE($A1398)&lt;100000000,VALUE($A1398),1000000000),IFERROR(IF(VALUE(MID($A1398,2,20))&lt;100000000,VALUE(MID($A1398,2,20)),1000000000),1000000000))+ROW()/100000,"")</f>
        <v/>
      </c>
    </row>
    <row r="1399">
      <c r="F1399" s="7">
        <f>IF($A1399="","",E1399*L1399/100)</f>
        <v/>
      </c>
      <c r="J1399" s="7" t="n"/>
      <c r="K1399" s="7">
        <f>IF($A1399="","",N1399*U1399/100)</f>
        <v/>
      </c>
      <c r="L1399" s="7">
        <f>IF($A1399="","",N1399-K1399)</f>
        <v/>
      </c>
      <c r="M1399" s="7">
        <f>IF($A1399="","",L1399-F1399)</f>
        <v/>
      </c>
      <c r="N1399" s="7" t="n"/>
      <c r="O1399" s="7" t="n"/>
      <c r="P1399" s="7" t="n"/>
      <c r="R1399" s="14" t="n"/>
      <c r="V1399">
        <f>IF($A1399="","",IF(COUNTIF($A$2:$A1399,$A1399)=1,1,0))</f>
        <v/>
      </c>
      <c r="W1399">
        <f>IF($V1399=1,SUMPRODUCT(--($Y$2:$Y$1501&lt;$Y1399))+1,"")</f>
        <v/>
      </c>
      <c r="X1399">
        <f>IF($A1399="","",IF(OR($T1399=TRUE(),$T1399="TRUE"),1,0))</f>
        <v/>
      </c>
      <c r="Y1399">
        <f>IF($V1399=1,IFERROR(IF(VALUE($A1399)&lt;100000000,VALUE($A1399),1000000000),IFERROR(IF(VALUE(MID($A1399,2,20))&lt;100000000,VALUE(MID($A1399,2,20)),1000000000),1000000000))+ROW()/100000,"")</f>
        <v/>
      </c>
    </row>
    <row r="1400">
      <c r="F1400" s="7">
        <f>IF($A1400="","",E1400*L1400/100)</f>
        <v/>
      </c>
      <c r="J1400" s="7" t="n"/>
      <c r="K1400" s="7">
        <f>IF($A1400="","",N1400*U1400/100)</f>
        <v/>
      </c>
      <c r="L1400" s="7">
        <f>IF($A1400="","",N1400-K1400)</f>
        <v/>
      </c>
      <c r="M1400" s="7">
        <f>IF($A1400="","",L1400-F1400)</f>
        <v/>
      </c>
      <c r="N1400" s="7" t="n"/>
      <c r="O1400" s="7" t="n"/>
      <c r="P1400" s="7" t="n"/>
      <c r="R1400" s="14" t="n"/>
      <c r="V1400">
        <f>IF($A1400="","",IF(COUNTIF($A$2:$A1400,$A1400)=1,1,0))</f>
        <v/>
      </c>
      <c r="W1400">
        <f>IF($V1400=1,SUMPRODUCT(--($Y$2:$Y$1501&lt;$Y1400))+1,"")</f>
        <v/>
      </c>
      <c r="X1400">
        <f>IF($A1400="","",IF(OR($T1400=TRUE(),$T1400="TRUE"),1,0))</f>
        <v/>
      </c>
      <c r="Y1400">
        <f>IF($V1400=1,IFERROR(IF(VALUE($A1400)&lt;100000000,VALUE($A1400),1000000000),IFERROR(IF(VALUE(MID($A1400,2,20))&lt;100000000,VALUE(MID($A1400,2,20)),1000000000),1000000000))+ROW()/100000,"")</f>
        <v/>
      </c>
    </row>
    <row r="1401">
      <c r="F1401" s="7">
        <f>IF($A1401="","",E1401*L1401/100)</f>
        <v/>
      </c>
      <c r="J1401" s="7" t="n"/>
      <c r="K1401" s="7">
        <f>IF($A1401="","",N1401*U1401/100)</f>
        <v/>
      </c>
      <c r="L1401" s="7">
        <f>IF($A1401="","",N1401-K1401)</f>
        <v/>
      </c>
      <c r="M1401" s="7">
        <f>IF($A1401="","",L1401-F1401)</f>
        <v/>
      </c>
      <c r="N1401" s="7" t="n"/>
      <c r="O1401" s="7" t="n"/>
      <c r="P1401" s="7" t="n"/>
      <c r="R1401" s="14" t="n"/>
      <c r="V1401">
        <f>IF($A1401="","",IF(COUNTIF($A$2:$A1401,$A1401)=1,1,0))</f>
        <v/>
      </c>
      <c r="W1401">
        <f>IF($V1401=1,SUMPRODUCT(--($Y$2:$Y$1501&lt;$Y1401))+1,"")</f>
        <v/>
      </c>
      <c r="X1401">
        <f>IF($A1401="","",IF(OR($T1401=TRUE(),$T1401="TRUE"),1,0))</f>
        <v/>
      </c>
      <c r="Y1401">
        <f>IF($V1401=1,IFERROR(IF(VALUE($A1401)&lt;100000000,VALUE($A1401),1000000000),IFERROR(IF(VALUE(MID($A1401,2,20))&lt;100000000,VALUE(MID($A1401,2,20)),1000000000),1000000000))+ROW()/100000,"")</f>
        <v/>
      </c>
    </row>
    <row r="1402">
      <c r="F1402" s="7">
        <f>IF($A1402="","",E1402*L1402/100)</f>
        <v/>
      </c>
      <c r="J1402" s="7" t="n"/>
      <c r="K1402" s="7">
        <f>IF($A1402="","",N1402*U1402/100)</f>
        <v/>
      </c>
      <c r="L1402" s="7">
        <f>IF($A1402="","",N1402-K1402)</f>
        <v/>
      </c>
      <c r="M1402" s="7">
        <f>IF($A1402="","",L1402-F1402)</f>
        <v/>
      </c>
      <c r="N1402" s="7" t="n"/>
      <c r="O1402" s="7" t="n"/>
      <c r="P1402" s="7" t="n"/>
      <c r="R1402" s="14" t="n"/>
      <c r="V1402">
        <f>IF($A1402="","",IF(COUNTIF($A$2:$A1402,$A1402)=1,1,0))</f>
        <v/>
      </c>
      <c r="W1402">
        <f>IF($V1402=1,SUMPRODUCT(--($Y$2:$Y$1501&lt;$Y1402))+1,"")</f>
        <v/>
      </c>
      <c r="X1402">
        <f>IF($A1402="","",IF(OR($T1402=TRUE(),$T1402="TRUE"),1,0))</f>
        <v/>
      </c>
      <c r="Y1402">
        <f>IF($V1402=1,IFERROR(IF(VALUE($A1402)&lt;100000000,VALUE($A1402),1000000000),IFERROR(IF(VALUE(MID($A1402,2,20))&lt;100000000,VALUE(MID($A1402,2,20)),1000000000),1000000000))+ROW()/100000,"")</f>
        <v/>
      </c>
    </row>
    <row r="1403">
      <c r="F1403" s="7">
        <f>IF($A1403="","",E1403*L1403/100)</f>
        <v/>
      </c>
      <c r="J1403" s="7" t="n"/>
      <c r="K1403" s="7">
        <f>IF($A1403="","",N1403*U1403/100)</f>
        <v/>
      </c>
      <c r="L1403" s="7">
        <f>IF($A1403="","",N1403-K1403)</f>
        <v/>
      </c>
      <c r="M1403" s="7">
        <f>IF($A1403="","",L1403-F1403)</f>
        <v/>
      </c>
      <c r="N1403" s="7" t="n"/>
      <c r="O1403" s="7" t="n"/>
      <c r="P1403" s="7" t="n"/>
      <c r="R1403" s="14" t="n"/>
      <c r="V1403">
        <f>IF($A1403="","",IF(COUNTIF($A$2:$A1403,$A1403)=1,1,0))</f>
        <v/>
      </c>
      <c r="W1403">
        <f>IF($V1403=1,SUMPRODUCT(--($Y$2:$Y$1501&lt;$Y1403))+1,"")</f>
        <v/>
      </c>
      <c r="X1403">
        <f>IF($A1403="","",IF(OR($T1403=TRUE(),$T1403="TRUE"),1,0))</f>
        <v/>
      </c>
      <c r="Y1403">
        <f>IF($V1403=1,IFERROR(IF(VALUE($A1403)&lt;100000000,VALUE($A1403),1000000000),IFERROR(IF(VALUE(MID($A1403,2,20))&lt;100000000,VALUE(MID($A1403,2,20)),1000000000),1000000000))+ROW()/100000,"")</f>
        <v/>
      </c>
    </row>
    <row r="1404">
      <c r="F1404" s="7">
        <f>IF($A1404="","",E1404*L1404/100)</f>
        <v/>
      </c>
      <c r="J1404" s="7" t="n"/>
      <c r="K1404" s="7">
        <f>IF($A1404="","",N1404*U1404/100)</f>
        <v/>
      </c>
      <c r="L1404" s="7">
        <f>IF($A1404="","",N1404-K1404)</f>
        <v/>
      </c>
      <c r="M1404" s="7">
        <f>IF($A1404="","",L1404-F1404)</f>
        <v/>
      </c>
      <c r="N1404" s="7" t="n"/>
      <c r="O1404" s="7" t="n"/>
      <c r="P1404" s="7" t="n"/>
      <c r="R1404" s="14" t="n"/>
      <c r="V1404">
        <f>IF($A1404="","",IF(COUNTIF($A$2:$A1404,$A1404)=1,1,0))</f>
        <v/>
      </c>
      <c r="W1404">
        <f>IF($V1404=1,SUMPRODUCT(--($Y$2:$Y$1501&lt;$Y1404))+1,"")</f>
        <v/>
      </c>
      <c r="X1404">
        <f>IF($A1404="","",IF(OR($T1404=TRUE(),$T1404="TRUE"),1,0))</f>
        <v/>
      </c>
      <c r="Y1404">
        <f>IF($V1404=1,IFERROR(IF(VALUE($A1404)&lt;100000000,VALUE($A1404),1000000000),IFERROR(IF(VALUE(MID($A1404,2,20))&lt;100000000,VALUE(MID($A1404,2,20)),1000000000),1000000000))+ROW()/100000,"")</f>
        <v/>
      </c>
    </row>
    <row r="1405">
      <c r="F1405" s="7">
        <f>IF($A1405="","",E1405*L1405/100)</f>
        <v/>
      </c>
      <c r="J1405" s="7" t="n"/>
      <c r="K1405" s="7">
        <f>IF($A1405="","",N1405*U1405/100)</f>
        <v/>
      </c>
      <c r="L1405" s="7">
        <f>IF($A1405="","",N1405-K1405)</f>
        <v/>
      </c>
      <c r="M1405" s="7">
        <f>IF($A1405="","",L1405-F1405)</f>
        <v/>
      </c>
      <c r="N1405" s="7" t="n"/>
      <c r="O1405" s="7" t="n"/>
      <c r="P1405" s="7" t="n"/>
      <c r="R1405" s="14" t="n"/>
      <c r="V1405">
        <f>IF($A1405="","",IF(COUNTIF($A$2:$A1405,$A1405)=1,1,0))</f>
        <v/>
      </c>
      <c r="W1405">
        <f>IF($V1405=1,SUMPRODUCT(--($Y$2:$Y$1501&lt;$Y1405))+1,"")</f>
        <v/>
      </c>
      <c r="X1405">
        <f>IF($A1405="","",IF(OR($T1405=TRUE(),$T1405="TRUE"),1,0))</f>
        <v/>
      </c>
      <c r="Y1405">
        <f>IF($V1405=1,IFERROR(IF(VALUE($A1405)&lt;100000000,VALUE($A1405),1000000000),IFERROR(IF(VALUE(MID($A1405,2,20))&lt;100000000,VALUE(MID($A1405,2,20)),1000000000),1000000000))+ROW()/100000,"")</f>
        <v/>
      </c>
    </row>
    <row r="1406">
      <c r="F1406" s="7">
        <f>IF($A1406="","",E1406*L1406/100)</f>
        <v/>
      </c>
      <c r="J1406" s="7" t="n"/>
      <c r="K1406" s="7">
        <f>IF($A1406="","",N1406*U1406/100)</f>
        <v/>
      </c>
      <c r="L1406" s="7">
        <f>IF($A1406="","",N1406-K1406)</f>
        <v/>
      </c>
      <c r="M1406" s="7">
        <f>IF($A1406="","",L1406-F1406)</f>
        <v/>
      </c>
      <c r="N1406" s="7" t="n"/>
      <c r="O1406" s="7" t="n"/>
      <c r="P1406" s="7" t="n"/>
      <c r="R1406" s="14" t="n"/>
      <c r="V1406">
        <f>IF($A1406="","",IF(COUNTIF($A$2:$A1406,$A1406)=1,1,0))</f>
        <v/>
      </c>
      <c r="W1406">
        <f>IF($V1406=1,SUMPRODUCT(--($Y$2:$Y$1501&lt;$Y1406))+1,"")</f>
        <v/>
      </c>
      <c r="X1406">
        <f>IF($A1406="","",IF(OR($T1406=TRUE(),$T1406="TRUE"),1,0))</f>
        <v/>
      </c>
      <c r="Y1406">
        <f>IF($V1406=1,IFERROR(IF(VALUE($A1406)&lt;100000000,VALUE($A1406),1000000000),IFERROR(IF(VALUE(MID($A1406,2,20))&lt;100000000,VALUE(MID($A1406,2,20)),1000000000),1000000000))+ROW()/100000,"")</f>
        <v/>
      </c>
    </row>
    <row r="1407">
      <c r="F1407" s="7">
        <f>IF($A1407="","",E1407*L1407/100)</f>
        <v/>
      </c>
      <c r="J1407" s="7" t="n"/>
      <c r="K1407" s="7">
        <f>IF($A1407="","",N1407*U1407/100)</f>
        <v/>
      </c>
      <c r="L1407" s="7">
        <f>IF($A1407="","",N1407-K1407)</f>
        <v/>
      </c>
      <c r="M1407" s="7">
        <f>IF($A1407="","",L1407-F1407)</f>
        <v/>
      </c>
      <c r="N1407" s="7" t="n"/>
      <c r="O1407" s="7" t="n"/>
      <c r="P1407" s="7" t="n"/>
      <c r="R1407" s="14" t="n"/>
      <c r="V1407">
        <f>IF($A1407="","",IF(COUNTIF($A$2:$A1407,$A1407)=1,1,0))</f>
        <v/>
      </c>
      <c r="W1407">
        <f>IF($V1407=1,SUMPRODUCT(--($Y$2:$Y$1501&lt;$Y1407))+1,"")</f>
        <v/>
      </c>
      <c r="X1407">
        <f>IF($A1407="","",IF(OR($T1407=TRUE(),$T1407="TRUE"),1,0))</f>
        <v/>
      </c>
      <c r="Y1407">
        <f>IF($V1407=1,IFERROR(IF(VALUE($A1407)&lt;100000000,VALUE($A1407),1000000000),IFERROR(IF(VALUE(MID($A1407,2,20))&lt;100000000,VALUE(MID($A1407,2,20)),1000000000),1000000000))+ROW()/100000,"")</f>
        <v/>
      </c>
    </row>
    <row r="1408">
      <c r="F1408" s="7">
        <f>IF($A1408="","",E1408*L1408/100)</f>
        <v/>
      </c>
      <c r="J1408" s="7" t="n"/>
      <c r="K1408" s="7">
        <f>IF($A1408="","",N1408*U1408/100)</f>
        <v/>
      </c>
      <c r="L1408" s="7">
        <f>IF($A1408="","",N1408-K1408)</f>
        <v/>
      </c>
      <c r="M1408" s="7">
        <f>IF($A1408="","",L1408-F1408)</f>
        <v/>
      </c>
      <c r="N1408" s="7" t="n"/>
      <c r="O1408" s="7" t="n"/>
      <c r="P1408" s="7" t="n"/>
      <c r="R1408" s="14" t="n"/>
      <c r="V1408">
        <f>IF($A1408="","",IF(COUNTIF($A$2:$A1408,$A1408)=1,1,0))</f>
        <v/>
      </c>
      <c r="W1408">
        <f>IF($V1408=1,SUMPRODUCT(--($Y$2:$Y$1501&lt;$Y1408))+1,"")</f>
        <v/>
      </c>
      <c r="X1408">
        <f>IF($A1408="","",IF(OR($T1408=TRUE(),$T1408="TRUE"),1,0))</f>
        <v/>
      </c>
      <c r="Y1408">
        <f>IF($V1408=1,IFERROR(IF(VALUE($A1408)&lt;100000000,VALUE($A1408),1000000000),IFERROR(IF(VALUE(MID($A1408,2,20))&lt;100000000,VALUE(MID($A1408,2,20)),1000000000),1000000000))+ROW()/100000,"")</f>
        <v/>
      </c>
    </row>
    <row r="1409">
      <c r="F1409" s="7">
        <f>IF($A1409="","",E1409*L1409/100)</f>
        <v/>
      </c>
      <c r="J1409" s="7" t="n"/>
      <c r="K1409" s="7">
        <f>IF($A1409="","",N1409*U1409/100)</f>
        <v/>
      </c>
      <c r="L1409" s="7">
        <f>IF($A1409="","",N1409-K1409)</f>
        <v/>
      </c>
      <c r="M1409" s="7">
        <f>IF($A1409="","",L1409-F1409)</f>
        <v/>
      </c>
      <c r="N1409" s="7" t="n"/>
      <c r="O1409" s="7" t="n"/>
      <c r="P1409" s="7" t="n"/>
      <c r="R1409" s="14" t="n"/>
      <c r="V1409">
        <f>IF($A1409="","",IF(COUNTIF($A$2:$A1409,$A1409)=1,1,0))</f>
        <v/>
      </c>
      <c r="W1409">
        <f>IF($V1409=1,SUMPRODUCT(--($Y$2:$Y$1501&lt;$Y1409))+1,"")</f>
        <v/>
      </c>
      <c r="X1409">
        <f>IF($A1409="","",IF(OR($T1409=TRUE(),$T1409="TRUE"),1,0))</f>
        <v/>
      </c>
      <c r="Y1409">
        <f>IF($V1409=1,IFERROR(IF(VALUE($A1409)&lt;100000000,VALUE($A1409),1000000000),IFERROR(IF(VALUE(MID($A1409,2,20))&lt;100000000,VALUE(MID($A1409,2,20)),1000000000),1000000000))+ROW()/100000,"")</f>
        <v/>
      </c>
    </row>
    <row r="1410">
      <c r="F1410" s="7">
        <f>IF($A1410="","",E1410*L1410/100)</f>
        <v/>
      </c>
      <c r="J1410" s="7" t="n"/>
      <c r="K1410" s="7">
        <f>IF($A1410="","",N1410*U1410/100)</f>
        <v/>
      </c>
      <c r="L1410" s="7">
        <f>IF($A1410="","",N1410-K1410)</f>
        <v/>
      </c>
      <c r="M1410" s="7">
        <f>IF($A1410="","",L1410-F1410)</f>
        <v/>
      </c>
      <c r="N1410" s="7" t="n"/>
      <c r="O1410" s="7" t="n"/>
      <c r="P1410" s="7" t="n"/>
      <c r="R1410" s="14" t="n"/>
      <c r="V1410">
        <f>IF($A1410="","",IF(COUNTIF($A$2:$A1410,$A1410)=1,1,0))</f>
        <v/>
      </c>
      <c r="W1410">
        <f>IF($V1410=1,SUMPRODUCT(--($Y$2:$Y$1501&lt;$Y1410))+1,"")</f>
        <v/>
      </c>
      <c r="X1410">
        <f>IF($A1410="","",IF(OR($T1410=TRUE(),$T1410="TRUE"),1,0))</f>
        <v/>
      </c>
      <c r="Y1410">
        <f>IF($V1410=1,IFERROR(IF(VALUE($A1410)&lt;100000000,VALUE($A1410),1000000000),IFERROR(IF(VALUE(MID($A1410,2,20))&lt;100000000,VALUE(MID($A1410,2,20)),1000000000),1000000000))+ROW()/100000,"")</f>
        <v/>
      </c>
    </row>
    <row r="1411">
      <c r="F1411" s="7">
        <f>IF($A1411="","",E1411*L1411/100)</f>
        <v/>
      </c>
      <c r="J1411" s="7" t="n"/>
      <c r="K1411" s="7">
        <f>IF($A1411="","",N1411*U1411/100)</f>
        <v/>
      </c>
      <c r="L1411" s="7">
        <f>IF($A1411="","",N1411-K1411)</f>
        <v/>
      </c>
      <c r="M1411" s="7">
        <f>IF($A1411="","",L1411-F1411)</f>
        <v/>
      </c>
      <c r="N1411" s="7" t="n"/>
      <c r="O1411" s="7" t="n"/>
      <c r="P1411" s="7" t="n"/>
      <c r="R1411" s="14" t="n"/>
      <c r="V1411">
        <f>IF($A1411="","",IF(COUNTIF($A$2:$A1411,$A1411)=1,1,0))</f>
        <v/>
      </c>
      <c r="W1411">
        <f>IF($V1411=1,SUMPRODUCT(--($Y$2:$Y$1501&lt;$Y1411))+1,"")</f>
        <v/>
      </c>
      <c r="X1411">
        <f>IF($A1411="","",IF(OR($T1411=TRUE(),$T1411="TRUE"),1,0))</f>
        <v/>
      </c>
      <c r="Y1411">
        <f>IF($V1411=1,IFERROR(IF(VALUE($A1411)&lt;100000000,VALUE($A1411),1000000000),IFERROR(IF(VALUE(MID($A1411,2,20))&lt;100000000,VALUE(MID($A1411,2,20)),1000000000),1000000000))+ROW()/100000,"")</f>
        <v/>
      </c>
    </row>
    <row r="1412">
      <c r="F1412" s="7">
        <f>IF($A1412="","",E1412*L1412/100)</f>
        <v/>
      </c>
      <c r="J1412" s="7" t="n"/>
      <c r="K1412" s="7">
        <f>IF($A1412="","",N1412*U1412/100)</f>
        <v/>
      </c>
      <c r="L1412" s="7">
        <f>IF($A1412="","",N1412-K1412)</f>
        <v/>
      </c>
      <c r="M1412" s="7">
        <f>IF($A1412="","",L1412-F1412)</f>
        <v/>
      </c>
      <c r="N1412" s="7" t="n"/>
      <c r="O1412" s="7" t="n"/>
      <c r="P1412" s="7" t="n"/>
      <c r="R1412" s="14" t="n"/>
      <c r="V1412">
        <f>IF($A1412="","",IF(COUNTIF($A$2:$A1412,$A1412)=1,1,0))</f>
        <v/>
      </c>
      <c r="W1412">
        <f>IF($V1412=1,SUMPRODUCT(--($Y$2:$Y$1501&lt;$Y1412))+1,"")</f>
        <v/>
      </c>
      <c r="X1412">
        <f>IF($A1412="","",IF(OR($T1412=TRUE(),$T1412="TRUE"),1,0))</f>
        <v/>
      </c>
      <c r="Y1412">
        <f>IF($V1412=1,IFERROR(IF(VALUE($A1412)&lt;100000000,VALUE($A1412),1000000000),IFERROR(IF(VALUE(MID($A1412,2,20))&lt;100000000,VALUE(MID($A1412,2,20)),1000000000),1000000000))+ROW()/100000,"")</f>
        <v/>
      </c>
    </row>
    <row r="1413">
      <c r="F1413" s="7">
        <f>IF($A1413="","",E1413*L1413/100)</f>
        <v/>
      </c>
      <c r="J1413" s="7" t="n"/>
      <c r="K1413" s="7">
        <f>IF($A1413="","",N1413*U1413/100)</f>
        <v/>
      </c>
      <c r="L1413" s="7">
        <f>IF($A1413="","",N1413-K1413)</f>
        <v/>
      </c>
      <c r="M1413" s="7">
        <f>IF($A1413="","",L1413-F1413)</f>
        <v/>
      </c>
      <c r="N1413" s="7" t="n"/>
      <c r="O1413" s="7" t="n"/>
      <c r="P1413" s="7" t="n"/>
      <c r="R1413" s="14" t="n"/>
      <c r="V1413">
        <f>IF($A1413="","",IF(COUNTIF($A$2:$A1413,$A1413)=1,1,0))</f>
        <v/>
      </c>
      <c r="W1413">
        <f>IF($V1413=1,SUMPRODUCT(--($Y$2:$Y$1501&lt;$Y1413))+1,"")</f>
        <v/>
      </c>
      <c r="X1413">
        <f>IF($A1413="","",IF(OR($T1413=TRUE(),$T1413="TRUE"),1,0))</f>
        <v/>
      </c>
      <c r="Y1413">
        <f>IF($V1413=1,IFERROR(IF(VALUE($A1413)&lt;100000000,VALUE($A1413),1000000000),IFERROR(IF(VALUE(MID($A1413,2,20))&lt;100000000,VALUE(MID($A1413,2,20)),1000000000),1000000000))+ROW()/100000,"")</f>
        <v/>
      </c>
    </row>
    <row r="1414">
      <c r="F1414" s="7">
        <f>IF($A1414="","",E1414*L1414/100)</f>
        <v/>
      </c>
      <c r="J1414" s="7" t="n"/>
      <c r="K1414" s="7">
        <f>IF($A1414="","",N1414*U1414/100)</f>
        <v/>
      </c>
      <c r="L1414" s="7">
        <f>IF($A1414="","",N1414-K1414)</f>
        <v/>
      </c>
      <c r="M1414" s="7">
        <f>IF($A1414="","",L1414-F1414)</f>
        <v/>
      </c>
      <c r="N1414" s="7" t="n"/>
      <c r="O1414" s="7" t="n"/>
      <c r="P1414" s="7" t="n"/>
      <c r="R1414" s="14" t="n"/>
      <c r="V1414">
        <f>IF($A1414="","",IF(COUNTIF($A$2:$A1414,$A1414)=1,1,0))</f>
        <v/>
      </c>
      <c r="W1414">
        <f>IF($V1414=1,SUMPRODUCT(--($Y$2:$Y$1501&lt;$Y1414))+1,"")</f>
        <v/>
      </c>
      <c r="X1414">
        <f>IF($A1414="","",IF(OR($T1414=TRUE(),$T1414="TRUE"),1,0))</f>
        <v/>
      </c>
      <c r="Y1414">
        <f>IF($V1414=1,IFERROR(IF(VALUE($A1414)&lt;100000000,VALUE($A1414),1000000000),IFERROR(IF(VALUE(MID($A1414,2,20))&lt;100000000,VALUE(MID($A1414,2,20)),1000000000),1000000000))+ROW()/100000,"")</f>
        <v/>
      </c>
    </row>
    <row r="1415">
      <c r="F1415" s="7">
        <f>IF($A1415="","",E1415*L1415/100)</f>
        <v/>
      </c>
      <c r="J1415" s="7" t="n"/>
      <c r="K1415" s="7">
        <f>IF($A1415="","",N1415*U1415/100)</f>
        <v/>
      </c>
      <c r="L1415" s="7">
        <f>IF($A1415="","",N1415-K1415)</f>
        <v/>
      </c>
      <c r="M1415" s="7">
        <f>IF($A1415="","",L1415-F1415)</f>
        <v/>
      </c>
      <c r="N1415" s="7" t="n"/>
      <c r="O1415" s="7" t="n"/>
      <c r="P1415" s="7" t="n"/>
      <c r="R1415" s="14" t="n"/>
      <c r="V1415">
        <f>IF($A1415="","",IF(COUNTIF($A$2:$A1415,$A1415)=1,1,0))</f>
        <v/>
      </c>
      <c r="W1415">
        <f>IF($V1415=1,SUMPRODUCT(--($Y$2:$Y$1501&lt;$Y1415))+1,"")</f>
        <v/>
      </c>
      <c r="X1415">
        <f>IF($A1415="","",IF(OR($T1415=TRUE(),$T1415="TRUE"),1,0))</f>
        <v/>
      </c>
      <c r="Y1415">
        <f>IF($V1415=1,IFERROR(IF(VALUE($A1415)&lt;100000000,VALUE($A1415),1000000000),IFERROR(IF(VALUE(MID($A1415,2,20))&lt;100000000,VALUE(MID($A1415,2,20)),1000000000),1000000000))+ROW()/100000,"")</f>
        <v/>
      </c>
    </row>
    <row r="1416">
      <c r="F1416" s="7">
        <f>IF($A1416="","",E1416*L1416/100)</f>
        <v/>
      </c>
      <c r="J1416" s="7" t="n"/>
      <c r="K1416" s="7">
        <f>IF($A1416="","",N1416*U1416/100)</f>
        <v/>
      </c>
      <c r="L1416" s="7">
        <f>IF($A1416="","",N1416-K1416)</f>
        <v/>
      </c>
      <c r="M1416" s="7">
        <f>IF($A1416="","",L1416-F1416)</f>
        <v/>
      </c>
      <c r="N1416" s="7" t="n"/>
      <c r="O1416" s="7" t="n"/>
      <c r="P1416" s="7" t="n"/>
      <c r="R1416" s="14" t="n"/>
      <c r="V1416">
        <f>IF($A1416="","",IF(COUNTIF($A$2:$A1416,$A1416)=1,1,0))</f>
        <v/>
      </c>
      <c r="W1416">
        <f>IF($V1416=1,SUMPRODUCT(--($Y$2:$Y$1501&lt;$Y1416))+1,"")</f>
        <v/>
      </c>
      <c r="X1416">
        <f>IF($A1416="","",IF(OR($T1416=TRUE(),$T1416="TRUE"),1,0))</f>
        <v/>
      </c>
      <c r="Y1416">
        <f>IF($V1416=1,IFERROR(IF(VALUE($A1416)&lt;100000000,VALUE($A1416),1000000000),IFERROR(IF(VALUE(MID($A1416,2,20))&lt;100000000,VALUE(MID($A1416,2,20)),1000000000),1000000000))+ROW()/100000,"")</f>
        <v/>
      </c>
    </row>
    <row r="1417">
      <c r="F1417" s="7">
        <f>IF($A1417="","",E1417*L1417/100)</f>
        <v/>
      </c>
      <c r="J1417" s="7" t="n"/>
      <c r="K1417" s="7">
        <f>IF($A1417="","",N1417*U1417/100)</f>
        <v/>
      </c>
      <c r="L1417" s="7">
        <f>IF($A1417="","",N1417-K1417)</f>
        <v/>
      </c>
      <c r="M1417" s="7">
        <f>IF($A1417="","",L1417-F1417)</f>
        <v/>
      </c>
      <c r="N1417" s="7" t="n"/>
      <c r="O1417" s="7" t="n"/>
      <c r="P1417" s="7" t="n"/>
      <c r="R1417" s="14" t="n"/>
      <c r="V1417">
        <f>IF($A1417="","",IF(COUNTIF($A$2:$A1417,$A1417)=1,1,0))</f>
        <v/>
      </c>
      <c r="W1417">
        <f>IF($V1417=1,SUMPRODUCT(--($Y$2:$Y$1501&lt;$Y1417))+1,"")</f>
        <v/>
      </c>
      <c r="X1417">
        <f>IF($A1417="","",IF(OR($T1417=TRUE(),$T1417="TRUE"),1,0))</f>
        <v/>
      </c>
      <c r="Y1417">
        <f>IF($V1417=1,IFERROR(IF(VALUE($A1417)&lt;100000000,VALUE($A1417),1000000000),IFERROR(IF(VALUE(MID($A1417,2,20))&lt;100000000,VALUE(MID($A1417,2,20)),1000000000),1000000000))+ROW()/100000,"")</f>
        <v/>
      </c>
    </row>
    <row r="1418">
      <c r="F1418" s="7">
        <f>IF($A1418="","",E1418*L1418/100)</f>
        <v/>
      </c>
      <c r="J1418" s="7" t="n"/>
      <c r="K1418" s="7">
        <f>IF($A1418="","",N1418*U1418/100)</f>
        <v/>
      </c>
      <c r="L1418" s="7">
        <f>IF($A1418="","",N1418-K1418)</f>
        <v/>
      </c>
      <c r="M1418" s="7">
        <f>IF($A1418="","",L1418-F1418)</f>
        <v/>
      </c>
      <c r="N1418" s="7" t="n"/>
      <c r="O1418" s="7" t="n"/>
      <c r="P1418" s="7" t="n"/>
      <c r="R1418" s="14" t="n"/>
      <c r="V1418">
        <f>IF($A1418="","",IF(COUNTIF($A$2:$A1418,$A1418)=1,1,0))</f>
        <v/>
      </c>
      <c r="W1418">
        <f>IF($V1418=1,SUMPRODUCT(--($Y$2:$Y$1501&lt;$Y1418))+1,"")</f>
        <v/>
      </c>
      <c r="X1418">
        <f>IF($A1418="","",IF(OR($T1418=TRUE(),$T1418="TRUE"),1,0))</f>
        <v/>
      </c>
      <c r="Y1418">
        <f>IF($V1418=1,IFERROR(IF(VALUE($A1418)&lt;100000000,VALUE($A1418),1000000000),IFERROR(IF(VALUE(MID($A1418,2,20))&lt;100000000,VALUE(MID($A1418,2,20)),1000000000),1000000000))+ROW()/100000,"")</f>
        <v/>
      </c>
    </row>
    <row r="1419">
      <c r="F1419" s="7">
        <f>IF($A1419="","",E1419*L1419/100)</f>
        <v/>
      </c>
      <c r="J1419" s="7" t="n"/>
      <c r="K1419" s="7">
        <f>IF($A1419="","",N1419*U1419/100)</f>
        <v/>
      </c>
      <c r="L1419" s="7">
        <f>IF($A1419="","",N1419-K1419)</f>
        <v/>
      </c>
      <c r="M1419" s="7">
        <f>IF($A1419="","",L1419-F1419)</f>
        <v/>
      </c>
      <c r="N1419" s="7" t="n"/>
      <c r="O1419" s="7" t="n"/>
      <c r="P1419" s="7" t="n"/>
      <c r="R1419" s="14" t="n"/>
      <c r="V1419">
        <f>IF($A1419="","",IF(COUNTIF($A$2:$A1419,$A1419)=1,1,0))</f>
        <v/>
      </c>
      <c r="W1419">
        <f>IF($V1419=1,SUMPRODUCT(--($Y$2:$Y$1501&lt;$Y1419))+1,"")</f>
        <v/>
      </c>
      <c r="X1419">
        <f>IF($A1419="","",IF(OR($T1419=TRUE(),$T1419="TRUE"),1,0))</f>
        <v/>
      </c>
      <c r="Y1419">
        <f>IF($V1419=1,IFERROR(IF(VALUE($A1419)&lt;100000000,VALUE($A1419),1000000000),IFERROR(IF(VALUE(MID($A1419,2,20))&lt;100000000,VALUE(MID($A1419,2,20)),1000000000),1000000000))+ROW()/100000,"")</f>
        <v/>
      </c>
    </row>
    <row r="1420">
      <c r="F1420" s="7">
        <f>IF($A1420="","",E1420*L1420/100)</f>
        <v/>
      </c>
      <c r="J1420" s="7" t="n"/>
      <c r="K1420" s="7">
        <f>IF($A1420="","",N1420*U1420/100)</f>
        <v/>
      </c>
      <c r="L1420" s="7">
        <f>IF($A1420="","",N1420-K1420)</f>
        <v/>
      </c>
      <c r="M1420" s="7">
        <f>IF($A1420="","",L1420-F1420)</f>
        <v/>
      </c>
      <c r="N1420" s="7" t="n"/>
      <c r="O1420" s="7" t="n"/>
      <c r="P1420" s="7" t="n"/>
      <c r="R1420" s="14" t="n"/>
      <c r="V1420">
        <f>IF($A1420="","",IF(COUNTIF($A$2:$A1420,$A1420)=1,1,0))</f>
        <v/>
      </c>
      <c r="W1420">
        <f>IF($V1420=1,SUMPRODUCT(--($Y$2:$Y$1501&lt;$Y1420))+1,"")</f>
        <v/>
      </c>
      <c r="X1420">
        <f>IF($A1420="","",IF(OR($T1420=TRUE(),$T1420="TRUE"),1,0))</f>
        <v/>
      </c>
      <c r="Y1420">
        <f>IF($V1420=1,IFERROR(IF(VALUE($A1420)&lt;100000000,VALUE($A1420),1000000000),IFERROR(IF(VALUE(MID($A1420,2,20))&lt;100000000,VALUE(MID($A1420,2,20)),1000000000),1000000000))+ROW()/100000,"")</f>
        <v/>
      </c>
    </row>
    <row r="1421">
      <c r="F1421" s="7">
        <f>IF($A1421="","",E1421*L1421/100)</f>
        <v/>
      </c>
      <c r="J1421" s="7" t="n"/>
      <c r="K1421" s="7">
        <f>IF($A1421="","",N1421*U1421/100)</f>
        <v/>
      </c>
      <c r="L1421" s="7">
        <f>IF($A1421="","",N1421-K1421)</f>
        <v/>
      </c>
      <c r="M1421" s="7">
        <f>IF($A1421="","",L1421-F1421)</f>
        <v/>
      </c>
      <c r="N1421" s="7" t="n"/>
      <c r="O1421" s="7" t="n"/>
      <c r="P1421" s="7" t="n"/>
      <c r="R1421" s="14" t="n"/>
      <c r="V1421">
        <f>IF($A1421="","",IF(COUNTIF($A$2:$A1421,$A1421)=1,1,0))</f>
        <v/>
      </c>
      <c r="W1421">
        <f>IF($V1421=1,SUMPRODUCT(--($Y$2:$Y$1501&lt;$Y1421))+1,"")</f>
        <v/>
      </c>
      <c r="X1421">
        <f>IF($A1421="","",IF(OR($T1421=TRUE(),$T1421="TRUE"),1,0))</f>
        <v/>
      </c>
      <c r="Y1421">
        <f>IF($V1421=1,IFERROR(IF(VALUE($A1421)&lt;100000000,VALUE($A1421),1000000000),IFERROR(IF(VALUE(MID($A1421,2,20))&lt;100000000,VALUE(MID($A1421,2,20)),1000000000),1000000000))+ROW()/100000,"")</f>
        <v/>
      </c>
    </row>
    <row r="1422">
      <c r="F1422" s="7">
        <f>IF($A1422="","",E1422*L1422/100)</f>
        <v/>
      </c>
      <c r="J1422" s="7" t="n"/>
      <c r="K1422" s="7">
        <f>IF($A1422="","",N1422*U1422/100)</f>
        <v/>
      </c>
      <c r="L1422" s="7">
        <f>IF($A1422="","",N1422-K1422)</f>
        <v/>
      </c>
      <c r="M1422" s="7">
        <f>IF($A1422="","",L1422-F1422)</f>
        <v/>
      </c>
      <c r="N1422" s="7" t="n"/>
      <c r="O1422" s="7" t="n"/>
      <c r="P1422" s="7" t="n"/>
      <c r="R1422" s="14" t="n"/>
      <c r="V1422">
        <f>IF($A1422="","",IF(COUNTIF($A$2:$A1422,$A1422)=1,1,0))</f>
        <v/>
      </c>
      <c r="W1422">
        <f>IF($V1422=1,SUMPRODUCT(--($Y$2:$Y$1501&lt;$Y1422))+1,"")</f>
        <v/>
      </c>
      <c r="X1422">
        <f>IF($A1422="","",IF(OR($T1422=TRUE(),$T1422="TRUE"),1,0))</f>
        <v/>
      </c>
      <c r="Y1422">
        <f>IF($V1422=1,IFERROR(IF(VALUE($A1422)&lt;100000000,VALUE($A1422),1000000000),IFERROR(IF(VALUE(MID($A1422,2,20))&lt;100000000,VALUE(MID($A1422,2,20)),1000000000),1000000000))+ROW()/100000,"")</f>
        <v/>
      </c>
    </row>
    <row r="1423">
      <c r="F1423" s="7">
        <f>IF($A1423="","",E1423*L1423/100)</f>
        <v/>
      </c>
      <c r="J1423" s="7" t="n"/>
      <c r="K1423" s="7">
        <f>IF($A1423="","",N1423*U1423/100)</f>
        <v/>
      </c>
      <c r="L1423" s="7">
        <f>IF($A1423="","",N1423-K1423)</f>
        <v/>
      </c>
      <c r="M1423" s="7">
        <f>IF($A1423="","",L1423-F1423)</f>
        <v/>
      </c>
      <c r="N1423" s="7" t="n"/>
      <c r="O1423" s="7" t="n"/>
      <c r="P1423" s="7" t="n"/>
      <c r="R1423" s="14" t="n"/>
      <c r="V1423">
        <f>IF($A1423="","",IF(COUNTIF($A$2:$A1423,$A1423)=1,1,0))</f>
        <v/>
      </c>
      <c r="W1423">
        <f>IF($V1423=1,SUMPRODUCT(--($Y$2:$Y$1501&lt;$Y1423))+1,"")</f>
        <v/>
      </c>
      <c r="X1423">
        <f>IF($A1423="","",IF(OR($T1423=TRUE(),$T1423="TRUE"),1,0))</f>
        <v/>
      </c>
      <c r="Y1423">
        <f>IF($V1423=1,IFERROR(IF(VALUE($A1423)&lt;100000000,VALUE($A1423),1000000000),IFERROR(IF(VALUE(MID($A1423,2,20))&lt;100000000,VALUE(MID($A1423,2,20)),1000000000),1000000000))+ROW()/100000,"")</f>
        <v/>
      </c>
    </row>
    <row r="1424">
      <c r="F1424" s="7">
        <f>IF($A1424="","",E1424*L1424/100)</f>
        <v/>
      </c>
      <c r="J1424" s="7" t="n"/>
      <c r="K1424" s="7">
        <f>IF($A1424="","",N1424*U1424/100)</f>
        <v/>
      </c>
      <c r="L1424" s="7">
        <f>IF($A1424="","",N1424-K1424)</f>
        <v/>
      </c>
      <c r="M1424" s="7">
        <f>IF($A1424="","",L1424-F1424)</f>
        <v/>
      </c>
      <c r="N1424" s="7" t="n"/>
      <c r="O1424" s="7" t="n"/>
      <c r="P1424" s="7" t="n"/>
      <c r="R1424" s="14" t="n"/>
      <c r="V1424">
        <f>IF($A1424="","",IF(COUNTIF($A$2:$A1424,$A1424)=1,1,0))</f>
        <v/>
      </c>
      <c r="W1424">
        <f>IF($V1424=1,SUMPRODUCT(--($Y$2:$Y$1501&lt;$Y1424))+1,"")</f>
        <v/>
      </c>
      <c r="X1424">
        <f>IF($A1424="","",IF(OR($T1424=TRUE(),$T1424="TRUE"),1,0))</f>
        <v/>
      </c>
      <c r="Y1424">
        <f>IF($V1424=1,IFERROR(IF(VALUE($A1424)&lt;100000000,VALUE($A1424),1000000000),IFERROR(IF(VALUE(MID($A1424,2,20))&lt;100000000,VALUE(MID($A1424,2,20)),1000000000),1000000000))+ROW()/100000,"")</f>
        <v/>
      </c>
    </row>
    <row r="1425">
      <c r="F1425" s="7">
        <f>IF($A1425="","",E1425*L1425/100)</f>
        <v/>
      </c>
      <c r="J1425" s="7" t="n"/>
      <c r="K1425" s="7">
        <f>IF($A1425="","",N1425*U1425/100)</f>
        <v/>
      </c>
      <c r="L1425" s="7">
        <f>IF($A1425="","",N1425-K1425)</f>
        <v/>
      </c>
      <c r="M1425" s="7">
        <f>IF($A1425="","",L1425-F1425)</f>
        <v/>
      </c>
      <c r="N1425" s="7" t="n"/>
      <c r="O1425" s="7" t="n"/>
      <c r="P1425" s="7" t="n"/>
      <c r="R1425" s="14" t="n"/>
      <c r="V1425">
        <f>IF($A1425="","",IF(COUNTIF($A$2:$A1425,$A1425)=1,1,0))</f>
        <v/>
      </c>
      <c r="W1425">
        <f>IF($V1425=1,SUMPRODUCT(--($Y$2:$Y$1501&lt;$Y1425))+1,"")</f>
        <v/>
      </c>
      <c r="X1425">
        <f>IF($A1425="","",IF(OR($T1425=TRUE(),$T1425="TRUE"),1,0))</f>
        <v/>
      </c>
      <c r="Y1425">
        <f>IF($V1425=1,IFERROR(IF(VALUE($A1425)&lt;100000000,VALUE($A1425),1000000000),IFERROR(IF(VALUE(MID($A1425,2,20))&lt;100000000,VALUE(MID($A1425,2,20)),1000000000),1000000000))+ROW()/100000,"")</f>
        <v/>
      </c>
    </row>
    <row r="1426">
      <c r="F1426" s="7">
        <f>IF($A1426="","",E1426*L1426/100)</f>
        <v/>
      </c>
      <c r="J1426" s="7" t="n"/>
      <c r="K1426" s="7">
        <f>IF($A1426="","",N1426*U1426/100)</f>
        <v/>
      </c>
      <c r="L1426" s="7">
        <f>IF($A1426="","",N1426-K1426)</f>
        <v/>
      </c>
      <c r="M1426" s="7">
        <f>IF($A1426="","",L1426-F1426)</f>
        <v/>
      </c>
      <c r="N1426" s="7" t="n"/>
      <c r="O1426" s="7" t="n"/>
      <c r="P1426" s="7" t="n"/>
      <c r="R1426" s="14" t="n"/>
      <c r="V1426">
        <f>IF($A1426="","",IF(COUNTIF($A$2:$A1426,$A1426)=1,1,0))</f>
        <v/>
      </c>
      <c r="W1426">
        <f>IF($V1426=1,SUMPRODUCT(--($Y$2:$Y$1501&lt;$Y1426))+1,"")</f>
        <v/>
      </c>
      <c r="X1426">
        <f>IF($A1426="","",IF(OR($T1426=TRUE(),$T1426="TRUE"),1,0))</f>
        <v/>
      </c>
      <c r="Y1426">
        <f>IF($V1426=1,IFERROR(IF(VALUE($A1426)&lt;100000000,VALUE($A1426),1000000000),IFERROR(IF(VALUE(MID($A1426,2,20))&lt;100000000,VALUE(MID($A1426,2,20)),1000000000),1000000000))+ROW()/100000,"")</f>
        <v/>
      </c>
    </row>
    <row r="1427">
      <c r="F1427" s="7">
        <f>IF($A1427="","",E1427*L1427/100)</f>
        <v/>
      </c>
      <c r="J1427" s="7" t="n"/>
      <c r="K1427" s="7">
        <f>IF($A1427="","",N1427*U1427/100)</f>
        <v/>
      </c>
      <c r="L1427" s="7">
        <f>IF($A1427="","",N1427-K1427)</f>
        <v/>
      </c>
      <c r="M1427" s="7">
        <f>IF($A1427="","",L1427-F1427)</f>
        <v/>
      </c>
      <c r="N1427" s="7" t="n"/>
      <c r="O1427" s="7" t="n"/>
      <c r="P1427" s="7" t="n"/>
      <c r="R1427" s="14" t="n"/>
      <c r="V1427">
        <f>IF($A1427="","",IF(COUNTIF($A$2:$A1427,$A1427)=1,1,0))</f>
        <v/>
      </c>
      <c r="W1427">
        <f>IF($V1427=1,SUMPRODUCT(--($Y$2:$Y$1501&lt;$Y1427))+1,"")</f>
        <v/>
      </c>
      <c r="X1427">
        <f>IF($A1427="","",IF(OR($T1427=TRUE(),$T1427="TRUE"),1,0))</f>
        <v/>
      </c>
      <c r="Y1427">
        <f>IF($V1427=1,IFERROR(IF(VALUE($A1427)&lt;100000000,VALUE($A1427),1000000000),IFERROR(IF(VALUE(MID($A1427,2,20))&lt;100000000,VALUE(MID($A1427,2,20)),1000000000),1000000000))+ROW()/100000,"")</f>
        <v/>
      </c>
    </row>
    <row r="1428">
      <c r="F1428" s="7">
        <f>IF($A1428="","",E1428*L1428/100)</f>
        <v/>
      </c>
      <c r="J1428" s="7" t="n"/>
      <c r="K1428" s="7">
        <f>IF($A1428="","",N1428*U1428/100)</f>
        <v/>
      </c>
      <c r="L1428" s="7">
        <f>IF($A1428="","",N1428-K1428)</f>
        <v/>
      </c>
      <c r="M1428" s="7">
        <f>IF($A1428="","",L1428-F1428)</f>
        <v/>
      </c>
      <c r="N1428" s="7" t="n"/>
      <c r="O1428" s="7" t="n"/>
      <c r="P1428" s="7" t="n"/>
      <c r="R1428" s="14" t="n"/>
      <c r="V1428">
        <f>IF($A1428="","",IF(COUNTIF($A$2:$A1428,$A1428)=1,1,0))</f>
        <v/>
      </c>
      <c r="W1428">
        <f>IF($V1428=1,SUMPRODUCT(--($Y$2:$Y$1501&lt;$Y1428))+1,"")</f>
        <v/>
      </c>
      <c r="X1428">
        <f>IF($A1428="","",IF(OR($T1428=TRUE(),$T1428="TRUE"),1,0))</f>
        <v/>
      </c>
      <c r="Y1428">
        <f>IF($V1428=1,IFERROR(IF(VALUE($A1428)&lt;100000000,VALUE($A1428),1000000000),IFERROR(IF(VALUE(MID($A1428,2,20))&lt;100000000,VALUE(MID($A1428,2,20)),1000000000),1000000000))+ROW()/100000,"")</f>
        <v/>
      </c>
    </row>
    <row r="1429">
      <c r="F1429" s="7">
        <f>IF($A1429="","",E1429*L1429/100)</f>
        <v/>
      </c>
      <c r="J1429" s="7" t="n"/>
      <c r="K1429" s="7">
        <f>IF($A1429="","",N1429*U1429/100)</f>
        <v/>
      </c>
      <c r="L1429" s="7">
        <f>IF($A1429="","",N1429-K1429)</f>
        <v/>
      </c>
      <c r="M1429" s="7">
        <f>IF($A1429="","",L1429-F1429)</f>
        <v/>
      </c>
      <c r="N1429" s="7" t="n"/>
      <c r="O1429" s="7" t="n"/>
      <c r="P1429" s="7" t="n"/>
      <c r="R1429" s="14" t="n"/>
      <c r="V1429">
        <f>IF($A1429="","",IF(COUNTIF($A$2:$A1429,$A1429)=1,1,0))</f>
        <v/>
      </c>
      <c r="W1429">
        <f>IF($V1429=1,SUMPRODUCT(--($Y$2:$Y$1501&lt;$Y1429))+1,"")</f>
        <v/>
      </c>
      <c r="X1429">
        <f>IF($A1429="","",IF(OR($T1429=TRUE(),$T1429="TRUE"),1,0))</f>
        <v/>
      </c>
      <c r="Y1429">
        <f>IF($V1429=1,IFERROR(IF(VALUE($A1429)&lt;100000000,VALUE($A1429),1000000000),IFERROR(IF(VALUE(MID($A1429,2,20))&lt;100000000,VALUE(MID($A1429,2,20)),1000000000),1000000000))+ROW()/100000,"")</f>
        <v/>
      </c>
    </row>
    <row r="1430">
      <c r="F1430" s="7">
        <f>IF($A1430="","",E1430*L1430/100)</f>
        <v/>
      </c>
      <c r="J1430" s="7" t="n"/>
      <c r="K1430" s="7">
        <f>IF($A1430="","",N1430*U1430/100)</f>
        <v/>
      </c>
      <c r="L1430" s="7">
        <f>IF($A1430="","",N1430-K1430)</f>
        <v/>
      </c>
      <c r="M1430" s="7">
        <f>IF($A1430="","",L1430-F1430)</f>
        <v/>
      </c>
      <c r="N1430" s="7" t="n"/>
      <c r="O1430" s="7" t="n"/>
      <c r="P1430" s="7" t="n"/>
      <c r="R1430" s="14" t="n"/>
      <c r="V1430">
        <f>IF($A1430="","",IF(COUNTIF($A$2:$A1430,$A1430)=1,1,0))</f>
        <v/>
      </c>
      <c r="W1430">
        <f>IF($V1430=1,SUMPRODUCT(--($Y$2:$Y$1501&lt;$Y1430))+1,"")</f>
        <v/>
      </c>
      <c r="X1430">
        <f>IF($A1430="","",IF(OR($T1430=TRUE(),$T1430="TRUE"),1,0))</f>
        <v/>
      </c>
      <c r="Y1430">
        <f>IF($V1430=1,IFERROR(IF(VALUE($A1430)&lt;100000000,VALUE($A1430),1000000000),IFERROR(IF(VALUE(MID($A1430,2,20))&lt;100000000,VALUE(MID($A1430,2,20)),1000000000),1000000000))+ROW()/100000,"")</f>
        <v/>
      </c>
    </row>
    <row r="1431">
      <c r="F1431" s="7">
        <f>IF($A1431="","",E1431*L1431/100)</f>
        <v/>
      </c>
      <c r="J1431" s="7" t="n"/>
      <c r="K1431" s="7">
        <f>IF($A1431="","",N1431*U1431/100)</f>
        <v/>
      </c>
      <c r="L1431" s="7">
        <f>IF($A1431="","",N1431-K1431)</f>
        <v/>
      </c>
      <c r="M1431" s="7">
        <f>IF($A1431="","",L1431-F1431)</f>
        <v/>
      </c>
      <c r="N1431" s="7" t="n"/>
      <c r="O1431" s="7" t="n"/>
      <c r="P1431" s="7" t="n"/>
      <c r="R1431" s="14" t="n"/>
      <c r="V1431">
        <f>IF($A1431="","",IF(COUNTIF($A$2:$A1431,$A1431)=1,1,0))</f>
        <v/>
      </c>
      <c r="W1431">
        <f>IF($V1431=1,SUMPRODUCT(--($Y$2:$Y$1501&lt;$Y1431))+1,"")</f>
        <v/>
      </c>
      <c r="X1431">
        <f>IF($A1431="","",IF(OR($T1431=TRUE(),$T1431="TRUE"),1,0))</f>
        <v/>
      </c>
      <c r="Y1431">
        <f>IF($V1431=1,IFERROR(IF(VALUE($A1431)&lt;100000000,VALUE($A1431),1000000000),IFERROR(IF(VALUE(MID($A1431,2,20))&lt;100000000,VALUE(MID($A1431,2,20)),1000000000),1000000000))+ROW()/100000,"")</f>
        <v/>
      </c>
    </row>
    <row r="1432">
      <c r="F1432" s="7">
        <f>IF($A1432="","",E1432*L1432/100)</f>
        <v/>
      </c>
      <c r="J1432" s="7" t="n"/>
      <c r="K1432" s="7">
        <f>IF($A1432="","",N1432*U1432/100)</f>
        <v/>
      </c>
      <c r="L1432" s="7">
        <f>IF($A1432="","",N1432-K1432)</f>
        <v/>
      </c>
      <c r="M1432" s="7">
        <f>IF($A1432="","",L1432-F1432)</f>
        <v/>
      </c>
      <c r="N1432" s="7" t="n"/>
      <c r="O1432" s="7" t="n"/>
      <c r="P1432" s="7" t="n"/>
      <c r="R1432" s="14" t="n"/>
      <c r="V1432">
        <f>IF($A1432="","",IF(COUNTIF($A$2:$A1432,$A1432)=1,1,0))</f>
        <v/>
      </c>
      <c r="W1432">
        <f>IF($V1432=1,SUMPRODUCT(--($Y$2:$Y$1501&lt;$Y1432))+1,"")</f>
        <v/>
      </c>
      <c r="X1432">
        <f>IF($A1432="","",IF(OR($T1432=TRUE(),$T1432="TRUE"),1,0))</f>
        <v/>
      </c>
      <c r="Y1432">
        <f>IF($V1432=1,IFERROR(IF(VALUE($A1432)&lt;100000000,VALUE($A1432),1000000000),IFERROR(IF(VALUE(MID($A1432,2,20))&lt;100000000,VALUE(MID($A1432,2,20)),1000000000),1000000000))+ROW()/100000,"")</f>
        <v/>
      </c>
    </row>
    <row r="1433">
      <c r="F1433" s="7">
        <f>IF($A1433="","",E1433*L1433/100)</f>
        <v/>
      </c>
      <c r="J1433" s="7" t="n"/>
      <c r="K1433" s="7">
        <f>IF($A1433="","",N1433*U1433/100)</f>
        <v/>
      </c>
      <c r="L1433" s="7">
        <f>IF($A1433="","",N1433-K1433)</f>
        <v/>
      </c>
      <c r="M1433" s="7">
        <f>IF($A1433="","",L1433-F1433)</f>
        <v/>
      </c>
      <c r="N1433" s="7" t="n"/>
      <c r="O1433" s="7" t="n"/>
      <c r="P1433" s="7" t="n"/>
      <c r="R1433" s="14" t="n"/>
      <c r="V1433">
        <f>IF($A1433="","",IF(COUNTIF($A$2:$A1433,$A1433)=1,1,0))</f>
        <v/>
      </c>
      <c r="W1433">
        <f>IF($V1433=1,SUMPRODUCT(--($Y$2:$Y$1501&lt;$Y1433))+1,"")</f>
        <v/>
      </c>
      <c r="X1433">
        <f>IF($A1433="","",IF(OR($T1433=TRUE(),$T1433="TRUE"),1,0))</f>
        <v/>
      </c>
      <c r="Y1433">
        <f>IF($V1433=1,IFERROR(IF(VALUE($A1433)&lt;100000000,VALUE($A1433),1000000000),IFERROR(IF(VALUE(MID($A1433,2,20))&lt;100000000,VALUE(MID($A1433,2,20)),1000000000),1000000000))+ROW()/100000,"")</f>
        <v/>
      </c>
    </row>
    <row r="1434">
      <c r="F1434" s="7">
        <f>IF($A1434="","",E1434*L1434/100)</f>
        <v/>
      </c>
      <c r="J1434" s="7" t="n"/>
      <c r="K1434" s="7">
        <f>IF($A1434="","",N1434*U1434/100)</f>
        <v/>
      </c>
      <c r="L1434" s="7">
        <f>IF($A1434="","",N1434-K1434)</f>
        <v/>
      </c>
      <c r="M1434" s="7">
        <f>IF($A1434="","",L1434-F1434)</f>
        <v/>
      </c>
      <c r="N1434" s="7" t="n"/>
      <c r="O1434" s="7" t="n"/>
      <c r="P1434" s="7" t="n"/>
      <c r="R1434" s="14" t="n"/>
      <c r="V1434">
        <f>IF($A1434="","",IF(COUNTIF($A$2:$A1434,$A1434)=1,1,0))</f>
        <v/>
      </c>
      <c r="W1434">
        <f>IF($V1434=1,SUMPRODUCT(--($Y$2:$Y$1501&lt;$Y1434))+1,"")</f>
        <v/>
      </c>
      <c r="X1434">
        <f>IF($A1434="","",IF(OR($T1434=TRUE(),$T1434="TRUE"),1,0))</f>
        <v/>
      </c>
      <c r="Y1434">
        <f>IF($V1434=1,IFERROR(IF(VALUE($A1434)&lt;100000000,VALUE($A1434),1000000000),IFERROR(IF(VALUE(MID($A1434,2,20))&lt;100000000,VALUE(MID($A1434,2,20)),1000000000),1000000000))+ROW()/100000,"")</f>
        <v/>
      </c>
    </row>
    <row r="1435">
      <c r="F1435" s="7">
        <f>IF($A1435="","",E1435*L1435/100)</f>
        <v/>
      </c>
      <c r="J1435" s="7" t="n"/>
      <c r="K1435" s="7">
        <f>IF($A1435="","",N1435*U1435/100)</f>
        <v/>
      </c>
      <c r="L1435" s="7">
        <f>IF($A1435="","",N1435-K1435)</f>
        <v/>
      </c>
      <c r="M1435" s="7">
        <f>IF($A1435="","",L1435-F1435)</f>
        <v/>
      </c>
      <c r="N1435" s="7" t="n"/>
      <c r="O1435" s="7" t="n"/>
      <c r="P1435" s="7" t="n"/>
      <c r="R1435" s="14" t="n"/>
      <c r="V1435">
        <f>IF($A1435="","",IF(COUNTIF($A$2:$A1435,$A1435)=1,1,0))</f>
        <v/>
      </c>
      <c r="W1435">
        <f>IF($V1435=1,SUMPRODUCT(--($Y$2:$Y$1501&lt;$Y1435))+1,"")</f>
        <v/>
      </c>
      <c r="X1435">
        <f>IF($A1435="","",IF(OR($T1435=TRUE(),$T1435="TRUE"),1,0))</f>
        <v/>
      </c>
      <c r="Y1435">
        <f>IF($V1435=1,IFERROR(IF(VALUE($A1435)&lt;100000000,VALUE($A1435),1000000000),IFERROR(IF(VALUE(MID($A1435,2,20))&lt;100000000,VALUE(MID($A1435,2,20)),1000000000),1000000000))+ROW()/100000,"")</f>
        <v/>
      </c>
    </row>
    <row r="1436">
      <c r="F1436" s="7">
        <f>IF($A1436="","",E1436*L1436/100)</f>
        <v/>
      </c>
      <c r="J1436" s="7" t="n"/>
      <c r="K1436" s="7">
        <f>IF($A1436="","",N1436*U1436/100)</f>
        <v/>
      </c>
      <c r="L1436" s="7">
        <f>IF($A1436="","",N1436-K1436)</f>
        <v/>
      </c>
      <c r="M1436" s="7">
        <f>IF($A1436="","",L1436-F1436)</f>
        <v/>
      </c>
      <c r="N1436" s="7" t="n"/>
      <c r="O1436" s="7" t="n"/>
      <c r="P1436" s="7" t="n"/>
      <c r="R1436" s="14" t="n"/>
      <c r="V1436">
        <f>IF($A1436="","",IF(COUNTIF($A$2:$A1436,$A1436)=1,1,0))</f>
        <v/>
      </c>
      <c r="W1436">
        <f>IF($V1436=1,SUMPRODUCT(--($Y$2:$Y$1501&lt;$Y1436))+1,"")</f>
        <v/>
      </c>
      <c r="X1436">
        <f>IF($A1436="","",IF(OR($T1436=TRUE(),$T1436="TRUE"),1,0))</f>
        <v/>
      </c>
      <c r="Y1436">
        <f>IF($V1436=1,IFERROR(IF(VALUE($A1436)&lt;100000000,VALUE($A1436),1000000000),IFERROR(IF(VALUE(MID($A1436,2,20))&lt;100000000,VALUE(MID($A1436,2,20)),1000000000),1000000000))+ROW()/100000,"")</f>
        <v/>
      </c>
    </row>
    <row r="1437">
      <c r="F1437" s="7">
        <f>IF($A1437="","",E1437*L1437/100)</f>
        <v/>
      </c>
      <c r="J1437" s="7" t="n"/>
      <c r="K1437" s="7">
        <f>IF($A1437="","",N1437*U1437/100)</f>
        <v/>
      </c>
      <c r="L1437" s="7">
        <f>IF($A1437="","",N1437-K1437)</f>
        <v/>
      </c>
      <c r="M1437" s="7">
        <f>IF($A1437="","",L1437-F1437)</f>
        <v/>
      </c>
      <c r="N1437" s="7" t="n"/>
      <c r="O1437" s="7" t="n"/>
      <c r="P1437" s="7" t="n"/>
      <c r="R1437" s="14" t="n"/>
      <c r="V1437">
        <f>IF($A1437="","",IF(COUNTIF($A$2:$A1437,$A1437)=1,1,0))</f>
        <v/>
      </c>
      <c r="W1437">
        <f>IF($V1437=1,SUMPRODUCT(--($Y$2:$Y$1501&lt;$Y1437))+1,"")</f>
        <v/>
      </c>
      <c r="X1437">
        <f>IF($A1437="","",IF(OR($T1437=TRUE(),$T1437="TRUE"),1,0))</f>
        <v/>
      </c>
      <c r="Y1437">
        <f>IF($V1437=1,IFERROR(IF(VALUE($A1437)&lt;100000000,VALUE($A1437),1000000000),IFERROR(IF(VALUE(MID($A1437,2,20))&lt;100000000,VALUE(MID($A1437,2,20)),1000000000),1000000000))+ROW()/100000,"")</f>
        <v/>
      </c>
    </row>
    <row r="1438">
      <c r="F1438" s="7">
        <f>IF($A1438="","",E1438*L1438/100)</f>
        <v/>
      </c>
      <c r="J1438" s="7" t="n"/>
      <c r="K1438" s="7">
        <f>IF($A1438="","",N1438*U1438/100)</f>
        <v/>
      </c>
      <c r="L1438" s="7">
        <f>IF($A1438="","",N1438-K1438)</f>
        <v/>
      </c>
      <c r="M1438" s="7">
        <f>IF($A1438="","",L1438-F1438)</f>
        <v/>
      </c>
      <c r="N1438" s="7" t="n"/>
      <c r="O1438" s="7" t="n"/>
      <c r="P1438" s="7" t="n"/>
      <c r="R1438" s="14" t="n"/>
      <c r="V1438">
        <f>IF($A1438="","",IF(COUNTIF($A$2:$A1438,$A1438)=1,1,0))</f>
        <v/>
      </c>
      <c r="W1438">
        <f>IF($V1438=1,SUMPRODUCT(--($Y$2:$Y$1501&lt;$Y1438))+1,"")</f>
        <v/>
      </c>
      <c r="X1438">
        <f>IF($A1438="","",IF(OR($T1438=TRUE(),$T1438="TRUE"),1,0))</f>
        <v/>
      </c>
      <c r="Y1438">
        <f>IF($V1438=1,IFERROR(IF(VALUE($A1438)&lt;100000000,VALUE($A1438),1000000000),IFERROR(IF(VALUE(MID($A1438,2,20))&lt;100000000,VALUE(MID($A1438,2,20)),1000000000),1000000000))+ROW()/100000,"")</f>
        <v/>
      </c>
    </row>
    <row r="1439">
      <c r="F1439" s="7">
        <f>IF($A1439="","",E1439*L1439/100)</f>
        <v/>
      </c>
      <c r="J1439" s="7" t="n"/>
      <c r="K1439" s="7">
        <f>IF($A1439="","",N1439*U1439/100)</f>
        <v/>
      </c>
      <c r="L1439" s="7">
        <f>IF($A1439="","",N1439-K1439)</f>
        <v/>
      </c>
      <c r="M1439" s="7">
        <f>IF($A1439="","",L1439-F1439)</f>
        <v/>
      </c>
      <c r="N1439" s="7" t="n"/>
      <c r="O1439" s="7" t="n"/>
      <c r="P1439" s="7" t="n"/>
      <c r="R1439" s="14" t="n"/>
      <c r="V1439">
        <f>IF($A1439="","",IF(COUNTIF($A$2:$A1439,$A1439)=1,1,0))</f>
        <v/>
      </c>
      <c r="W1439">
        <f>IF($V1439=1,SUMPRODUCT(--($Y$2:$Y$1501&lt;$Y1439))+1,"")</f>
        <v/>
      </c>
      <c r="X1439">
        <f>IF($A1439="","",IF(OR($T1439=TRUE(),$T1439="TRUE"),1,0))</f>
        <v/>
      </c>
      <c r="Y1439">
        <f>IF($V1439=1,IFERROR(IF(VALUE($A1439)&lt;100000000,VALUE($A1439),1000000000),IFERROR(IF(VALUE(MID($A1439,2,20))&lt;100000000,VALUE(MID($A1439,2,20)),1000000000),1000000000))+ROW()/100000,"")</f>
        <v/>
      </c>
    </row>
    <row r="1440">
      <c r="F1440" s="7">
        <f>IF($A1440="","",E1440*L1440/100)</f>
        <v/>
      </c>
      <c r="J1440" s="7" t="n"/>
      <c r="K1440" s="7">
        <f>IF($A1440="","",N1440*U1440/100)</f>
        <v/>
      </c>
      <c r="L1440" s="7">
        <f>IF($A1440="","",N1440-K1440)</f>
        <v/>
      </c>
      <c r="M1440" s="7">
        <f>IF($A1440="","",L1440-F1440)</f>
        <v/>
      </c>
      <c r="N1440" s="7" t="n"/>
      <c r="O1440" s="7" t="n"/>
      <c r="P1440" s="7" t="n"/>
      <c r="R1440" s="14" t="n"/>
      <c r="V1440">
        <f>IF($A1440="","",IF(COUNTIF($A$2:$A1440,$A1440)=1,1,0))</f>
        <v/>
      </c>
      <c r="W1440">
        <f>IF($V1440=1,SUMPRODUCT(--($Y$2:$Y$1501&lt;$Y1440))+1,"")</f>
        <v/>
      </c>
      <c r="X1440">
        <f>IF($A1440="","",IF(OR($T1440=TRUE(),$T1440="TRUE"),1,0))</f>
        <v/>
      </c>
      <c r="Y1440">
        <f>IF($V1440=1,IFERROR(IF(VALUE($A1440)&lt;100000000,VALUE($A1440),1000000000),IFERROR(IF(VALUE(MID($A1440,2,20))&lt;100000000,VALUE(MID($A1440,2,20)),1000000000),1000000000))+ROW()/100000,"")</f>
        <v/>
      </c>
    </row>
    <row r="1441">
      <c r="F1441" s="7">
        <f>IF($A1441="","",E1441*L1441/100)</f>
        <v/>
      </c>
      <c r="J1441" s="7" t="n"/>
      <c r="K1441" s="7">
        <f>IF($A1441="","",N1441*U1441/100)</f>
        <v/>
      </c>
      <c r="L1441" s="7">
        <f>IF($A1441="","",N1441-K1441)</f>
        <v/>
      </c>
      <c r="M1441" s="7">
        <f>IF($A1441="","",L1441-F1441)</f>
        <v/>
      </c>
      <c r="N1441" s="7" t="n"/>
      <c r="O1441" s="7" t="n"/>
      <c r="P1441" s="7" t="n"/>
      <c r="R1441" s="14" t="n"/>
      <c r="V1441">
        <f>IF($A1441="","",IF(COUNTIF($A$2:$A1441,$A1441)=1,1,0))</f>
        <v/>
      </c>
      <c r="W1441">
        <f>IF($V1441=1,SUMPRODUCT(--($Y$2:$Y$1501&lt;$Y1441))+1,"")</f>
        <v/>
      </c>
      <c r="X1441">
        <f>IF($A1441="","",IF(OR($T1441=TRUE(),$T1441="TRUE"),1,0))</f>
        <v/>
      </c>
      <c r="Y1441">
        <f>IF($V1441=1,IFERROR(IF(VALUE($A1441)&lt;100000000,VALUE($A1441),1000000000),IFERROR(IF(VALUE(MID($A1441,2,20))&lt;100000000,VALUE(MID($A1441,2,20)),1000000000),1000000000))+ROW()/100000,"")</f>
        <v/>
      </c>
    </row>
    <row r="1442">
      <c r="F1442" s="7">
        <f>IF($A1442="","",E1442*L1442/100)</f>
        <v/>
      </c>
      <c r="J1442" s="7" t="n"/>
      <c r="K1442" s="7">
        <f>IF($A1442="","",N1442*U1442/100)</f>
        <v/>
      </c>
      <c r="L1442" s="7">
        <f>IF($A1442="","",N1442-K1442)</f>
        <v/>
      </c>
      <c r="M1442" s="7">
        <f>IF($A1442="","",L1442-F1442)</f>
        <v/>
      </c>
      <c r="N1442" s="7" t="n"/>
      <c r="O1442" s="7" t="n"/>
      <c r="P1442" s="7" t="n"/>
      <c r="R1442" s="14" t="n"/>
      <c r="V1442">
        <f>IF($A1442="","",IF(COUNTIF($A$2:$A1442,$A1442)=1,1,0))</f>
        <v/>
      </c>
      <c r="W1442">
        <f>IF($V1442=1,SUMPRODUCT(--($Y$2:$Y$1501&lt;$Y1442))+1,"")</f>
        <v/>
      </c>
      <c r="X1442">
        <f>IF($A1442="","",IF(OR($T1442=TRUE(),$T1442="TRUE"),1,0))</f>
        <v/>
      </c>
      <c r="Y1442">
        <f>IF($V1442=1,IFERROR(IF(VALUE($A1442)&lt;100000000,VALUE($A1442),1000000000),IFERROR(IF(VALUE(MID($A1442,2,20))&lt;100000000,VALUE(MID($A1442,2,20)),1000000000),1000000000))+ROW()/100000,"")</f>
        <v/>
      </c>
    </row>
    <row r="1443">
      <c r="F1443" s="7">
        <f>IF($A1443="","",E1443*L1443/100)</f>
        <v/>
      </c>
      <c r="J1443" s="7" t="n"/>
      <c r="K1443" s="7">
        <f>IF($A1443="","",N1443*U1443/100)</f>
        <v/>
      </c>
      <c r="L1443" s="7">
        <f>IF($A1443="","",N1443-K1443)</f>
        <v/>
      </c>
      <c r="M1443" s="7">
        <f>IF($A1443="","",L1443-F1443)</f>
        <v/>
      </c>
      <c r="N1443" s="7" t="n"/>
      <c r="O1443" s="7" t="n"/>
      <c r="P1443" s="7" t="n"/>
      <c r="R1443" s="14" t="n"/>
      <c r="V1443">
        <f>IF($A1443="","",IF(COUNTIF($A$2:$A1443,$A1443)=1,1,0))</f>
        <v/>
      </c>
      <c r="W1443">
        <f>IF($V1443=1,SUMPRODUCT(--($Y$2:$Y$1501&lt;$Y1443))+1,"")</f>
        <v/>
      </c>
      <c r="X1443">
        <f>IF($A1443="","",IF(OR($T1443=TRUE(),$T1443="TRUE"),1,0))</f>
        <v/>
      </c>
      <c r="Y1443">
        <f>IF($V1443=1,IFERROR(IF(VALUE($A1443)&lt;100000000,VALUE($A1443),1000000000),IFERROR(IF(VALUE(MID($A1443,2,20))&lt;100000000,VALUE(MID($A1443,2,20)),1000000000),1000000000))+ROW()/100000,"")</f>
        <v/>
      </c>
    </row>
    <row r="1444">
      <c r="F1444" s="7">
        <f>IF($A1444="","",E1444*L1444/100)</f>
        <v/>
      </c>
      <c r="J1444" s="7" t="n"/>
      <c r="K1444" s="7">
        <f>IF($A1444="","",N1444*U1444/100)</f>
        <v/>
      </c>
      <c r="L1444" s="7">
        <f>IF($A1444="","",N1444-K1444)</f>
        <v/>
      </c>
      <c r="M1444" s="7">
        <f>IF($A1444="","",L1444-F1444)</f>
        <v/>
      </c>
      <c r="N1444" s="7" t="n"/>
      <c r="O1444" s="7" t="n"/>
      <c r="P1444" s="7" t="n"/>
      <c r="R1444" s="14" t="n"/>
      <c r="V1444">
        <f>IF($A1444="","",IF(COUNTIF($A$2:$A1444,$A1444)=1,1,0))</f>
        <v/>
      </c>
      <c r="W1444">
        <f>IF($V1444=1,SUMPRODUCT(--($Y$2:$Y$1501&lt;$Y1444))+1,"")</f>
        <v/>
      </c>
      <c r="X1444">
        <f>IF($A1444="","",IF(OR($T1444=TRUE(),$T1444="TRUE"),1,0))</f>
        <v/>
      </c>
      <c r="Y1444">
        <f>IF($V1444=1,IFERROR(IF(VALUE($A1444)&lt;100000000,VALUE($A1444),1000000000),IFERROR(IF(VALUE(MID($A1444,2,20))&lt;100000000,VALUE(MID($A1444,2,20)),1000000000),1000000000))+ROW()/100000,"")</f>
        <v/>
      </c>
    </row>
    <row r="1445">
      <c r="F1445" s="7">
        <f>IF($A1445="","",E1445*L1445/100)</f>
        <v/>
      </c>
      <c r="J1445" s="7" t="n"/>
      <c r="K1445" s="7">
        <f>IF($A1445="","",N1445*U1445/100)</f>
        <v/>
      </c>
      <c r="L1445" s="7">
        <f>IF($A1445="","",N1445-K1445)</f>
        <v/>
      </c>
      <c r="M1445" s="7">
        <f>IF($A1445="","",L1445-F1445)</f>
        <v/>
      </c>
      <c r="N1445" s="7" t="n"/>
      <c r="O1445" s="7" t="n"/>
      <c r="P1445" s="7" t="n"/>
      <c r="R1445" s="14" t="n"/>
      <c r="V1445">
        <f>IF($A1445="","",IF(COUNTIF($A$2:$A1445,$A1445)=1,1,0))</f>
        <v/>
      </c>
      <c r="W1445">
        <f>IF($V1445=1,SUMPRODUCT(--($Y$2:$Y$1501&lt;$Y1445))+1,"")</f>
        <v/>
      </c>
      <c r="X1445">
        <f>IF($A1445="","",IF(OR($T1445=TRUE(),$T1445="TRUE"),1,0))</f>
        <v/>
      </c>
      <c r="Y1445">
        <f>IF($V1445=1,IFERROR(IF(VALUE($A1445)&lt;100000000,VALUE($A1445),1000000000),IFERROR(IF(VALUE(MID($A1445,2,20))&lt;100000000,VALUE(MID($A1445,2,20)),1000000000),1000000000))+ROW()/100000,"")</f>
        <v/>
      </c>
    </row>
    <row r="1446">
      <c r="F1446" s="7">
        <f>IF($A1446="","",E1446*L1446/100)</f>
        <v/>
      </c>
      <c r="J1446" s="7" t="n"/>
      <c r="K1446" s="7">
        <f>IF($A1446="","",N1446*U1446/100)</f>
        <v/>
      </c>
      <c r="L1446" s="7">
        <f>IF($A1446="","",N1446-K1446)</f>
        <v/>
      </c>
      <c r="M1446" s="7">
        <f>IF($A1446="","",L1446-F1446)</f>
        <v/>
      </c>
      <c r="N1446" s="7" t="n"/>
      <c r="O1446" s="7" t="n"/>
      <c r="P1446" s="7" t="n"/>
      <c r="R1446" s="14" t="n"/>
      <c r="V1446">
        <f>IF($A1446="","",IF(COUNTIF($A$2:$A1446,$A1446)=1,1,0))</f>
        <v/>
      </c>
      <c r="W1446">
        <f>IF($V1446=1,SUMPRODUCT(--($Y$2:$Y$1501&lt;$Y1446))+1,"")</f>
        <v/>
      </c>
      <c r="X1446">
        <f>IF($A1446="","",IF(OR($T1446=TRUE(),$T1446="TRUE"),1,0))</f>
        <v/>
      </c>
      <c r="Y1446">
        <f>IF($V1446=1,IFERROR(IF(VALUE($A1446)&lt;100000000,VALUE($A1446),1000000000),IFERROR(IF(VALUE(MID($A1446,2,20))&lt;100000000,VALUE(MID($A1446,2,20)),1000000000),1000000000))+ROW()/100000,"")</f>
        <v/>
      </c>
    </row>
    <row r="1447">
      <c r="F1447" s="7">
        <f>IF($A1447="","",E1447*L1447/100)</f>
        <v/>
      </c>
      <c r="J1447" s="7" t="n"/>
      <c r="K1447" s="7">
        <f>IF($A1447="","",N1447*U1447/100)</f>
        <v/>
      </c>
      <c r="L1447" s="7">
        <f>IF($A1447="","",N1447-K1447)</f>
        <v/>
      </c>
      <c r="M1447" s="7">
        <f>IF($A1447="","",L1447-F1447)</f>
        <v/>
      </c>
      <c r="N1447" s="7" t="n"/>
      <c r="O1447" s="7" t="n"/>
      <c r="P1447" s="7" t="n"/>
      <c r="R1447" s="14" t="n"/>
      <c r="V1447">
        <f>IF($A1447="","",IF(COUNTIF($A$2:$A1447,$A1447)=1,1,0))</f>
        <v/>
      </c>
      <c r="W1447">
        <f>IF($V1447=1,SUMPRODUCT(--($Y$2:$Y$1501&lt;$Y1447))+1,"")</f>
        <v/>
      </c>
      <c r="X1447">
        <f>IF($A1447="","",IF(OR($T1447=TRUE(),$T1447="TRUE"),1,0))</f>
        <v/>
      </c>
      <c r="Y1447">
        <f>IF($V1447=1,IFERROR(IF(VALUE($A1447)&lt;100000000,VALUE($A1447),1000000000),IFERROR(IF(VALUE(MID($A1447,2,20))&lt;100000000,VALUE(MID($A1447,2,20)),1000000000),1000000000))+ROW()/100000,"")</f>
        <v/>
      </c>
    </row>
    <row r="1448">
      <c r="F1448" s="7">
        <f>IF($A1448="","",E1448*L1448/100)</f>
        <v/>
      </c>
      <c r="J1448" s="7" t="n"/>
      <c r="K1448" s="7">
        <f>IF($A1448="","",N1448*U1448/100)</f>
        <v/>
      </c>
      <c r="L1448" s="7">
        <f>IF($A1448="","",N1448-K1448)</f>
        <v/>
      </c>
      <c r="M1448" s="7">
        <f>IF($A1448="","",L1448-F1448)</f>
        <v/>
      </c>
      <c r="N1448" s="7" t="n"/>
      <c r="O1448" s="7" t="n"/>
      <c r="P1448" s="7" t="n"/>
      <c r="R1448" s="14" t="n"/>
      <c r="V1448">
        <f>IF($A1448="","",IF(COUNTIF($A$2:$A1448,$A1448)=1,1,0))</f>
        <v/>
      </c>
      <c r="W1448">
        <f>IF($V1448=1,SUMPRODUCT(--($Y$2:$Y$1501&lt;$Y1448))+1,"")</f>
        <v/>
      </c>
      <c r="X1448">
        <f>IF($A1448="","",IF(OR($T1448=TRUE(),$T1448="TRUE"),1,0))</f>
        <v/>
      </c>
      <c r="Y1448">
        <f>IF($V1448=1,IFERROR(IF(VALUE($A1448)&lt;100000000,VALUE($A1448),1000000000),IFERROR(IF(VALUE(MID($A1448,2,20))&lt;100000000,VALUE(MID($A1448,2,20)),1000000000),1000000000))+ROW()/100000,"")</f>
        <v/>
      </c>
    </row>
    <row r="1449">
      <c r="F1449" s="7">
        <f>IF($A1449="","",E1449*L1449/100)</f>
        <v/>
      </c>
      <c r="J1449" s="7" t="n"/>
      <c r="K1449" s="7">
        <f>IF($A1449="","",N1449*U1449/100)</f>
        <v/>
      </c>
      <c r="L1449" s="7">
        <f>IF($A1449="","",N1449-K1449)</f>
        <v/>
      </c>
      <c r="M1449" s="7">
        <f>IF($A1449="","",L1449-F1449)</f>
        <v/>
      </c>
      <c r="N1449" s="7" t="n"/>
      <c r="O1449" s="7" t="n"/>
      <c r="P1449" s="7" t="n"/>
      <c r="R1449" s="14" t="n"/>
      <c r="V1449">
        <f>IF($A1449="","",IF(COUNTIF($A$2:$A1449,$A1449)=1,1,0))</f>
        <v/>
      </c>
      <c r="W1449">
        <f>IF($V1449=1,SUMPRODUCT(--($Y$2:$Y$1501&lt;$Y1449))+1,"")</f>
        <v/>
      </c>
      <c r="X1449">
        <f>IF($A1449="","",IF(OR($T1449=TRUE(),$T1449="TRUE"),1,0))</f>
        <v/>
      </c>
      <c r="Y1449">
        <f>IF($V1449=1,IFERROR(IF(VALUE($A1449)&lt;100000000,VALUE($A1449),1000000000),IFERROR(IF(VALUE(MID($A1449,2,20))&lt;100000000,VALUE(MID($A1449,2,20)),1000000000),1000000000))+ROW()/100000,"")</f>
        <v/>
      </c>
    </row>
    <row r="1450">
      <c r="F1450" s="7">
        <f>IF($A1450="","",E1450*L1450/100)</f>
        <v/>
      </c>
      <c r="J1450" s="7" t="n"/>
      <c r="K1450" s="7">
        <f>IF($A1450="","",N1450*U1450/100)</f>
        <v/>
      </c>
      <c r="L1450" s="7">
        <f>IF($A1450="","",N1450-K1450)</f>
        <v/>
      </c>
      <c r="M1450" s="7">
        <f>IF($A1450="","",L1450-F1450)</f>
        <v/>
      </c>
      <c r="N1450" s="7" t="n"/>
      <c r="O1450" s="7" t="n"/>
      <c r="P1450" s="7" t="n"/>
      <c r="R1450" s="14" t="n"/>
      <c r="V1450">
        <f>IF($A1450="","",IF(COUNTIF($A$2:$A1450,$A1450)=1,1,0))</f>
        <v/>
      </c>
      <c r="W1450">
        <f>IF($V1450=1,SUMPRODUCT(--($Y$2:$Y$1501&lt;$Y1450))+1,"")</f>
        <v/>
      </c>
      <c r="X1450">
        <f>IF($A1450="","",IF(OR($T1450=TRUE(),$T1450="TRUE"),1,0))</f>
        <v/>
      </c>
      <c r="Y1450">
        <f>IF($V1450=1,IFERROR(IF(VALUE($A1450)&lt;100000000,VALUE($A1450),1000000000),IFERROR(IF(VALUE(MID($A1450,2,20))&lt;100000000,VALUE(MID($A1450,2,20)),1000000000),1000000000))+ROW()/100000,"")</f>
        <v/>
      </c>
    </row>
    <row r="1451">
      <c r="F1451" s="7">
        <f>IF($A1451="","",E1451*L1451/100)</f>
        <v/>
      </c>
      <c r="J1451" s="7" t="n"/>
      <c r="K1451" s="7">
        <f>IF($A1451="","",N1451*U1451/100)</f>
        <v/>
      </c>
      <c r="L1451" s="7">
        <f>IF($A1451="","",N1451-K1451)</f>
        <v/>
      </c>
      <c r="M1451" s="7">
        <f>IF($A1451="","",L1451-F1451)</f>
        <v/>
      </c>
      <c r="N1451" s="7" t="n"/>
      <c r="O1451" s="7" t="n"/>
      <c r="P1451" s="7" t="n"/>
      <c r="R1451" s="14" t="n"/>
      <c r="V1451">
        <f>IF($A1451="","",IF(COUNTIF($A$2:$A1451,$A1451)=1,1,0))</f>
        <v/>
      </c>
      <c r="W1451">
        <f>IF($V1451=1,SUMPRODUCT(--($Y$2:$Y$1501&lt;$Y1451))+1,"")</f>
        <v/>
      </c>
      <c r="X1451">
        <f>IF($A1451="","",IF(OR($T1451=TRUE(),$T1451="TRUE"),1,0))</f>
        <v/>
      </c>
      <c r="Y1451">
        <f>IF($V1451=1,IFERROR(IF(VALUE($A1451)&lt;100000000,VALUE($A1451),1000000000),IFERROR(IF(VALUE(MID($A1451,2,20))&lt;100000000,VALUE(MID($A1451,2,20)),1000000000),1000000000))+ROW()/100000,"")</f>
        <v/>
      </c>
    </row>
    <row r="1452">
      <c r="F1452" s="7">
        <f>IF($A1452="","",E1452*L1452/100)</f>
        <v/>
      </c>
      <c r="J1452" s="7" t="n"/>
      <c r="K1452" s="7">
        <f>IF($A1452="","",N1452*U1452/100)</f>
        <v/>
      </c>
      <c r="L1452" s="7">
        <f>IF($A1452="","",N1452-K1452)</f>
        <v/>
      </c>
      <c r="M1452" s="7">
        <f>IF($A1452="","",L1452-F1452)</f>
        <v/>
      </c>
      <c r="N1452" s="7" t="n"/>
      <c r="O1452" s="7" t="n"/>
      <c r="P1452" s="7" t="n"/>
      <c r="R1452" s="14" t="n"/>
      <c r="V1452">
        <f>IF($A1452="","",IF(COUNTIF($A$2:$A1452,$A1452)=1,1,0))</f>
        <v/>
      </c>
      <c r="W1452">
        <f>IF($V1452=1,SUMPRODUCT(--($Y$2:$Y$1501&lt;$Y1452))+1,"")</f>
        <v/>
      </c>
      <c r="X1452">
        <f>IF($A1452="","",IF(OR($T1452=TRUE(),$T1452="TRUE"),1,0))</f>
        <v/>
      </c>
      <c r="Y1452">
        <f>IF($V1452=1,IFERROR(IF(VALUE($A1452)&lt;100000000,VALUE($A1452),1000000000),IFERROR(IF(VALUE(MID($A1452,2,20))&lt;100000000,VALUE(MID($A1452,2,20)),1000000000),1000000000))+ROW()/100000,"")</f>
        <v/>
      </c>
    </row>
    <row r="1453">
      <c r="F1453" s="7">
        <f>IF($A1453="","",E1453*L1453/100)</f>
        <v/>
      </c>
      <c r="J1453" s="7" t="n"/>
      <c r="K1453" s="7">
        <f>IF($A1453="","",N1453*U1453/100)</f>
        <v/>
      </c>
      <c r="L1453" s="7">
        <f>IF($A1453="","",N1453-K1453)</f>
        <v/>
      </c>
      <c r="M1453" s="7">
        <f>IF($A1453="","",L1453-F1453)</f>
        <v/>
      </c>
      <c r="N1453" s="7" t="n"/>
      <c r="O1453" s="7" t="n"/>
      <c r="P1453" s="7" t="n"/>
      <c r="R1453" s="14" t="n"/>
      <c r="V1453">
        <f>IF($A1453="","",IF(COUNTIF($A$2:$A1453,$A1453)=1,1,0))</f>
        <v/>
      </c>
      <c r="W1453">
        <f>IF($V1453=1,SUMPRODUCT(--($Y$2:$Y$1501&lt;$Y1453))+1,"")</f>
        <v/>
      </c>
      <c r="X1453">
        <f>IF($A1453="","",IF(OR($T1453=TRUE(),$T1453="TRUE"),1,0))</f>
        <v/>
      </c>
      <c r="Y1453">
        <f>IF($V1453=1,IFERROR(IF(VALUE($A1453)&lt;100000000,VALUE($A1453),1000000000),IFERROR(IF(VALUE(MID($A1453,2,20))&lt;100000000,VALUE(MID($A1453,2,20)),1000000000),1000000000))+ROW()/100000,"")</f>
        <v/>
      </c>
    </row>
    <row r="1454">
      <c r="F1454" s="7">
        <f>IF($A1454="","",E1454*L1454/100)</f>
        <v/>
      </c>
      <c r="J1454" s="7" t="n"/>
      <c r="K1454" s="7">
        <f>IF($A1454="","",N1454*U1454/100)</f>
        <v/>
      </c>
      <c r="L1454" s="7">
        <f>IF($A1454="","",N1454-K1454)</f>
        <v/>
      </c>
      <c r="M1454" s="7">
        <f>IF($A1454="","",L1454-F1454)</f>
        <v/>
      </c>
      <c r="N1454" s="7" t="n"/>
      <c r="O1454" s="7" t="n"/>
      <c r="P1454" s="7" t="n"/>
      <c r="R1454" s="14" t="n"/>
      <c r="V1454">
        <f>IF($A1454="","",IF(COUNTIF($A$2:$A1454,$A1454)=1,1,0))</f>
        <v/>
      </c>
      <c r="W1454">
        <f>IF($V1454=1,SUMPRODUCT(--($Y$2:$Y$1501&lt;$Y1454))+1,"")</f>
        <v/>
      </c>
      <c r="X1454">
        <f>IF($A1454="","",IF(OR($T1454=TRUE(),$T1454="TRUE"),1,0))</f>
        <v/>
      </c>
      <c r="Y1454">
        <f>IF($V1454=1,IFERROR(IF(VALUE($A1454)&lt;100000000,VALUE($A1454),1000000000),IFERROR(IF(VALUE(MID($A1454,2,20))&lt;100000000,VALUE(MID($A1454,2,20)),1000000000),1000000000))+ROW()/100000,"")</f>
        <v/>
      </c>
    </row>
    <row r="1455">
      <c r="F1455" s="7">
        <f>IF($A1455="","",E1455*L1455/100)</f>
        <v/>
      </c>
      <c r="J1455" s="7" t="n"/>
      <c r="K1455" s="7">
        <f>IF($A1455="","",N1455*U1455/100)</f>
        <v/>
      </c>
      <c r="L1455" s="7">
        <f>IF($A1455="","",N1455-K1455)</f>
        <v/>
      </c>
      <c r="M1455" s="7">
        <f>IF($A1455="","",L1455-F1455)</f>
        <v/>
      </c>
      <c r="N1455" s="7" t="n"/>
      <c r="O1455" s="7" t="n"/>
      <c r="P1455" s="7" t="n"/>
      <c r="R1455" s="14" t="n"/>
      <c r="V1455">
        <f>IF($A1455="","",IF(COUNTIF($A$2:$A1455,$A1455)=1,1,0))</f>
        <v/>
      </c>
      <c r="W1455">
        <f>IF($V1455=1,SUMPRODUCT(--($Y$2:$Y$1501&lt;$Y1455))+1,"")</f>
        <v/>
      </c>
      <c r="X1455">
        <f>IF($A1455="","",IF(OR($T1455=TRUE(),$T1455="TRUE"),1,0))</f>
        <v/>
      </c>
      <c r="Y1455">
        <f>IF($V1455=1,IFERROR(IF(VALUE($A1455)&lt;100000000,VALUE($A1455),1000000000),IFERROR(IF(VALUE(MID($A1455,2,20))&lt;100000000,VALUE(MID($A1455,2,20)),1000000000),1000000000))+ROW()/100000,"")</f>
        <v/>
      </c>
    </row>
    <row r="1456">
      <c r="F1456" s="7">
        <f>IF($A1456="","",E1456*L1456/100)</f>
        <v/>
      </c>
      <c r="J1456" s="7" t="n"/>
      <c r="K1456" s="7">
        <f>IF($A1456="","",N1456*U1456/100)</f>
        <v/>
      </c>
      <c r="L1456" s="7">
        <f>IF($A1456="","",N1456-K1456)</f>
        <v/>
      </c>
      <c r="M1456" s="7">
        <f>IF($A1456="","",L1456-F1456)</f>
        <v/>
      </c>
      <c r="N1456" s="7" t="n"/>
      <c r="O1456" s="7" t="n"/>
      <c r="P1456" s="7" t="n"/>
      <c r="R1456" s="14" t="n"/>
      <c r="V1456">
        <f>IF($A1456="","",IF(COUNTIF($A$2:$A1456,$A1456)=1,1,0))</f>
        <v/>
      </c>
      <c r="W1456">
        <f>IF($V1456=1,SUMPRODUCT(--($Y$2:$Y$1501&lt;$Y1456))+1,"")</f>
        <v/>
      </c>
      <c r="X1456">
        <f>IF($A1456="","",IF(OR($T1456=TRUE(),$T1456="TRUE"),1,0))</f>
        <v/>
      </c>
      <c r="Y1456">
        <f>IF($V1456=1,IFERROR(IF(VALUE($A1456)&lt;100000000,VALUE($A1456),1000000000),IFERROR(IF(VALUE(MID($A1456,2,20))&lt;100000000,VALUE(MID($A1456,2,20)),1000000000),1000000000))+ROW()/100000,"")</f>
        <v/>
      </c>
    </row>
    <row r="1457">
      <c r="F1457" s="7">
        <f>IF($A1457="","",E1457*L1457/100)</f>
        <v/>
      </c>
      <c r="J1457" s="7" t="n"/>
      <c r="K1457" s="7">
        <f>IF($A1457="","",N1457*U1457/100)</f>
        <v/>
      </c>
      <c r="L1457" s="7">
        <f>IF($A1457="","",N1457-K1457)</f>
        <v/>
      </c>
      <c r="M1457" s="7">
        <f>IF($A1457="","",L1457-F1457)</f>
        <v/>
      </c>
      <c r="N1457" s="7" t="n"/>
      <c r="O1457" s="7" t="n"/>
      <c r="P1457" s="7" t="n"/>
      <c r="R1457" s="14" t="n"/>
      <c r="V1457">
        <f>IF($A1457="","",IF(COUNTIF($A$2:$A1457,$A1457)=1,1,0))</f>
        <v/>
      </c>
      <c r="W1457">
        <f>IF($V1457=1,SUMPRODUCT(--($Y$2:$Y$1501&lt;$Y1457))+1,"")</f>
        <v/>
      </c>
      <c r="X1457">
        <f>IF($A1457="","",IF(OR($T1457=TRUE(),$T1457="TRUE"),1,0))</f>
        <v/>
      </c>
      <c r="Y1457">
        <f>IF($V1457=1,IFERROR(IF(VALUE($A1457)&lt;100000000,VALUE($A1457),1000000000),IFERROR(IF(VALUE(MID($A1457,2,20))&lt;100000000,VALUE(MID($A1457,2,20)),1000000000),1000000000))+ROW()/100000,"")</f>
        <v/>
      </c>
    </row>
    <row r="1458">
      <c r="F1458" s="7">
        <f>IF($A1458="","",E1458*L1458/100)</f>
        <v/>
      </c>
      <c r="J1458" s="7" t="n"/>
      <c r="K1458" s="7">
        <f>IF($A1458="","",N1458*U1458/100)</f>
        <v/>
      </c>
      <c r="L1458" s="7">
        <f>IF($A1458="","",N1458-K1458)</f>
        <v/>
      </c>
      <c r="M1458" s="7">
        <f>IF($A1458="","",L1458-F1458)</f>
        <v/>
      </c>
      <c r="N1458" s="7" t="n"/>
      <c r="O1458" s="7" t="n"/>
      <c r="P1458" s="7" t="n"/>
      <c r="R1458" s="14" t="n"/>
      <c r="V1458">
        <f>IF($A1458="","",IF(COUNTIF($A$2:$A1458,$A1458)=1,1,0))</f>
        <v/>
      </c>
      <c r="W1458">
        <f>IF($V1458=1,SUMPRODUCT(--($Y$2:$Y$1501&lt;$Y1458))+1,"")</f>
        <v/>
      </c>
      <c r="X1458">
        <f>IF($A1458="","",IF(OR($T1458=TRUE(),$T1458="TRUE"),1,0))</f>
        <v/>
      </c>
      <c r="Y1458">
        <f>IF($V1458=1,IFERROR(IF(VALUE($A1458)&lt;100000000,VALUE($A1458),1000000000),IFERROR(IF(VALUE(MID($A1458,2,20))&lt;100000000,VALUE(MID($A1458,2,20)),1000000000),1000000000))+ROW()/100000,"")</f>
        <v/>
      </c>
    </row>
    <row r="1459">
      <c r="F1459" s="7">
        <f>IF($A1459="","",E1459*L1459/100)</f>
        <v/>
      </c>
      <c r="J1459" s="7" t="n"/>
      <c r="K1459" s="7">
        <f>IF($A1459="","",N1459*U1459/100)</f>
        <v/>
      </c>
      <c r="L1459" s="7">
        <f>IF($A1459="","",N1459-K1459)</f>
        <v/>
      </c>
      <c r="M1459" s="7">
        <f>IF($A1459="","",L1459-F1459)</f>
        <v/>
      </c>
      <c r="N1459" s="7" t="n"/>
      <c r="O1459" s="7" t="n"/>
      <c r="P1459" s="7" t="n"/>
      <c r="R1459" s="14" t="n"/>
      <c r="V1459">
        <f>IF($A1459="","",IF(COUNTIF($A$2:$A1459,$A1459)=1,1,0))</f>
        <v/>
      </c>
      <c r="W1459">
        <f>IF($V1459=1,SUMPRODUCT(--($Y$2:$Y$1501&lt;$Y1459))+1,"")</f>
        <v/>
      </c>
      <c r="X1459">
        <f>IF($A1459="","",IF(OR($T1459=TRUE(),$T1459="TRUE"),1,0))</f>
        <v/>
      </c>
      <c r="Y1459">
        <f>IF($V1459=1,IFERROR(IF(VALUE($A1459)&lt;100000000,VALUE($A1459),1000000000),IFERROR(IF(VALUE(MID($A1459,2,20))&lt;100000000,VALUE(MID($A1459,2,20)),1000000000),1000000000))+ROW()/100000,"")</f>
        <v/>
      </c>
    </row>
    <row r="1460">
      <c r="F1460" s="7">
        <f>IF($A1460="","",E1460*L1460/100)</f>
        <v/>
      </c>
      <c r="J1460" s="7" t="n"/>
      <c r="K1460" s="7">
        <f>IF($A1460="","",N1460*U1460/100)</f>
        <v/>
      </c>
      <c r="L1460" s="7">
        <f>IF($A1460="","",N1460-K1460)</f>
        <v/>
      </c>
      <c r="M1460" s="7">
        <f>IF($A1460="","",L1460-F1460)</f>
        <v/>
      </c>
      <c r="N1460" s="7" t="n"/>
      <c r="O1460" s="7" t="n"/>
      <c r="P1460" s="7" t="n"/>
      <c r="R1460" s="14" t="n"/>
      <c r="V1460">
        <f>IF($A1460="","",IF(COUNTIF($A$2:$A1460,$A1460)=1,1,0))</f>
        <v/>
      </c>
      <c r="W1460">
        <f>IF($V1460=1,SUMPRODUCT(--($Y$2:$Y$1501&lt;$Y1460))+1,"")</f>
        <v/>
      </c>
      <c r="X1460">
        <f>IF($A1460="","",IF(OR($T1460=TRUE(),$T1460="TRUE"),1,0))</f>
        <v/>
      </c>
      <c r="Y1460">
        <f>IF($V1460=1,IFERROR(IF(VALUE($A1460)&lt;100000000,VALUE($A1460),1000000000),IFERROR(IF(VALUE(MID($A1460,2,20))&lt;100000000,VALUE(MID($A1460,2,20)),1000000000),1000000000))+ROW()/100000,"")</f>
        <v/>
      </c>
    </row>
    <row r="1461">
      <c r="F1461" s="7">
        <f>IF($A1461="","",E1461*L1461/100)</f>
        <v/>
      </c>
      <c r="J1461" s="7" t="n"/>
      <c r="K1461" s="7">
        <f>IF($A1461="","",N1461*U1461/100)</f>
        <v/>
      </c>
      <c r="L1461" s="7">
        <f>IF($A1461="","",N1461-K1461)</f>
        <v/>
      </c>
      <c r="M1461" s="7">
        <f>IF($A1461="","",L1461-F1461)</f>
        <v/>
      </c>
      <c r="N1461" s="7" t="n"/>
      <c r="O1461" s="7" t="n"/>
      <c r="P1461" s="7" t="n"/>
      <c r="R1461" s="14" t="n"/>
      <c r="V1461">
        <f>IF($A1461="","",IF(COUNTIF($A$2:$A1461,$A1461)=1,1,0))</f>
        <v/>
      </c>
      <c r="W1461">
        <f>IF($V1461=1,SUMPRODUCT(--($Y$2:$Y$1501&lt;$Y1461))+1,"")</f>
        <v/>
      </c>
      <c r="X1461">
        <f>IF($A1461="","",IF(OR($T1461=TRUE(),$T1461="TRUE"),1,0))</f>
        <v/>
      </c>
      <c r="Y1461">
        <f>IF($V1461=1,IFERROR(IF(VALUE($A1461)&lt;100000000,VALUE($A1461),1000000000),IFERROR(IF(VALUE(MID($A1461,2,20))&lt;100000000,VALUE(MID($A1461,2,20)),1000000000),1000000000))+ROW()/100000,"")</f>
        <v/>
      </c>
    </row>
    <row r="1462">
      <c r="F1462" s="7">
        <f>IF($A1462="","",E1462*L1462/100)</f>
        <v/>
      </c>
      <c r="J1462" s="7" t="n"/>
      <c r="K1462" s="7">
        <f>IF($A1462="","",N1462*U1462/100)</f>
        <v/>
      </c>
      <c r="L1462" s="7">
        <f>IF($A1462="","",N1462-K1462)</f>
        <v/>
      </c>
      <c r="M1462" s="7">
        <f>IF($A1462="","",L1462-F1462)</f>
        <v/>
      </c>
      <c r="N1462" s="7" t="n"/>
      <c r="O1462" s="7" t="n"/>
      <c r="P1462" s="7" t="n"/>
      <c r="R1462" s="14" t="n"/>
      <c r="V1462">
        <f>IF($A1462="","",IF(COUNTIF($A$2:$A1462,$A1462)=1,1,0))</f>
        <v/>
      </c>
      <c r="W1462">
        <f>IF($V1462=1,SUMPRODUCT(--($Y$2:$Y$1501&lt;$Y1462))+1,"")</f>
        <v/>
      </c>
      <c r="X1462">
        <f>IF($A1462="","",IF(OR($T1462=TRUE(),$T1462="TRUE"),1,0))</f>
        <v/>
      </c>
      <c r="Y1462">
        <f>IF($V1462=1,IFERROR(IF(VALUE($A1462)&lt;100000000,VALUE($A1462),1000000000),IFERROR(IF(VALUE(MID($A1462,2,20))&lt;100000000,VALUE(MID($A1462,2,20)),1000000000),1000000000))+ROW()/100000,"")</f>
        <v/>
      </c>
    </row>
    <row r="1463">
      <c r="F1463" s="7">
        <f>IF($A1463="","",E1463*L1463/100)</f>
        <v/>
      </c>
      <c r="J1463" s="7" t="n"/>
      <c r="K1463" s="7">
        <f>IF($A1463="","",N1463*U1463/100)</f>
        <v/>
      </c>
      <c r="L1463" s="7">
        <f>IF($A1463="","",N1463-K1463)</f>
        <v/>
      </c>
      <c r="M1463" s="7">
        <f>IF($A1463="","",L1463-F1463)</f>
        <v/>
      </c>
      <c r="N1463" s="7" t="n"/>
      <c r="O1463" s="7" t="n"/>
      <c r="P1463" s="7" t="n"/>
      <c r="R1463" s="14" t="n"/>
      <c r="V1463">
        <f>IF($A1463="","",IF(COUNTIF($A$2:$A1463,$A1463)=1,1,0))</f>
        <v/>
      </c>
      <c r="W1463">
        <f>IF($V1463=1,SUMPRODUCT(--($Y$2:$Y$1501&lt;$Y1463))+1,"")</f>
        <v/>
      </c>
      <c r="X1463">
        <f>IF($A1463="","",IF(OR($T1463=TRUE(),$T1463="TRUE"),1,0))</f>
        <v/>
      </c>
      <c r="Y1463">
        <f>IF($V1463=1,IFERROR(IF(VALUE($A1463)&lt;100000000,VALUE($A1463),1000000000),IFERROR(IF(VALUE(MID($A1463,2,20))&lt;100000000,VALUE(MID($A1463,2,20)),1000000000),1000000000))+ROW()/100000,"")</f>
        <v/>
      </c>
    </row>
    <row r="1464">
      <c r="F1464" s="7">
        <f>IF($A1464="","",E1464*L1464/100)</f>
        <v/>
      </c>
      <c r="J1464" s="7" t="n"/>
      <c r="K1464" s="7">
        <f>IF($A1464="","",N1464*U1464/100)</f>
        <v/>
      </c>
      <c r="L1464" s="7">
        <f>IF($A1464="","",N1464-K1464)</f>
        <v/>
      </c>
      <c r="M1464" s="7">
        <f>IF($A1464="","",L1464-F1464)</f>
        <v/>
      </c>
      <c r="N1464" s="7" t="n"/>
      <c r="O1464" s="7" t="n"/>
      <c r="P1464" s="7" t="n"/>
      <c r="R1464" s="14" t="n"/>
      <c r="V1464">
        <f>IF($A1464="","",IF(COUNTIF($A$2:$A1464,$A1464)=1,1,0))</f>
        <v/>
      </c>
      <c r="W1464">
        <f>IF($V1464=1,SUMPRODUCT(--($Y$2:$Y$1501&lt;$Y1464))+1,"")</f>
        <v/>
      </c>
      <c r="X1464">
        <f>IF($A1464="","",IF(OR($T1464=TRUE(),$T1464="TRUE"),1,0))</f>
        <v/>
      </c>
      <c r="Y1464">
        <f>IF($V1464=1,IFERROR(IF(VALUE($A1464)&lt;100000000,VALUE($A1464),1000000000),IFERROR(IF(VALUE(MID($A1464,2,20))&lt;100000000,VALUE(MID($A1464,2,20)),1000000000),1000000000))+ROW()/100000,"")</f>
        <v/>
      </c>
    </row>
    <row r="1465">
      <c r="F1465" s="7">
        <f>IF($A1465="","",E1465*L1465/100)</f>
        <v/>
      </c>
      <c r="J1465" s="7" t="n"/>
      <c r="K1465" s="7">
        <f>IF($A1465="","",N1465*U1465/100)</f>
        <v/>
      </c>
      <c r="L1465" s="7">
        <f>IF($A1465="","",N1465-K1465)</f>
        <v/>
      </c>
      <c r="M1465" s="7">
        <f>IF($A1465="","",L1465-F1465)</f>
        <v/>
      </c>
      <c r="N1465" s="7" t="n"/>
      <c r="O1465" s="7" t="n"/>
      <c r="P1465" s="7" t="n"/>
      <c r="R1465" s="14" t="n"/>
      <c r="V1465">
        <f>IF($A1465="","",IF(COUNTIF($A$2:$A1465,$A1465)=1,1,0))</f>
        <v/>
      </c>
      <c r="W1465">
        <f>IF($V1465=1,SUMPRODUCT(--($Y$2:$Y$1501&lt;$Y1465))+1,"")</f>
        <v/>
      </c>
      <c r="X1465">
        <f>IF($A1465="","",IF(OR($T1465=TRUE(),$T1465="TRUE"),1,0))</f>
        <v/>
      </c>
      <c r="Y1465">
        <f>IF($V1465=1,IFERROR(IF(VALUE($A1465)&lt;100000000,VALUE($A1465),1000000000),IFERROR(IF(VALUE(MID($A1465,2,20))&lt;100000000,VALUE(MID($A1465,2,20)),1000000000),1000000000))+ROW()/100000,"")</f>
        <v/>
      </c>
    </row>
    <row r="1466">
      <c r="F1466" s="7">
        <f>IF($A1466="","",E1466*L1466/100)</f>
        <v/>
      </c>
      <c r="J1466" s="7" t="n"/>
      <c r="K1466" s="7">
        <f>IF($A1466="","",N1466*U1466/100)</f>
        <v/>
      </c>
      <c r="L1466" s="7">
        <f>IF($A1466="","",N1466-K1466)</f>
        <v/>
      </c>
      <c r="M1466" s="7">
        <f>IF($A1466="","",L1466-F1466)</f>
        <v/>
      </c>
      <c r="N1466" s="7" t="n"/>
      <c r="O1466" s="7" t="n"/>
      <c r="P1466" s="7" t="n"/>
      <c r="R1466" s="14" t="n"/>
      <c r="V1466">
        <f>IF($A1466="","",IF(COUNTIF($A$2:$A1466,$A1466)=1,1,0))</f>
        <v/>
      </c>
      <c r="W1466">
        <f>IF($V1466=1,SUMPRODUCT(--($Y$2:$Y$1501&lt;$Y1466))+1,"")</f>
        <v/>
      </c>
      <c r="X1466">
        <f>IF($A1466="","",IF(OR($T1466=TRUE(),$T1466="TRUE"),1,0))</f>
        <v/>
      </c>
      <c r="Y1466">
        <f>IF($V1466=1,IFERROR(IF(VALUE($A1466)&lt;100000000,VALUE($A1466),1000000000),IFERROR(IF(VALUE(MID($A1466,2,20))&lt;100000000,VALUE(MID($A1466,2,20)),1000000000),1000000000))+ROW()/100000,"")</f>
        <v/>
      </c>
    </row>
    <row r="1467">
      <c r="F1467" s="7">
        <f>IF($A1467="","",E1467*L1467/100)</f>
        <v/>
      </c>
      <c r="J1467" s="7" t="n"/>
      <c r="K1467" s="7">
        <f>IF($A1467="","",N1467*U1467/100)</f>
        <v/>
      </c>
      <c r="L1467" s="7">
        <f>IF($A1467="","",N1467-K1467)</f>
        <v/>
      </c>
      <c r="M1467" s="7">
        <f>IF($A1467="","",L1467-F1467)</f>
        <v/>
      </c>
      <c r="N1467" s="7" t="n"/>
      <c r="O1467" s="7" t="n"/>
      <c r="P1467" s="7" t="n"/>
      <c r="R1467" s="14" t="n"/>
      <c r="V1467">
        <f>IF($A1467="","",IF(COUNTIF($A$2:$A1467,$A1467)=1,1,0))</f>
        <v/>
      </c>
      <c r="W1467">
        <f>IF($V1467=1,SUMPRODUCT(--($Y$2:$Y$1501&lt;$Y1467))+1,"")</f>
        <v/>
      </c>
      <c r="X1467">
        <f>IF($A1467="","",IF(OR($T1467=TRUE(),$T1467="TRUE"),1,0))</f>
        <v/>
      </c>
      <c r="Y1467">
        <f>IF($V1467=1,IFERROR(IF(VALUE($A1467)&lt;100000000,VALUE($A1467),1000000000),IFERROR(IF(VALUE(MID($A1467,2,20))&lt;100000000,VALUE(MID($A1467,2,20)),1000000000),1000000000))+ROW()/100000,"")</f>
        <v/>
      </c>
    </row>
    <row r="1468">
      <c r="F1468" s="7">
        <f>IF($A1468="","",E1468*L1468/100)</f>
        <v/>
      </c>
      <c r="J1468" s="7" t="n"/>
      <c r="K1468" s="7">
        <f>IF($A1468="","",N1468*U1468/100)</f>
        <v/>
      </c>
      <c r="L1468" s="7">
        <f>IF($A1468="","",N1468-K1468)</f>
        <v/>
      </c>
      <c r="M1468" s="7">
        <f>IF($A1468="","",L1468-F1468)</f>
        <v/>
      </c>
      <c r="N1468" s="7" t="n"/>
      <c r="O1468" s="7" t="n"/>
      <c r="P1468" s="7" t="n"/>
      <c r="R1468" s="14" t="n"/>
      <c r="V1468">
        <f>IF($A1468="","",IF(COUNTIF($A$2:$A1468,$A1468)=1,1,0))</f>
        <v/>
      </c>
      <c r="W1468">
        <f>IF($V1468=1,SUMPRODUCT(--($Y$2:$Y$1501&lt;$Y1468))+1,"")</f>
        <v/>
      </c>
      <c r="X1468">
        <f>IF($A1468="","",IF(OR($T1468=TRUE(),$T1468="TRUE"),1,0))</f>
        <v/>
      </c>
      <c r="Y1468">
        <f>IF($V1468=1,IFERROR(IF(VALUE($A1468)&lt;100000000,VALUE($A1468),1000000000),IFERROR(IF(VALUE(MID($A1468,2,20))&lt;100000000,VALUE(MID($A1468,2,20)),1000000000),1000000000))+ROW()/100000,"")</f>
        <v/>
      </c>
    </row>
    <row r="1469">
      <c r="F1469" s="7">
        <f>IF($A1469="","",E1469*L1469/100)</f>
        <v/>
      </c>
      <c r="J1469" s="7" t="n"/>
      <c r="K1469" s="7">
        <f>IF($A1469="","",N1469*U1469/100)</f>
        <v/>
      </c>
      <c r="L1469" s="7">
        <f>IF($A1469="","",N1469-K1469)</f>
        <v/>
      </c>
      <c r="M1469" s="7">
        <f>IF($A1469="","",L1469-F1469)</f>
        <v/>
      </c>
      <c r="N1469" s="7" t="n"/>
      <c r="O1469" s="7" t="n"/>
      <c r="P1469" s="7" t="n"/>
      <c r="R1469" s="14" t="n"/>
      <c r="V1469">
        <f>IF($A1469="","",IF(COUNTIF($A$2:$A1469,$A1469)=1,1,0))</f>
        <v/>
      </c>
      <c r="W1469">
        <f>IF($V1469=1,SUMPRODUCT(--($Y$2:$Y$1501&lt;$Y1469))+1,"")</f>
        <v/>
      </c>
      <c r="X1469">
        <f>IF($A1469="","",IF(OR($T1469=TRUE(),$T1469="TRUE"),1,0))</f>
        <v/>
      </c>
      <c r="Y1469">
        <f>IF($V1469=1,IFERROR(IF(VALUE($A1469)&lt;100000000,VALUE($A1469),1000000000),IFERROR(IF(VALUE(MID($A1469,2,20))&lt;100000000,VALUE(MID($A1469,2,20)),1000000000),1000000000))+ROW()/100000,"")</f>
        <v/>
      </c>
    </row>
    <row r="1470">
      <c r="F1470" s="7">
        <f>IF($A1470="","",E1470*L1470/100)</f>
        <v/>
      </c>
      <c r="J1470" s="7" t="n"/>
      <c r="K1470" s="7">
        <f>IF($A1470="","",N1470*U1470/100)</f>
        <v/>
      </c>
      <c r="L1470" s="7">
        <f>IF($A1470="","",N1470-K1470)</f>
        <v/>
      </c>
      <c r="M1470" s="7">
        <f>IF($A1470="","",L1470-F1470)</f>
        <v/>
      </c>
      <c r="N1470" s="7" t="n"/>
      <c r="O1470" s="7" t="n"/>
      <c r="P1470" s="7" t="n"/>
      <c r="R1470" s="14" t="n"/>
      <c r="V1470">
        <f>IF($A1470="","",IF(COUNTIF($A$2:$A1470,$A1470)=1,1,0))</f>
        <v/>
      </c>
      <c r="W1470">
        <f>IF($V1470=1,SUMPRODUCT(--($Y$2:$Y$1501&lt;$Y1470))+1,"")</f>
        <v/>
      </c>
      <c r="X1470">
        <f>IF($A1470="","",IF(OR($T1470=TRUE(),$T1470="TRUE"),1,0))</f>
        <v/>
      </c>
      <c r="Y1470">
        <f>IF($V1470=1,IFERROR(IF(VALUE($A1470)&lt;100000000,VALUE($A1470),1000000000),IFERROR(IF(VALUE(MID($A1470,2,20))&lt;100000000,VALUE(MID($A1470,2,20)),1000000000),1000000000))+ROW()/100000,"")</f>
        <v/>
      </c>
    </row>
    <row r="1471">
      <c r="F1471" s="7">
        <f>IF($A1471="","",E1471*L1471/100)</f>
        <v/>
      </c>
      <c r="J1471" s="7" t="n"/>
      <c r="K1471" s="7">
        <f>IF($A1471="","",N1471*U1471/100)</f>
        <v/>
      </c>
      <c r="L1471" s="7">
        <f>IF($A1471="","",N1471-K1471)</f>
        <v/>
      </c>
      <c r="M1471" s="7">
        <f>IF($A1471="","",L1471-F1471)</f>
        <v/>
      </c>
      <c r="N1471" s="7" t="n"/>
      <c r="O1471" s="7" t="n"/>
      <c r="P1471" s="7" t="n"/>
      <c r="R1471" s="14" t="n"/>
      <c r="V1471">
        <f>IF($A1471="","",IF(COUNTIF($A$2:$A1471,$A1471)=1,1,0))</f>
        <v/>
      </c>
      <c r="W1471">
        <f>IF($V1471=1,SUMPRODUCT(--($Y$2:$Y$1501&lt;$Y1471))+1,"")</f>
        <v/>
      </c>
      <c r="X1471">
        <f>IF($A1471="","",IF(OR($T1471=TRUE(),$T1471="TRUE"),1,0))</f>
        <v/>
      </c>
      <c r="Y1471">
        <f>IF($V1471=1,IFERROR(IF(VALUE($A1471)&lt;100000000,VALUE($A1471),1000000000),IFERROR(IF(VALUE(MID($A1471,2,20))&lt;100000000,VALUE(MID($A1471,2,20)),1000000000),1000000000))+ROW()/100000,"")</f>
        <v/>
      </c>
    </row>
    <row r="1472">
      <c r="F1472" s="7">
        <f>IF($A1472="","",E1472*L1472/100)</f>
        <v/>
      </c>
      <c r="J1472" s="7" t="n"/>
      <c r="K1472" s="7">
        <f>IF($A1472="","",N1472*U1472/100)</f>
        <v/>
      </c>
      <c r="L1472" s="7">
        <f>IF($A1472="","",N1472-K1472)</f>
        <v/>
      </c>
      <c r="M1472" s="7">
        <f>IF($A1472="","",L1472-F1472)</f>
        <v/>
      </c>
      <c r="N1472" s="7" t="n"/>
      <c r="O1472" s="7" t="n"/>
      <c r="P1472" s="7" t="n"/>
      <c r="R1472" s="14" t="n"/>
      <c r="V1472">
        <f>IF($A1472="","",IF(COUNTIF($A$2:$A1472,$A1472)=1,1,0))</f>
        <v/>
      </c>
      <c r="W1472">
        <f>IF($V1472=1,SUMPRODUCT(--($Y$2:$Y$1501&lt;$Y1472))+1,"")</f>
        <v/>
      </c>
      <c r="X1472">
        <f>IF($A1472="","",IF(OR($T1472=TRUE(),$T1472="TRUE"),1,0))</f>
        <v/>
      </c>
      <c r="Y1472">
        <f>IF($V1472=1,IFERROR(IF(VALUE($A1472)&lt;100000000,VALUE($A1472),1000000000),IFERROR(IF(VALUE(MID($A1472,2,20))&lt;100000000,VALUE(MID($A1472,2,20)),1000000000),1000000000))+ROW()/100000,"")</f>
        <v/>
      </c>
    </row>
    <row r="1473">
      <c r="F1473" s="7">
        <f>IF($A1473="","",E1473*L1473/100)</f>
        <v/>
      </c>
      <c r="J1473" s="7" t="n"/>
      <c r="K1473" s="7">
        <f>IF($A1473="","",N1473*U1473/100)</f>
        <v/>
      </c>
      <c r="L1473" s="7">
        <f>IF($A1473="","",N1473-K1473)</f>
        <v/>
      </c>
      <c r="M1473" s="7">
        <f>IF($A1473="","",L1473-F1473)</f>
        <v/>
      </c>
      <c r="N1473" s="7" t="n"/>
      <c r="O1473" s="7" t="n"/>
      <c r="P1473" s="7" t="n"/>
      <c r="R1473" s="14" t="n"/>
      <c r="V1473">
        <f>IF($A1473="","",IF(COUNTIF($A$2:$A1473,$A1473)=1,1,0))</f>
        <v/>
      </c>
      <c r="W1473">
        <f>IF($V1473=1,SUMPRODUCT(--($Y$2:$Y$1501&lt;$Y1473))+1,"")</f>
        <v/>
      </c>
      <c r="X1473">
        <f>IF($A1473="","",IF(OR($T1473=TRUE(),$T1473="TRUE"),1,0))</f>
        <v/>
      </c>
      <c r="Y1473">
        <f>IF($V1473=1,IFERROR(IF(VALUE($A1473)&lt;100000000,VALUE($A1473),1000000000),IFERROR(IF(VALUE(MID($A1473,2,20))&lt;100000000,VALUE(MID($A1473,2,20)),1000000000),1000000000))+ROW()/100000,"")</f>
        <v/>
      </c>
    </row>
    <row r="1474">
      <c r="F1474" s="7">
        <f>IF($A1474="","",E1474*L1474/100)</f>
        <v/>
      </c>
      <c r="J1474" s="7" t="n"/>
      <c r="K1474" s="7">
        <f>IF($A1474="","",N1474*U1474/100)</f>
        <v/>
      </c>
      <c r="L1474" s="7">
        <f>IF($A1474="","",N1474-K1474)</f>
        <v/>
      </c>
      <c r="M1474" s="7">
        <f>IF($A1474="","",L1474-F1474)</f>
        <v/>
      </c>
      <c r="N1474" s="7" t="n"/>
      <c r="O1474" s="7" t="n"/>
      <c r="P1474" s="7" t="n"/>
      <c r="R1474" s="14" t="n"/>
      <c r="V1474">
        <f>IF($A1474="","",IF(COUNTIF($A$2:$A1474,$A1474)=1,1,0))</f>
        <v/>
      </c>
      <c r="W1474">
        <f>IF($V1474=1,SUMPRODUCT(--($Y$2:$Y$1501&lt;$Y1474))+1,"")</f>
        <v/>
      </c>
      <c r="X1474">
        <f>IF($A1474="","",IF(OR($T1474=TRUE(),$T1474="TRUE"),1,0))</f>
        <v/>
      </c>
      <c r="Y1474">
        <f>IF($V1474=1,IFERROR(IF(VALUE($A1474)&lt;100000000,VALUE($A1474),1000000000),IFERROR(IF(VALUE(MID($A1474,2,20))&lt;100000000,VALUE(MID($A1474,2,20)),1000000000),1000000000))+ROW()/100000,"")</f>
        <v/>
      </c>
    </row>
    <row r="1475">
      <c r="F1475" s="7">
        <f>IF($A1475="","",E1475*L1475/100)</f>
        <v/>
      </c>
      <c r="J1475" s="7" t="n"/>
      <c r="K1475" s="7">
        <f>IF($A1475="","",N1475*U1475/100)</f>
        <v/>
      </c>
      <c r="L1475" s="7">
        <f>IF($A1475="","",N1475-K1475)</f>
        <v/>
      </c>
      <c r="M1475" s="7">
        <f>IF($A1475="","",L1475-F1475)</f>
        <v/>
      </c>
      <c r="N1475" s="7" t="n"/>
      <c r="O1475" s="7" t="n"/>
      <c r="P1475" s="7" t="n"/>
      <c r="R1475" s="14" t="n"/>
      <c r="V1475">
        <f>IF($A1475="","",IF(COUNTIF($A$2:$A1475,$A1475)=1,1,0))</f>
        <v/>
      </c>
      <c r="W1475">
        <f>IF($V1475=1,SUMPRODUCT(--($Y$2:$Y$1501&lt;$Y1475))+1,"")</f>
        <v/>
      </c>
      <c r="X1475">
        <f>IF($A1475="","",IF(OR($T1475=TRUE(),$T1475="TRUE"),1,0))</f>
        <v/>
      </c>
      <c r="Y1475">
        <f>IF($V1475=1,IFERROR(IF(VALUE($A1475)&lt;100000000,VALUE($A1475),1000000000),IFERROR(IF(VALUE(MID($A1475,2,20))&lt;100000000,VALUE(MID($A1475,2,20)),1000000000),1000000000))+ROW()/100000,"")</f>
        <v/>
      </c>
    </row>
    <row r="1476">
      <c r="F1476" s="7">
        <f>IF($A1476="","",E1476*L1476/100)</f>
        <v/>
      </c>
      <c r="J1476" s="7" t="n"/>
      <c r="K1476" s="7">
        <f>IF($A1476="","",N1476*U1476/100)</f>
        <v/>
      </c>
      <c r="L1476" s="7">
        <f>IF($A1476="","",N1476-K1476)</f>
        <v/>
      </c>
      <c r="M1476" s="7">
        <f>IF($A1476="","",L1476-F1476)</f>
        <v/>
      </c>
      <c r="N1476" s="7" t="n"/>
      <c r="O1476" s="7" t="n"/>
      <c r="P1476" s="7" t="n"/>
      <c r="R1476" s="14" t="n"/>
      <c r="V1476">
        <f>IF($A1476="","",IF(COUNTIF($A$2:$A1476,$A1476)=1,1,0))</f>
        <v/>
      </c>
      <c r="W1476">
        <f>IF($V1476=1,SUMPRODUCT(--($Y$2:$Y$1501&lt;$Y1476))+1,"")</f>
        <v/>
      </c>
      <c r="X1476">
        <f>IF($A1476="","",IF(OR($T1476=TRUE(),$T1476="TRUE"),1,0))</f>
        <v/>
      </c>
      <c r="Y1476">
        <f>IF($V1476=1,IFERROR(IF(VALUE($A1476)&lt;100000000,VALUE($A1476),1000000000),IFERROR(IF(VALUE(MID($A1476,2,20))&lt;100000000,VALUE(MID($A1476,2,20)),1000000000),1000000000))+ROW()/100000,"")</f>
        <v/>
      </c>
    </row>
    <row r="1477">
      <c r="F1477" s="7">
        <f>IF($A1477="","",E1477*L1477/100)</f>
        <v/>
      </c>
      <c r="J1477" s="7" t="n"/>
      <c r="K1477" s="7">
        <f>IF($A1477="","",N1477*U1477/100)</f>
        <v/>
      </c>
      <c r="L1477" s="7">
        <f>IF($A1477="","",N1477-K1477)</f>
        <v/>
      </c>
      <c r="M1477" s="7">
        <f>IF($A1477="","",L1477-F1477)</f>
        <v/>
      </c>
      <c r="N1477" s="7" t="n"/>
      <c r="O1477" s="7" t="n"/>
      <c r="P1477" s="7" t="n"/>
      <c r="R1477" s="14" t="n"/>
      <c r="V1477">
        <f>IF($A1477="","",IF(COUNTIF($A$2:$A1477,$A1477)=1,1,0))</f>
        <v/>
      </c>
      <c r="W1477">
        <f>IF($V1477=1,SUMPRODUCT(--($Y$2:$Y$1501&lt;$Y1477))+1,"")</f>
        <v/>
      </c>
      <c r="X1477">
        <f>IF($A1477="","",IF(OR($T1477=TRUE(),$T1477="TRUE"),1,0))</f>
        <v/>
      </c>
      <c r="Y1477">
        <f>IF($V1477=1,IFERROR(IF(VALUE($A1477)&lt;100000000,VALUE($A1477),1000000000),IFERROR(IF(VALUE(MID($A1477,2,20))&lt;100000000,VALUE(MID($A1477,2,20)),1000000000),1000000000))+ROW()/100000,"")</f>
        <v/>
      </c>
    </row>
    <row r="1478">
      <c r="F1478" s="7">
        <f>IF($A1478="","",E1478*L1478/100)</f>
        <v/>
      </c>
      <c r="J1478" s="7" t="n"/>
      <c r="K1478" s="7">
        <f>IF($A1478="","",N1478*U1478/100)</f>
        <v/>
      </c>
      <c r="L1478" s="7">
        <f>IF($A1478="","",N1478-K1478)</f>
        <v/>
      </c>
      <c r="M1478" s="7">
        <f>IF($A1478="","",L1478-F1478)</f>
        <v/>
      </c>
      <c r="N1478" s="7" t="n"/>
      <c r="O1478" s="7" t="n"/>
      <c r="P1478" s="7" t="n"/>
      <c r="R1478" s="14" t="n"/>
      <c r="V1478">
        <f>IF($A1478="","",IF(COUNTIF($A$2:$A1478,$A1478)=1,1,0))</f>
        <v/>
      </c>
      <c r="W1478">
        <f>IF($V1478=1,SUMPRODUCT(--($Y$2:$Y$1501&lt;$Y1478))+1,"")</f>
        <v/>
      </c>
      <c r="X1478">
        <f>IF($A1478="","",IF(OR($T1478=TRUE(),$T1478="TRUE"),1,0))</f>
        <v/>
      </c>
      <c r="Y1478">
        <f>IF($V1478=1,IFERROR(IF(VALUE($A1478)&lt;100000000,VALUE($A1478),1000000000),IFERROR(IF(VALUE(MID($A1478,2,20))&lt;100000000,VALUE(MID($A1478,2,20)),1000000000),1000000000))+ROW()/100000,"")</f>
        <v/>
      </c>
    </row>
    <row r="1479">
      <c r="F1479" s="7">
        <f>IF($A1479="","",E1479*L1479/100)</f>
        <v/>
      </c>
      <c r="J1479" s="7" t="n"/>
      <c r="K1479" s="7">
        <f>IF($A1479="","",N1479*U1479/100)</f>
        <v/>
      </c>
      <c r="L1479" s="7">
        <f>IF($A1479="","",N1479-K1479)</f>
        <v/>
      </c>
      <c r="M1479" s="7">
        <f>IF($A1479="","",L1479-F1479)</f>
        <v/>
      </c>
      <c r="N1479" s="7" t="n"/>
      <c r="O1479" s="7" t="n"/>
      <c r="P1479" s="7" t="n"/>
      <c r="R1479" s="14" t="n"/>
      <c r="V1479">
        <f>IF($A1479="","",IF(COUNTIF($A$2:$A1479,$A1479)=1,1,0))</f>
        <v/>
      </c>
      <c r="W1479">
        <f>IF($V1479=1,SUMPRODUCT(--($Y$2:$Y$1501&lt;$Y1479))+1,"")</f>
        <v/>
      </c>
      <c r="X1479">
        <f>IF($A1479="","",IF(OR($T1479=TRUE(),$T1479="TRUE"),1,0))</f>
        <v/>
      </c>
      <c r="Y1479">
        <f>IF($V1479=1,IFERROR(IF(VALUE($A1479)&lt;100000000,VALUE($A1479),1000000000),IFERROR(IF(VALUE(MID($A1479,2,20))&lt;100000000,VALUE(MID($A1479,2,20)),1000000000),1000000000))+ROW()/100000,"")</f>
        <v/>
      </c>
    </row>
    <row r="1480">
      <c r="F1480" s="7">
        <f>IF($A1480="","",E1480*L1480/100)</f>
        <v/>
      </c>
      <c r="J1480" s="7" t="n"/>
      <c r="K1480" s="7">
        <f>IF($A1480="","",N1480*U1480/100)</f>
        <v/>
      </c>
      <c r="L1480" s="7">
        <f>IF($A1480="","",N1480-K1480)</f>
        <v/>
      </c>
      <c r="M1480" s="7">
        <f>IF($A1480="","",L1480-F1480)</f>
        <v/>
      </c>
      <c r="N1480" s="7" t="n"/>
      <c r="O1480" s="7" t="n"/>
      <c r="P1480" s="7" t="n"/>
      <c r="R1480" s="14" t="n"/>
      <c r="V1480">
        <f>IF($A1480="","",IF(COUNTIF($A$2:$A1480,$A1480)=1,1,0))</f>
        <v/>
      </c>
      <c r="W1480">
        <f>IF($V1480=1,SUMPRODUCT(--($Y$2:$Y$1501&lt;$Y1480))+1,"")</f>
        <v/>
      </c>
      <c r="X1480">
        <f>IF($A1480="","",IF(OR($T1480=TRUE(),$T1480="TRUE"),1,0))</f>
        <v/>
      </c>
      <c r="Y1480">
        <f>IF($V1480=1,IFERROR(IF(VALUE($A1480)&lt;100000000,VALUE($A1480),1000000000),IFERROR(IF(VALUE(MID($A1480,2,20))&lt;100000000,VALUE(MID($A1480,2,20)),1000000000),1000000000))+ROW()/100000,"")</f>
        <v/>
      </c>
    </row>
    <row r="1481">
      <c r="F1481" s="7">
        <f>IF($A1481="","",E1481*L1481/100)</f>
        <v/>
      </c>
      <c r="J1481" s="7" t="n"/>
      <c r="K1481" s="7">
        <f>IF($A1481="","",N1481*U1481/100)</f>
        <v/>
      </c>
      <c r="L1481" s="7">
        <f>IF($A1481="","",N1481-K1481)</f>
        <v/>
      </c>
      <c r="M1481" s="7">
        <f>IF($A1481="","",L1481-F1481)</f>
        <v/>
      </c>
      <c r="N1481" s="7" t="n"/>
      <c r="O1481" s="7" t="n"/>
      <c r="P1481" s="7" t="n"/>
      <c r="R1481" s="14" t="n"/>
      <c r="V1481">
        <f>IF($A1481="","",IF(COUNTIF($A$2:$A1481,$A1481)=1,1,0))</f>
        <v/>
      </c>
      <c r="W1481">
        <f>IF($V1481=1,SUMPRODUCT(--($Y$2:$Y$1501&lt;$Y1481))+1,"")</f>
        <v/>
      </c>
      <c r="X1481">
        <f>IF($A1481="","",IF(OR($T1481=TRUE(),$T1481="TRUE"),1,0))</f>
        <v/>
      </c>
      <c r="Y1481">
        <f>IF($V1481=1,IFERROR(IF(VALUE($A1481)&lt;100000000,VALUE($A1481),1000000000),IFERROR(IF(VALUE(MID($A1481,2,20))&lt;100000000,VALUE(MID($A1481,2,20)),1000000000),1000000000))+ROW()/100000,"")</f>
        <v/>
      </c>
    </row>
    <row r="1482">
      <c r="F1482" s="7">
        <f>IF($A1482="","",E1482*L1482/100)</f>
        <v/>
      </c>
      <c r="J1482" s="7" t="n"/>
      <c r="K1482" s="7">
        <f>IF($A1482="","",N1482*U1482/100)</f>
        <v/>
      </c>
      <c r="L1482" s="7">
        <f>IF($A1482="","",N1482-K1482)</f>
        <v/>
      </c>
      <c r="M1482" s="7">
        <f>IF($A1482="","",L1482-F1482)</f>
        <v/>
      </c>
      <c r="N1482" s="7" t="n"/>
      <c r="O1482" s="7" t="n"/>
      <c r="P1482" s="7" t="n"/>
      <c r="R1482" s="14" t="n"/>
      <c r="V1482">
        <f>IF($A1482="","",IF(COUNTIF($A$2:$A1482,$A1482)=1,1,0))</f>
        <v/>
      </c>
      <c r="W1482">
        <f>IF($V1482=1,SUMPRODUCT(--($Y$2:$Y$1501&lt;$Y1482))+1,"")</f>
        <v/>
      </c>
      <c r="X1482">
        <f>IF($A1482="","",IF(OR($T1482=TRUE(),$T1482="TRUE"),1,0))</f>
        <v/>
      </c>
      <c r="Y1482">
        <f>IF($V1482=1,IFERROR(IF(VALUE($A1482)&lt;100000000,VALUE($A1482),1000000000),IFERROR(IF(VALUE(MID($A1482,2,20))&lt;100000000,VALUE(MID($A1482,2,20)),1000000000),1000000000))+ROW()/100000,"")</f>
        <v/>
      </c>
    </row>
    <row r="1483">
      <c r="F1483" s="7">
        <f>IF($A1483="","",E1483*L1483/100)</f>
        <v/>
      </c>
      <c r="J1483" s="7" t="n"/>
      <c r="K1483" s="7">
        <f>IF($A1483="","",N1483*U1483/100)</f>
        <v/>
      </c>
      <c r="L1483" s="7">
        <f>IF($A1483="","",N1483-K1483)</f>
        <v/>
      </c>
      <c r="M1483" s="7">
        <f>IF($A1483="","",L1483-F1483)</f>
        <v/>
      </c>
      <c r="N1483" s="7" t="n"/>
      <c r="O1483" s="7" t="n"/>
      <c r="P1483" s="7" t="n"/>
      <c r="R1483" s="14" t="n"/>
      <c r="V1483">
        <f>IF($A1483="","",IF(COUNTIF($A$2:$A1483,$A1483)=1,1,0))</f>
        <v/>
      </c>
      <c r="W1483">
        <f>IF($V1483=1,SUMPRODUCT(--($Y$2:$Y$1501&lt;$Y1483))+1,"")</f>
        <v/>
      </c>
      <c r="X1483">
        <f>IF($A1483="","",IF(OR($T1483=TRUE(),$T1483="TRUE"),1,0))</f>
        <v/>
      </c>
      <c r="Y1483">
        <f>IF($V1483=1,IFERROR(IF(VALUE($A1483)&lt;100000000,VALUE($A1483),1000000000),IFERROR(IF(VALUE(MID($A1483,2,20))&lt;100000000,VALUE(MID($A1483,2,20)),1000000000),1000000000))+ROW()/100000,"")</f>
        <v/>
      </c>
    </row>
    <row r="1484">
      <c r="F1484" s="7">
        <f>IF($A1484="","",E1484*L1484/100)</f>
        <v/>
      </c>
      <c r="J1484" s="7" t="n"/>
      <c r="K1484" s="7">
        <f>IF($A1484="","",N1484*U1484/100)</f>
        <v/>
      </c>
      <c r="L1484" s="7">
        <f>IF($A1484="","",N1484-K1484)</f>
        <v/>
      </c>
      <c r="M1484" s="7">
        <f>IF($A1484="","",L1484-F1484)</f>
        <v/>
      </c>
      <c r="N1484" s="7" t="n"/>
      <c r="O1484" s="7" t="n"/>
      <c r="P1484" s="7" t="n"/>
      <c r="R1484" s="14" t="n"/>
      <c r="V1484">
        <f>IF($A1484="","",IF(COUNTIF($A$2:$A1484,$A1484)=1,1,0))</f>
        <v/>
      </c>
      <c r="W1484">
        <f>IF($V1484=1,SUMPRODUCT(--($Y$2:$Y$1501&lt;$Y1484))+1,"")</f>
        <v/>
      </c>
      <c r="X1484">
        <f>IF($A1484="","",IF(OR($T1484=TRUE(),$T1484="TRUE"),1,0))</f>
        <v/>
      </c>
      <c r="Y1484">
        <f>IF($V1484=1,IFERROR(IF(VALUE($A1484)&lt;100000000,VALUE($A1484),1000000000),IFERROR(IF(VALUE(MID($A1484,2,20))&lt;100000000,VALUE(MID($A1484,2,20)),1000000000),1000000000))+ROW()/100000,"")</f>
        <v/>
      </c>
    </row>
    <row r="1485">
      <c r="F1485" s="7">
        <f>IF($A1485="","",E1485*L1485/100)</f>
        <v/>
      </c>
      <c r="J1485" s="7" t="n"/>
      <c r="K1485" s="7">
        <f>IF($A1485="","",N1485*U1485/100)</f>
        <v/>
      </c>
      <c r="L1485" s="7">
        <f>IF($A1485="","",N1485-K1485)</f>
        <v/>
      </c>
      <c r="M1485" s="7">
        <f>IF($A1485="","",L1485-F1485)</f>
        <v/>
      </c>
      <c r="N1485" s="7" t="n"/>
      <c r="O1485" s="7" t="n"/>
      <c r="P1485" s="7" t="n"/>
      <c r="R1485" s="14" t="n"/>
      <c r="V1485">
        <f>IF($A1485="","",IF(COUNTIF($A$2:$A1485,$A1485)=1,1,0))</f>
        <v/>
      </c>
      <c r="W1485">
        <f>IF($V1485=1,SUMPRODUCT(--($Y$2:$Y$1501&lt;$Y1485))+1,"")</f>
        <v/>
      </c>
      <c r="X1485">
        <f>IF($A1485="","",IF(OR($T1485=TRUE(),$T1485="TRUE"),1,0))</f>
        <v/>
      </c>
      <c r="Y1485">
        <f>IF($V1485=1,IFERROR(IF(VALUE($A1485)&lt;100000000,VALUE($A1485),1000000000),IFERROR(IF(VALUE(MID($A1485,2,20))&lt;100000000,VALUE(MID($A1485,2,20)),1000000000),1000000000))+ROW()/100000,"")</f>
        <v/>
      </c>
    </row>
    <row r="1486">
      <c r="F1486" s="7">
        <f>IF($A1486="","",E1486*L1486/100)</f>
        <v/>
      </c>
      <c r="J1486" s="7" t="n"/>
      <c r="K1486" s="7">
        <f>IF($A1486="","",N1486*U1486/100)</f>
        <v/>
      </c>
      <c r="L1486" s="7">
        <f>IF($A1486="","",N1486-K1486)</f>
        <v/>
      </c>
      <c r="M1486" s="7">
        <f>IF($A1486="","",L1486-F1486)</f>
        <v/>
      </c>
      <c r="N1486" s="7" t="n"/>
      <c r="O1486" s="7" t="n"/>
      <c r="P1486" s="7" t="n"/>
      <c r="R1486" s="14" t="n"/>
      <c r="V1486">
        <f>IF($A1486="","",IF(COUNTIF($A$2:$A1486,$A1486)=1,1,0))</f>
        <v/>
      </c>
      <c r="W1486">
        <f>IF($V1486=1,SUMPRODUCT(--($Y$2:$Y$1501&lt;$Y1486))+1,"")</f>
        <v/>
      </c>
      <c r="X1486">
        <f>IF($A1486="","",IF(OR($T1486=TRUE(),$T1486="TRUE"),1,0))</f>
        <v/>
      </c>
      <c r="Y1486">
        <f>IF($V1486=1,IFERROR(IF(VALUE($A1486)&lt;100000000,VALUE($A1486),1000000000),IFERROR(IF(VALUE(MID($A1486,2,20))&lt;100000000,VALUE(MID($A1486,2,20)),1000000000),1000000000))+ROW()/100000,"")</f>
        <v/>
      </c>
    </row>
    <row r="1487">
      <c r="F1487" s="7">
        <f>IF($A1487="","",E1487*L1487/100)</f>
        <v/>
      </c>
      <c r="J1487" s="7" t="n"/>
      <c r="K1487" s="7">
        <f>IF($A1487="","",N1487*U1487/100)</f>
        <v/>
      </c>
      <c r="L1487" s="7">
        <f>IF($A1487="","",N1487-K1487)</f>
        <v/>
      </c>
      <c r="M1487" s="7">
        <f>IF($A1487="","",L1487-F1487)</f>
        <v/>
      </c>
      <c r="N1487" s="7" t="n"/>
      <c r="O1487" s="7" t="n"/>
      <c r="P1487" s="7" t="n"/>
      <c r="R1487" s="14" t="n"/>
      <c r="V1487">
        <f>IF($A1487="","",IF(COUNTIF($A$2:$A1487,$A1487)=1,1,0))</f>
        <v/>
      </c>
      <c r="W1487">
        <f>IF($V1487=1,SUMPRODUCT(--($Y$2:$Y$1501&lt;$Y1487))+1,"")</f>
        <v/>
      </c>
      <c r="X1487">
        <f>IF($A1487="","",IF(OR($T1487=TRUE(),$T1487="TRUE"),1,0))</f>
        <v/>
      </c>
      <c r="Y1487">
        <f>IF($V1487=1,IFERROR(IF(VALUE($A1487)&lt;100000000,VALUE($A1487),1000000000),IFERROR(IF(VALUE(MID($A1487,2,20))&lt;100000000,VALUE(MID($A1487,2,20)),1000000000),1000000000))+ROW()/100000,"")</f>
        <v/>
      </c>
    </row>
    <row r="1488">
      <c r="F1488" s="7">
        <f>IF($A1488="","",E1488*L1488/100)</f>
        <v/>
      </c>
      <c r="J1488" s="7" t="n"/>
      <c r="K1488" s="7">
        <f>IF($A1488="","",N1488*U1488/100)</f>
        <v/>
      </c>
      <c r="L1488" s="7">
        <f>IF($A1488="","",N1488-K1488)</f>
        <v/>
      </c>
      <c r="M1488" s="7">
        <f>IF($A1488="","",L1488-F1488)</f>
        <v/>
      </c>
      <c r="N1488" s="7" t="n"/>
      <c r="O1488" s="7" t="n"/>
      <c r="P1488" s="7" t="n"/>
      <c r="R1488" s="14" t="n"/>
      <c r="V1488">
        <f>IF($A1488="","",IF(COUNTIF($A$2:$A1488,$A1488)=1,1,0))</f>
        <v/>
      </c>
      <c r="W1488">
        <f>IF($V1488=1,SUMPRODUCT(--($Y$2:$Y$1501&lt;$Y1488))+1,"")</f>
        <v/>
      </c>
      <c r="X1488">
        <f>IF($A1488="","",IF(OR($T1488=TRUE(),$T1488="TRUE"),1,0))</f>
        <v/>
      </c>
      <c r="Y1488">
        <f>IF($V1488=1,IFERROR(IF(VALUE($A1488)&lt;100000000,VALUE($A1488),1000000000),IFERROR(IF(VALUE(MID($A1488,2,20))&lt;100000000,VALUE(MID($A1488,2,20)),1000000000),1000000000))+ROW()/100000,"")</f>
        <v/>
      </c>
    </row>
    <row r="1489">
      <c r="F1489" s="7">
        <f>IF($A1489="","",E1489*L1489/100)</f>
        <v/>
      </c>
      <c r="J1489" s="7" t="n"/>
      <c r="K1489" s="7">
        <f>IF($A1489="","",N1489*U1489/100)</f>
        <v/>
      </c>
      <c r="L1489" s="7">
        <f>IF($A1489="","",N1489-K1489)</f>
        <v/>
      </c>
      <c r="M1489" s="7">
        <f>IF($A1489="","",L1489-F1489)</f>
        <v/>
      </c>
      <c r="N1489" s="7" t="n"/>
      <c r="O1489" s="7" t="n"/>
      <c r="P1489" s="7" t="n"/>
      <c r="R1489" s="14" t="n"/>
      <c r="V1489">
        <f>IF($A1489="","",IF(COUNTIF($A$2:$A1489,$A1489)=1,1,0))</f>
        <v/>
      </c>
      <c r="W1489">
        <f>IF($V1489=1,SUMPRODUCT(--($Y$2:$Y$1501&lt;$Y1489))+1,"")</f>
        <v/>
      </c>
      <c r="X1489">
        <f>IF($A1489="","",IF(OR($T1489=TRUE(),$T1489="TRUE"),1,0))</f>
        <v/>
      </c>
      <c r="Y1489">
        <f>IF($V1489=1,IFERROR(IF(VALUE($A1489)&lt;100000000,VALUE($A1489),1000000000),IFERROR(IF(VALUE(MID($A1489,2,20))&lt;100000000,VALUE(MID($A1489,2,20)),1000000000),1000000000))+ROW()/100000,"")</f>
        <v/>
      </c>
    </row>
    <row r="1490">
      <c r="F1490" s="7">
        <f>IF($A1490="","",E1490*L1490/100)</f>
        <v/>
      </c>
      <c r="J1490" s="7" t="n"/>
      <c r="K1490" s="7">
        <f>IF($A1490="","",N1490*U1490/100)</f>
        <v/>
      </c>
      <c r="L1490" s="7">
        <f>IF($A1490="","",N1490-K1490)</f>
        <v/>
      </c>
      <c r="M1490" s="7">
        <f>IF($A1490="","",L1490-F1490)</f>
        <v/>
      </c>
      <c r="N1490" s="7" t="n"/>
      <c r="O1490" s="7" t="n"/>
      <c r="P1490" s="7" t="n"/>
      <c r="R1490" s="14" t="n"/>
      <c r="V1490">
        <f>IF($A1490="","",IF(COUNTIF($A$2:$A1490,$A1490)=1,1,0))</f>
        <v/>
      </c>
      <c r="W1490">
        <f>IF($V1490=1,SUMPRODUCT(--($Y$2:$Y$1501&lt;$Y1490))+1,"")</f>
        <v/>
      </c>
      <c r="X1490">
        <f>IF($A1490="","",IF(OR($T1490=TRUE(),$T1490="TRUE"),1,0))</f>
        <v/>
      </c>
      <c r="Y1490">
        <f>IF($V1490=1,IFERROR(IF(VALUE($A1490)&lt;100000000,VALUE($A1490),1000000000),IFERROR(IF(VALUE(MID($A1490,2,20))&lt;100000000,VALUE(MID($A1490,2,20)),1000000000),1000000000))+ROW()/100000,"")</f>
        <v/>
      </c>
    </row>
    <row r="1491">
      <c r="F1491" s="7">
        <f>IF($A1491="","",E1491*L1491/100)</f>
        <v/>
      </c>
      <c r="J1491" s="7" t="n"/>
      <c r="K1491" s="7">
        <f>IF($A1491="","",N1491*U1491/100)</f>
        <v/>
      </c>
      <c r="L1491" s="7">
        <f>IF($A1491="","",N1491-K1491)</f>
        <v/>
      </c>
      <c r="M1491" s="7">
        <f>IF($A1491="","",L1491-F1491)</f>
        <v/>
      </c>
      <c r="N1491" s="7" t="n"/>
      <c r="O1491" s="7" t="n"/>
      <c r="P1491" s="7" t="n"/>
      <c r="R1491" s="14" t="n"/>
      <c r="V1491">
        <f>IF($A1491="","",IF(COUNTIF($A$2:$A1491,$A1491)=1,1,0))</f>
        <v/>
      </c>
      <c r="W1491">
        <f>IF($V1491=1,SUMPRODUCT(--($Y$2:$Y$1501&lt;$Y1491))+1,"")</f>
        <v/>
      </c>
      <c r="X1491">
        <f>IF($A1491="","",IF(OR($T1491=TRUE(),$T1491="TRUE"),1,0))</f>
        <v/>
      </c>
      <c r="Y1491">
        <f>IF($V1491=1,IFERROR(IF(VALUE($A1491)&lt;100000000,VALUE($A1491),1000000000),IFERROR(IF(VALUE(MID($A1491,2,20))&lt;100000000,VALUE(MID($A1491,2,20)),1000000000),1000000000))+ROW()/100000,"")</f>
        <v/>
      </c>
    </row>
    <row r="1492">
      <c r="F1492" s="7">
        <f>IF($A1492="","",E1492*L1492/100)</f>
        <v/>
      </c>
      <c r="J1492" s="7" t="n"/>
      <c r="K1492" s="7">
        <f>IF($A1492="","",N1492*U1492/100)</f>
        <v/>
      </c>
      <c r="L1492" s="7">
        <f>IF($A1492="","",N1492-K1492)</f>
        <v/>
      </c>
      <c r="M1492" s="7">
        <f>IF($A1492="","",L1492-F1492)</f>
        <v/>
      </c>
      <c r="N1492" s="7" t="n"/>
      <c r="O1492" s="7" t="n"/>
      <c r="P1492" s="7" t="n"/>
      <c r="R1492" s="14" t="n"/>
      <c r="V1492">
        <f>IF($A1492="","",IF(COUNTIF($A$2:$A1492,$A1492)=1,1,0))</f>
        <v/>
      </c>
      <c r="W1492">
        <f>IF($V1492=1,SUMPRODUCT(--($Y$2:$Y$1501&lt;$Y1492))+1,"")</f>
        <v/>
      </c>
      <c r="X1492">
        <f>IF($A1492="","",IF(OR($T1492=TRUE(),$T1492="TRUE"),1,0))</f>
        <v/>
      </c>
      <c r="Y1492">
        <f>IF($V1492=1,IFERROR(IF(VALUE($A1492)&lt;100000000,VALUE($A1492),1000000000),IFERROR(IF(VALUE(MID($A1492,2,20))&lt;100000000,VALUE(MID($A1492,2,20)),1000000000),1000000000))+ROW()/100000,"")</f>
        <v/>
      </c>
    </row>
    <row r="1493">
      <c r="F1493" s="7">
        <f>IF($A1493="","",E1493*L1493/100)</f>
        <v/>
      </c>
      <c r="J1493" s="7" t="n"/>
      <c r="K1493" s="7">
        <f>IF($A1493="","",N1493*U1493/100)</f>
        <v/>
      </c>
      <c r="L1493" s="7">
        <f>IF($A1493="","",N1493-K1493)</f>
        <v/>
      </c>
      <c r="M1493" s="7">
        <f>IF($A1493="","",L1493-F1493)</f>
        <v/>
      </c>
      <c r="N1493" s="7" t="n"/>
      <c r="O1493" s="7" t="n"/>
      <c r="P1493" s="7" t="n"/>
      <c r="R1493" s="14" t="n"/>
      <c r="V1493">
        <f>IF($A1493="","",IF(COUNTIF($A$2:$A1493,$A1493)=1,1,0))</f>
        <v/>
      </c>
      <c r="W1493">
        <f>IF($V1493=1,SUMPRODUCT(--($Y$2:$Y$1501&lt;$Y1493))+1,"")</f>
        <v/>
      </c>
      <c r="X1493">
        <f>IF($A1493="","",IF(OR($T1493=TRUE(),$T1493="TRUE"),1,0))</f>
        <v/>
      </c>
      <c r="Y1493">
        <f>IF($V1493=1,IFERROR(IF(VALUE($A1493)&lt;100000000,VALUE($A1493),1000000000),IFERROR(IF(VALUE(MID($A1493,2,20))&lt;100000000,VALUE(MID($A1493,2,20)),1000000000),1000000000))+ROW()/100000,"")</f>
        <v/>
      </c>
    </row>
    <row r="1494">
      <c r="F1494" s="7">
        <f>IF($A1494="","",E1494*L1494/100)</f>
        <v/>
      </c>
      <c r="J1494" s="7" t="n"/>
      <c r="K1494" s="7">
        <f>IF($A1494="","",N1494*U1494/100)</f>
        <v/>
      </c>
      <c r="L1494" s="7">
        <f>IF($A1494="","",N1494-K1494)</f>
        <v/>
      </c>
      <c r="M1494" s="7">
        <f>IF($A1494="","",L1494-F1494)</f>
        <v/>
      </c>
      <c r="N1494" s="7" t="n"/>
      <c r="O1494" s="7" t="n"/>
      <c r="P1494" s="7" t="n"/>
      <c r="R1494" s="14" t="n"/>
      <c r="V1494">
        <f>IF($A1494="","",IF(COUNTIF($A$2:$A1494,$A1494)=1,1,0))</f>
        <v/>
      </c>
      <c r="W1494">
        <f>IF($V1494=1,SUMPRODUCT(--($Y$2:$Y$1501&lt;$Y1494))+1,"")</f>
        <v/>
      </c>
      <c r="X1494">
        <f>IF($A1494="","",IF(OR($T1494=TRUE(),$T1494="TRUE"),1,0))</f>
        <v/>
      </c>
      <c r="Y1494">
        <f>IF($V1494=1,IFERROR(IF(VALUE($A1494)&lt;100000000,VALUE($A1494),1000000000),IFERROR(IF(VALUE(MID($A1494,2,20))&lt;100000000,VALUE(MID($A1494,2,20)),1000000000),1000000000))+ROW()/100000,"")</f>
        <v/>
      </c>
    </row>
    <row r="1495">
      <c r="F1495" s="7">
        <f>IF($A1495="","",E1495*L1495/100)</f>
        <v/>
      </c>
      <c r="J1495" s="7" t="n"/>
      <c r="K1495" s="7">
        <f>IF($A1495="","",N1495*U1495/100)</f>
        <v/>
      </c>
      <c r="L1495" s="7">
        <f>IF($A1495="","",N1495-K1495)</f>
        <v/>
      </c>
      <c r="M1495" s="7">
        <f>IF($A1495="","",L1495-F1495)</f>
        <v/>
      </c>
      <c r="N1495" s="7" t="n"/>
      <c r="O1495" s="7" t="n"/>
      <c r="P1495" s="7" t="n"/>
      <c r="R1495" s="14" t="n"/>
      <c r="V1495">
        <f>IF($A1495="","",IF(COUNTIF($A$2:$A1495,$A1495)=1,1,0))</f>
        <v/>
      </c>
      <c r="W1495">
        <f>IF($V1495=1,SUMPRODUCT(--($Y$2:$Y$1501&lt;$Y1495))+1,"")</f>
        <v/>
      </c>
      <c r="X1495">
        <f>IF($A1495="","",IF(OR($T1495=TRUE(),$T1495="TRUE"),1,0))</f>
        <v/>
      </c>
      <c r="Y1495">
        <f>IF($V1495=1,IFERROR(IF(VALUE($A1495)&lt;100000000,VALUE($A1495),1000000000),IFERROR(IF(VALUE(MID($A1495,2,20))&lt;100000000,VALUE(MID($A1495,2,20)),1000000000),1000000000))+ROW()/100000,"")</f>
        <v/>
      </c>
    </row>
    <row r="1496">
      <c r="F1496" s="7">
        <f>IF($A1496="","",E1496*L1496/100)</f>
        <v/>
      </c>
      <c r="J1496" s="7" t="n"/>
      <c r="K1496" s="7">
        <f>IF($A1496="","",N1496*U1496/100)</f>
        <v/>
      </c>
      <c r="L1496" s="7">
        <f>IF($A1496="","",N1496-K1496)</f>
        <v/>
      </c>
      <c r="M1496" s="7">
        <f>IF($A1496="","",L1496-F1496)</f>
        <v/>
      </c>
      <c r="N1496" s="7" t="n"/>
      <c r="O1496" s="7" t="n"/>
      <c r="P1496" s="7" t="n"/>
      <c r="R1496" s="14" t="n"/>
      <c r="V1496">
        <f>IF($A1496="","",IF(COUNTIF($A$2:$A1496,$A1496)=1,1,0))</f>
        <v/>
      </c>
      <c r="W1496">
        <f>IF($V1496=1,SUMPRODUCT(--($Y$2:$Y$1501&lt;$Y1496))+1,"")</f>
        <v/>
      </c>
      <c r="X1496">
        <f>IF($A1496="","",IF(OR($T1496=TRUE(),$T1496="TRUE"),1,0))</f>
        <v/>
      </c>
      <c r="Y1496">
        <f>IF($V1496=1,IFERROR(IF(VALUE($A1496)&lt;100000000,VALUE($A1496),1000000000),IFERROR(IF(VALUE(MID($A1496,2,20))&lt;100000000,VALUE(MID($A1496,2,20)),1000000000),1000000000))+ROW()/100000,"")</f>
        <v/>
      </c>
    </row>
    <row r="1497">
      <c r="F1497" s="7">
        <f>IF($A1497="","",E1497*L1497/100)</f>
        <v/>
      </c>
      <c r="J1497" s="7" t="n"/>
      <c r="K1497" s="7">
        <f>IF($A1497="","",N1497*U1497/100)</f>
        <v/>
      </c>
      <c r="L1497" s="7">
        <f>IF($A1497="","",N1497-K1497)</f>
        <v/>
      </c>
      <c r="M1497" s="7">
        <f>IF($A1497="","",L1497-F1497)</f>
        <v/>
      </c>
      <c r="N1497" s="7" t="n"/>
      <c r="O1497" s="7" t="n"/>
      <c r="P1497" s="7" t="n"/>
      <c r="R1497" s="14" t="n"/>
      <c r="V1497">
        <f>IF($A1497="","",IF(COUNTIF($A$2:$A1497,$A1497)=1,1,0))</f>
        <v/>
      </c>
      <c r="W1497">
        <f>IF($V1497=1,SUMPRODUCT(--($Y$2:$Y$1501&lt;$Y1497))+1,"")</f>
        <v/>
      </c>
      <c r="X1497">
        <f>IF($A1497="","",IF(OR($T1497=TRUE(),$T1497="TRUE"),1,0))</f>
        <v/>
      </c>
      <c r="Y1497">
        <f>IF($V1497=1,IFERROR(IF(VALUE($A1497)&lt;100000000,VALUE($A1497),1000000000),IFERROR(IF(VALUE(MID($A1497,2,20))&lt;100000000,VALUE(MID($A1497,2,20)),1000000000),1000000000))+ROW()/100000,"")</f>
        <v/>
      </c>
    </row>
    <row r="1498">
      <c r="F1498" s="7">
        <f>IF($A1498="","",E1498*L1498/100)</f>
        <v/>
      </c>
      <c r="J1498" s="7" t="n"/>
      <c r="K1498" s="7">
        <f>IF($A1498="","",N1498*U1498/100)</f>
        <v/>
      </c>
      <c r="L1498" s="7">
        <f>IF($A1498="","",N1498-K1498)</f>
        <v/>
      </c>
      <c r="M1498" s="7">
        <f>IF($A1498="","",L1498-F1498)</f>
        <v/>
      </c>
      <c r="N1498" s="7" t="n"/>
      <c r="O1498" s="7" t="n"/>
      <c r="P1498" s="7" t="n"/>
      <c r="R1498" s="14" t="n"/>
      <c r="V1498">
        <f>IF($A1498="","",IF(COUNTIF($A$2:$A1498,$A1498)=1,1,0))</f>
        <v/>
      </c>
      <c r="W1498">
        <f>IF($V1498=1,SUMPRODUCT(--($Y$2:$Y$1501&lt;$Y1498))+1,"")</f>
        <v/>
      </c>
      <c r="X1498">
        <f>IF($A1498="","",IF(OR($T1498=TRUE(),$T1498="TRUE"),1,0))</f>
        <v/>
      </c>
      <c r="Y1498">
        <f>IF($V1498=1,IFERROR(IF(VALUE($A1498)&lt;100000000,VALUE($A1498),1000000000),IFERROR(IF(VALUE(MID($A1498,2,20))&lt;100000000,VALUE(MID($A1498,2,20)),1000000000),1000000000))+ROW()/100000,"")</f>
        <v/>
      </c>
    </row>
    <row r="1499">
      <c r="F1499" s="7">
        <f>IF($A1499="","",E1499*L1499/100)</f>
        <v/>
      </c>
      <c r="J1499" s="7" t="n"/>
      <c r="K1499" s="7">
        <f>IF($A1499="","",N1499*U1499/100)</f>
        <v/>
      </c>
      <c r="L1499" s="7">
        <f>IF($A1499="","",N1499-K1499)</f>
        <v/>
      </c>
      <c r="M1499" s="7">
        <f>IF($A1499="","",L1499-F1499)</f>
        <v/>
      </c>
      <c r="N1499" s="7" t="n"/>
      <c r="O1499" s="7" t="n"/>
      <c r="P1499" s="7" t="n"/>
      <c r="R1499" s="14" t="n"/>
      <c r="V1499">
        <f>IF($A1499="","",IF(COUNTIF($A$2:$A1499,$A1499)=1,1,0))</f>
        <v/>
      </c>
      <c r="W1499">
        <f>IF($V1499=1,SUMPRODUCT(--($Y$2:$Y$1501&lt;$Y1499))+1,"")</f>
        <v/>
      </c>
      <c r="X1499">
        <f>IF($A1499="","",IF(OR($T1499=TRUE(),$T1499="TRUE"),1,0))</f>
        <v/>
      </c>
      <c r="Y1499">
        <f>IF($V1499=1,IFERROR(IF(VALUE($A1499)&lt;100000000,VALUE($A1499),1000000000),IFERROR(IF(VALUE(MID($A1499,2,20))&lt;100000000,VALUE(MID($A1499,2,20)),1000000000),1000000000))+ROW()/100000,"")</f>
        <v/>
      </c>
    </row>
    <row r="1500">
      <c r="F1500" s="7">
        <f>IF($A1500="","",E1500*L1500/100)</f>
        <v/>
      </c>
      <c r="J1500" s="7" t="n"/>
      <c r="K1500" s="7">
        <f>IF($A1500="","",N1500*U1500/100)</f>
        <v/>
      </c>
      <c r="L1500" s="7">
        <f>IF($A1500="","",N1500-K1500)</f>
        <v/>
      </c>
      <c r="M1500" s="7">
        <f>IF($A1500="","",L1500-F1500)</f>
        <v/>
      </c>
      <c r="N1500" s="7" t="n"/>
      <c r="O1500" s="7" t="n"/>
      <c r="P1500" s="7" t="n"/>
      <c r="R1500" s="14" t="n"/>
      <c r="V1500">
        <f>IF($A1500="","",IF(COUNTIF($A$2:$A1500,$A1500)=1,1,0))</f>
        <v/>
      </c>
      <c r="W1500">
        <f>IF($V1500=1,SUMPRODUCT(--($Y$2:$Y$1501&lt;$Y1500))+1,"")</f>
        <v/>
      </c>
      <c r="X1500">
        <f>IF($A1500="","",IF(OR($T1500=TRUE(),$T1500="TRUE"),1,0))</f>
        <v/>
      </c>
      <c r="Y1500">
        <f>IF($V1500=1,IFERROR(IF(VALUE($A1500)&lt;100000000,VALUE($A1500),1000000000),IFERROR(IF(VALUE(MID($A1500,2,20))&lt;100000000,VALUE(MID($A1500,2,20)),1000000000),1000000000))+ROW()/100000,"")</f>
        <v/>
      </c>
    </row>
    <row r="1501">
      <c r="F1501" s="7">
        <f>IF($A1501="","",E1501*L1501/100)</f>
        <v/>
      </c>
      <c r="J1501" s="7" t="n"/>
      <c r="K1501" s="7">
        <f>IF($A1501="","",N1501*U1501/100)</f>
        <v/>
      </c>
      <c r="L1501" s="7">
        <f>IF($A1501="","",N1501-K1501)</f>
        <v/>
      </c>
      <c r="M1501" s="7">
        <f>IF($A1501="","",L1501-F1501)</f>
        <v/>
      </c>
      <c r="N1501" s="7" t="n"/>
      <c r="O1501" s="7" t="n"/>
      <c r="P1501" s="7" t="n"/>
      <c r="R1501" s="14" t="n"/>
      <c r="V1501">
        <f>IF($A1501="","",IF(COUNTIF($A$2:$A1501,$A1501)=1,1,0))</f>
        <v/>
      </c>
      <c r="W1501">
        <f>IF($V1501=1,SUMPRODUCT(--($Y$2:$Y$1501&lt;$Y1501))+1,"")</f>
        <v/>
      </c>
      <c r="X1501">
        <f>IF($A1501="","",IF(OR($T1501=TRUE(),$T1501="TRUE"),1,0))</f>
        <v/>
      </c>
      <c r="Y1501">
        <f>IF($V1501=1,IFERROR(IF(VALUE($A1501)&lt;100000000,VALUE($A1501),1000000000),IFERROR(IF(VALUE(MID($A1501,2,20))&lt;100000000,VALUE(MID($A1501,2,20)),1000000000),1000000000))+ROW()/100000,"")</f>
        <v/>
      </c>
    </row>
  </sheetData>
  <autoFilter ref="A1:Y1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  <col width="20" customWidth="1" min="25" max="25"/>
  </cols>
  <sheetData>
    <row r="1" ht="32" customHeight="1">
      <c r="A1" s="12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2" t="inlineStr">
        <is>
          <t>App</t>
        </is>
      </c>
      <c r="H1" s="12" t="inlineStr">
        <is>
          <t>Seg</t>
        </is>
      </c>
      <c r="I1" s="12" t="inlineStr">
        <is>
          <t>Payer</t>
        </is>
      </c>
      <c r="J1" s="12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  <c r="Y1" s="13" t="inlineStr">
        <is>
          <t>Payer Key (helper)</t>
        </is>
      </c>
    </row>
    <row r="2">
      <c r="A2" s="15" t="n"/>
      <c r="B2">
        <f>IF($X2="","",INDEX('Per Line'!$A$2:$A$1501,$X2)&amp;"")</f>
        <v/>
      </c>
      <c r="C2">
        <f>IF($X2="","",IF(OR(TRIM(H2)="",TRIM(H2)="All",TRIM(H2)="All Comp"),TRIM(J2),TRIM(H2)))</f>
        <v/>
      </c>
      <c r="D2">
        <f>IF($X2="","",INDEX('Per Line'!$B$2:$B$1501,$X2)&amp;"")</f>
        <v/>
      </c>
      <c r="E2">
        <f>IF($X2="","",INDEX('Per Line'!$C$2:$C$1501,$X2)&amp;"")</f>
        <v/>
      </c>
      <c r="F2">
        <f>IF($X2="","",INDEX('Per Line'!$D$2:$D$1501,$X2)&amp;"")</f>
        <v/>
      </c>
      <c r="G2" s="15" t="n"/>
      <c r="H2" s="15" t="n"/>
      <c r="I2" s="15" t="n"/>
      <c r="J2" s="15" t="n"/>
      <c r="K2" s="14">
        <f>IF($X2="","",INDEX('Per Line'!$R$2:$R$1501,$X2))</f>
        <v/>
      </c>
      <c r="L2">
        <f>IF($X2="","",INDEX('Per Line'!$E$2:$E$1501,$X2))</f>
        <v/>
      </c>
      <c r="M2" s="7">
        <f>IF($X2="","",L2*U2/100)</f>
        <v/>
      </c>
      <c r="N2">
        <f>IF($X2="","",IF(ISNUMBER(SEARCH("3&amp;12",SUBSTITUTE(J2," ",""))),Settings!$G$7,Settings!$C$7))</f>
        <v/>
      </c>
      <c r="O2" s="7">
        <f>IF($X2="","",SUMIFS('Per Line'!$N$2:$N$1501,'Per Line'!$A$2:$A$1501,$B2,'Per Line'!$X$2:$X$1501,0))</f>
        <v/>
      </c>
      <c r="P2" s="7">
        <f>IF($X2="","",O2*N2)</f>
        <v/>
      </c>
      <c r="Q2">
        <f>IF($X2="","",IF(ISNUMBER(SEARCH("3&amp;12",SUBSTITUTE(J2," ",""))),Settings!$G$6,Settings!$C$6))</f>
        <v/>
      </c>
      <c r="R2" s="7">
        <f>IF($X2="","",SUMIFS('Per Line'!$N$2:$N$1501,'Per Line'!$A$2:$A$1501,$B2,'Per Line'!$X$2:$X$1501,1))</f>
        <v/>
      </c>
      <c r="S2" s="7">
        <f>IF($X2="","",R2*Q2)</f>
        <v/>
      </c>
      <c r="T2" s="7">
        <f>IF($X2="","",S2+P2)</f>
        <v/>
      </c>
      <c r="U2" s="7">
        <f>IF($X2="","",V2-T2)</f>
        <v/>
      </c>
      <c r="V2" s="7">
        <f>IF($X2="","",O2+R2)</f>
        <v/>
      </c>
      <c r="W2" s="7">
        <f>IF($X2="","",V2-T2-M2)</f>
        <v/>
      </c>
      <c r="X2" s="16">
        <f>IF(ROWS($X$2:$X2)&lt;=MAX('Per Line'!$W$2:$W$1501),MATCH(ROWS($X$2:$X2),'Per Line'!$W$2:$W$1501,0),"")</f>
        <v/>
      </c>
      <c r="Y2">
        <f>IF($X2="","",C2&amp;"|"&amp;COUNTIF($C$2:$C2,C2))</f>
        <v/>
      </c>
    </row>
    <row r="3">
      <c r="A3" s="15" t="n"/>
      <c r="B3">
        <f>IF($X3="","",INDEX('Per Line'!$A$2:$A$1501,$X3)&amp;"")</f>
        <v/>
      </c>
      <c r="C3">
        <f>IF($X3="","",IF(OR(TRIM(H3)="",TRIM(H3)="All",TRIM(H3)="All Comp"),TRIM(J3),TRIM(H3)))</f>
        <v/>
      </c>
      <c r="D3">
        <f>IF($X3="","",INDEX('Per Line'!$B$2:$B$1501,$X3)&amp;"")</f>
        <v/>
      </c>
      <c r="E3">
        <f>IF($X3="","",INDEX('Per Line'!$C$2:$C$1501,$X3)&amp;"")</f>
        <v/>
      </c>
      <c r="F3">
        <f>IF($X3="","",INDEX('Per Line'!$D$2:$D$1501,$X3)&amp;"")</f>
        <v/>
      </c>
      <c r="G3" s="15" t="n"/>
      <c r="H3" s="15" t="n"/>
      <c r="I3" s="15" t="n"/>
      <c r="J3" s="15" t="n"/>
      <c r="K3" s="14">
        <f>IF($X3="","",INDEX('Per Line'!$R$2:$R$1501,$X3))</f>
        <v/>
      </c>
      <c r="L3">
        <f>IF($X3="","",INDEX('Per Line'!$E$2:$E$1501,$X3))</f>
        <v/>
      </c>
      <c r="M3" s="7">
        <f>IF($X3="","",L3*U3/100)</f>
        <v/>
      </c>
      <c r="N3">
        <f>IF($X3="","",IF(ISNUMBER(SEARCH("3&amp;12",SUBSTITUTE(J3," ",""))),Settings!$G$7,Settings!$C$7))</f>
        <v/>
      </c>
      <c r="O3" s="7">
        <f>IF($X3="","",SUMIFS('Per Line'!$N$2:$N$1501,'Per Line'!$A$2:$A$1501,$B3,'Per Line'!$X$2:$X$1501,0))</f>
        <v/>
      </c>
      <c r="P3" s="7">
        <f>IF($X3="","",O3*N3)</f>
        <v/>
      </c>
      <c r="Q3">
        <f>IF($X3="","",IF(ISNUMBER(SEARCH("3&amp;12",SUBSTITUTE(J3," ",""))),Settings!$G$6,Settings!$C$6))</f>
        <v/>
      </c>
      <c r="R3" s="7">
        <f>IF($X3="","",SUMIFS('Per Line'!$N$2:$N$1501,'Per Line'!$A$2:$A$1501,$B3,'Per Line'!$X$2:$X$1501,1))</f>
        <v/>
      </c>
      <c r="S3" s="7">
        <f>IF($X3="","",R3*Q3)</f>
        <v/>
      </c>
      <c r="T3" s="7">
        <f>IF($X3="","",S3+P3)</f>
        <v/>
      </c>
      <c r="U3" s="7">
        <f>IF($X3="","",V3-T3)</f>
        <v/>
      </c>
      <c r="V3" s="7">
        <f>IF($X3="","",O3+R3)</f>
        <v/>
      </c>
      <c r="W3" s="7">
        <f>IF($X3="","",V3-T3-M3)</f>
        <v/>
      </c>
      <c r="X3" s="16">
        <f>IF(ROWS($X$2:$X3)&lt;=MAX('Per Line'!$W$2:$W$1501),MATCH(ROWS($X$2:$X3),'Per Line'!$W$2:$W$1501,0),"")</f>
        <v/>
      </c>
      <c r="Y3">
        <f>IF($X3="","",C3&amp;"|"&amp;COUNTIF($C$2:$C3,C3))</f>
        <v/>
      </c>
    </row>
    <row r="4">
      <c r="A4" s="15" t="n"/>
      <c r="B4">
        <f>IF($X4="","",INDEX('Per Line'!$A$2:$A$1501,$X4)&amp;"")</f>
        <v/>
      </c>
      <c r="C4">
        <f>IF($X4="","",IF(OR(TRIM(H4)="",TRIM(H4)="All",TRIM(H4)="All Comp"),TRIM(J4),TRIM(H4)))</f>
        <v/>
      </c>
      <c r="D4">
        <f>IF($X4="","",INDEX('Per Line'!$B$2:$B$1501,$X4)&amp;"")</f>
        <v/>
      </c>
      <c r="E4">
        <f>IF($X4="","",INDEX('Per Line'!$C$2:$C$1501,$X4)&amp;"")</f>
        <v/>
      </c>
      <c r="F4">
        <f>IF($X4="","",INDEX('Per Line'!$D$2:$D$1501,$X4)&amp;"")</f>
        <v/>
      </c>
      <c r="G4" s="15" t="n"/>
      <c r="H4" s="15" t="n"/>
      <c r="I4" s="15" t="n"/>
      <c r="J4" s="15" t="n"/>
      <c r="K4" s="14">
        <f>IF($X4="","",INDEX('Per Line'!$R$2:$R$1501,$X4))</f>
        <v/>
      </c>
      <c r="L4">
        <f>IF($X4="","",INDEX('Per Line'!$E$2:$E$1501,$X4))</f>
        <v/>
      </c>
      <c r="M4" s="7">
        <f>IF($X4="","",L4*U4/100)</f>
        <v/>
      </c>
      <c r="N4">
        <f>IF($X4="","",IF(ISNUMBER(SEARCH("3&amp;12",SUBSTITUTE(J4," ",""))),Settings!$G$7,Settings!$C$7))</f>
        <v/>
      </c>
      <c r="O4" s="7">
        <f>IF($X4="","",SUMIFS('Per Line'!$N$2:$N$1501,'Per Line'!$A$2:$A$1501,$B4,'Per Line'!$X$2:$X$1501,0))</f>
        <v/>
      </c>
      <c r="P4" s="7">
        <f>IF($X4="","",O4*N4)</f>
        <v/>
      </c>
      <c r="Q4">
        <f>IF($X4="","",IF(ISNUMBER(SEARCH("3&amp;12",SUBSTITUTE(J4," ",""))),Settings!$G$6,Settings!$C$6))</f>
        <v/>
      </c>
      <c r="R4" s="7">
        <f>IF($X4="","",SUMIFS('Per Line'!$N$2:$N$1501,'Per Line'!$A$2:$A$1501,$B4,'Per Line'!$X$2:$X$1501,1))</f>
        <v/>
      </c>
      <c r="S4" s="7">
        <f>IF($X4="","",R4*Q4)</f>
        <v/>
      </c>
      <c r="T4" s="7">
        <f>IF($X4="","",S4+P4)</f>
        <v/>
      </c>
      <c r="U4" s="7">
        <f>IF($X4="","",V4-T4)</f>
        <v/>
      </c>
      <c r="V4" s="7">
        <f>IF($X4="","",O4+R4)</f>
        <v/>
      </c>
      <c r="W4" s="7">
        <f>IF($X4="","",V4-T4-M4)</f>
        <v/>
      </c>
      <c r="X4" s="16">
        <f>IF(ROWS($X$2:$X4)&lt;=MAX('Per Line'!$W$2:$W$1501),MATCH(ROWS($X$2:$X4),'Per Line'!$W$2:$W$1501,0),"")</f>
        <v/>
      </c>
      <c r="Y4">
        <f>IF($X4="","",C4&amp;"|"&amp;COUNTIF($C$2:$C4,C4))</f>
        <v/>
      </c>
    </row>
    <row r="5">
      <c r="A5" s="15" t="n"/>
      <c r="B5">
        <f>IF($X5="","",INDEX('Per Line'!$A$2:$A$1501,$X5)&amp;"")</f>
        <v/>
      </c>
      <c r="C5">
        <f>IF($X5="","",IF(OR(TRIM(H5)="",TRIM(H5)="All",TRIM(H5)="All Comp"),TRIM(J5),TRIM(H5)))</f>
        <v/>
      </c>
      <c r="D5">
        <f>IF($X5="","",INDEX('Per Line'!$B$2:$B$1501,$X5)&amp;"")</f>
        <v/>
      </c>
      <c r="E5">
        <f>IF($X5="","",INDEX('Per Line'!$C$2:$C$1501,$X5)&amp;"")</f>
        <v/>
      </c>
      <c r="F5">
        <f>IF($X5="","",INDEX('Per Line'!$D$2:$D$1501,$X5)&amp;"")</f>
        <v/>
      </c>
      <c r="G5" s="15" t="n"/>
      <c r="H5" s="15" t="n"/>
      <c r="I5" s="15" t="n"/>
      <c r="J5" s="15" t="n"/>
      <c r="K5" s="14">
        <f>IF($X5="","",INDEX('Per Line'!$R$2:$R$1501,$X5))</f>
        <v/>
      </c>
      <c r="L5">
        <f>IF($X5="","",INDEX('Per Line'!$E$2:$E$1501,$X5))</f>
        <v/>
      </c>
      <c r="M5" s="7">
        <f>IF($X5="","",L5*U5/100)</f>
        <v/>
      </c>
      <c r="N5">
        <f>IF($X5="","",IF(ISNUMBER(SEARCH("3&amp;12",SUBSTITUTE(J5," ",""))),Settings!$G$7,Settings!$C$7))</f>
        <v/>
      </c>
      <c r="O5" s="7">
        <f>IF($X5="","",SUMIFS('Per Line'!$N$2:$N$1501,'Per Line'!$A$2:$A$1501,$B5,'Per Line'!$X$2:$X$1501,0))</f>
        <v/>
      </c>
      <c r="P5" s="7">
        <f>IF($X5="","",O5*N5)</f>
        <v/>
      </c>
      <c r="Q5">
        <f>IF($X5="","",IF(ISNUMBER(SEARCH("3&amp;12",SUBSTITUTE(J5," ",""))),Settings!$G$6,Settings!$C$6))</f>
        <v/>
      </c>
      <c r="R5" s="7">
        <f>IF($X5="","",SUMIFS('Per Line'!$N$2:$N$1501,'Per Line'!$A$2:$A$1501,$B5,'Per Line'!$X$2:$X$1501,1))</f>
        <v/>
      </c>
      <c r="S5" s="7">
        <f>IF($X5="","",R5*Q5)</f>
        <v/>
      </c>
      <c r="T5" s="7">
        <f>IF($X5="","",S5+P5)</f>
        <v/>
      </c>
      <c r="U5" s="7">
        <f>IF($X5="","",V5-T5)</f>
        <v/>
      </c>
      <c r="V5" s="7">
        <f>IF($X5="","",O5+R5)</f>
        <v/>
      </c>
      <c r="W5" s="7">
        <f>IF($X5="","",V5-T5-M5)</f>
        <v/>
      </c>
      <c r="X5" s="16">
        <f>IF(ROWS($X$2:$X5)&lt;=MAX('Per Line'!$W$2:$W$1501),MATCH(ROWS($X$2:$X5),'Per Line'!$W$2:$W$1501,0),"")</f>
        <v/>
      </c>
      <c r="Y5">
        <f>IF($X5="","",C5&amp;"|"&amp;COUNTIF($C$2:$C5,C5))</f>
        <v/>
      </c>
    </row>
    <row r="6">
      <c r="A6" s="15" t="n"/>
      <c r="B6">
        <f>IF($X6="","",INDEX('Per Line'!$A$2:$A$1501,$X6)&amp;"")</f>
        <v/>
      </c>
      <c r="C6">
        <f>IF($X6="","",IF(OR(TRIM(H6)="",TRIM(H6)="All",TRIM(H6)="All Comp"),TRIM(J6),TRIM(H6)))</f>
        <v/>
      </c>
      <c r="D6">
        <f>IF($X6="","",INDEX('Per Line'!$B$2:$B$1501,$X6)&amp;"")</f>
        <v/>
      </c>
      <c r="E6">
        <f>IF($X6="","",INDEX('Per Line'!$C$2:$C$1501,$X6)&amp;"")</f>
        <v/>
      </c>
      <c r="F6">
        <f>IF($X6="","",INDEX('Per Line'!$D$2:$D$1501,$X6)&amp;"")</f>
        <v/>
      </c>
      <c r="G6" s="15" t="n"/>
      <c r="H6" s="15" t="n"/>
      <c r="I6" s="15" t="n"/>
      <c r="J6" s="15" t="n"/>
      <c r="K6" s="14">
        <f>IF($X6="","",INDEX('Per Line'!$R$2:$R$1501,$X6))</f>
        <v/>
      </c>
      <c r="L6">
        <f>IF($X6="","",INDEX('Per Line'!$E$2:$E$1501,$X6))</f>
        <v/>
      </c>
      <c r="M6" s="7">
        <f>IF($X6="","",L6*U6/100)</f>
        <v/>
      </c>
      <c r="N6">
        <f>IF($X6="","",IF(ISNUMBER(SEARCH("3&amp;12",SUBSTITUTE(J6," ",""))),Settings!$G$7,Settings!$C$7))</f>
        <v/>
      </c>
      <c r="O6" s="7">
        <f>IF($X6="","",SUMIFS('Per Line'!$N$2:$N$1501,'Per Line'!$A$2:$A$1501,$B6,'Per Line'!$X$2:$X$1501,0))</f>
        <v/>
      </c>
      <c r="P6" s="7">
        <f>IF($X6="","",O6*N6)</f>
        <v/>
      </c>
      <c r="Q6">
        <f>IF($X6="","",IF(ISNUMBER(SEARCH("3&amp;12",SUBSTITUTE(J6," ",""))),Settings!$G$6,Settings!$C$6))</f>
        <v/>
      </c>
      <c r="R6" s="7">
        <f>IF($X6="","",SUMIFS('Per Line'!$N$2:$N$1501,'Per Line'!$A$2:$A$1501,$B6,'Per Line'!$X$2:$X$1501,1))</f>
        <v/>
      </c>
      <c r="S6" s="7">
        <f>IF($X6="","",R6*Q6)</f>
        <v/>
      </c>
      <c r="T6" s="7">
        <f>IF($X6="","",S6+P6)</f>
        <v/>
      </c>
      <c r="U6" s="7">
        <f>IF($X6="","",V6-T6)</f>
        <v/>
      </c>
      <c r="V6" s="7">
        <f>IF($X6="","",O6+R6)</f>
        <v/>
      </c>
      <c r="W6" s="7">
        <f>IF($X6="","",V6-T6-M6)</f>
        <v/>
      </c>
      <c r="X6" s="16">
        <f>IF(ROWS($X$2:$X6)&lt;=MAX('Per Line'!$W$2:$W$1501),MATCH(ROWS($X$2:$X6),'Per Line'!$W$2:$W$1501,0),"")</f>
        <v/>
      </c>
      <c r="Y6">
        <f>IF($X6="","",C6&amp;"|"&amp;COUNTIF($C$2:$C6,C6))</f>
        <v/>
      </c>
    </row>
    <row r="7">
      <c r="A7" s="15" t="n"/>
      <c r="B7">
        <f>IF($X7="","",INDEX('Per Line'!$A$2:$A$1501,$X7)&amp;"")</f>
        <v/>
      </c>
      <c r="C7">
        <f>IF($X7="","",IF(OR(TRIM(H7)="",TRIM(H7)="All",TRIM(H7)="All Comp"),TRIM(J7),TRIM(H7)))</f>
        <v/>
      </c>
      <c r="D7">
        <f>IF($X7="","",INDEX('Per Line'!$B$2:$B$1501,$X7)&amp;"")</f>
        <v/>
      </c>
      <c r="E7">
        <f>IF($X7="","",INDEX('Per Line'!$C$2:$C$1501,$X7)&amp;"")</f>
        <v/>
      </c>
      <c r="F7">
        <f>IF($X7="","",INDEX('Per Line'!$D$2:$D$1501,$X7)&amp;"")</f>
        <v/>
      </c>
      <c r="G7" s="15" t="n"/>
      <c r="H7" s="15" t="n"/>
      <c r="I7" s="15" t="n"/>
      <c r="J7" s="15" t="n"/>
      <c r="K7" s="14">
        <f>IF($X7="","",INDEX('Per Line'!$R$2:$R$1501,$X7))</f>
        <v/>
      </c>
      <c r="L7">
        <f>IF($X7="","",INDEX('Per Line'!$E$2:$E$1501,$X7))</f>
        <v/>
      </c>
      <c r="M7" s="7">
        <f>IF($X7="","",L7*U7/100)</f>
        <v/>
      </c>
      <c r="N7">
        <f>IF($X7="","",IF(ISNUMBER(SEARCH("3&amp;12",SUBSTITUTE(J7," ",""))),Settings!$G$7,Settings!$C$7))</f>
        <v/>
      </c>
      <c r="O7" s="7">
        <f>IF($X7="","",SUMIFS('Per Line'!$N$2:$N$1501,'Per Line'!$A$2:$A$1501,$B7,'Per Line'!$X$2:$X$1501,0))</f>
        <v/>
      </c>
      <c r="P7" s="7">
        <f>IF($X7="","",O7*N7)</f>
        <v/>
      </c>
      <c r="Q7">
        <f>IF($X7="","",IF(ISNUMBER(SEARCH("3&amp;12",SUBSTITUTE(J7," ",""))),Settings!$G$6,Settings!$C$6))</f>
        <v/>
      </c>
      <c r="R7" s="7">
        <f>IF($X7="","",SUMIFS('Per Line'!$N$2:$N$1501,'Per Line'!$A$2:$A$1501,$B7,'Per Line'!$X$2:$X$1501,1))</f>
        <v/>
      </c>
      <c r="S7" s="7">
        <f>IF($X7="","",R7*Q7)</f>
        <v/>
      </c>
      <c r="T7" s="7">
        <f>IF($X7="","",S7+P7)</f>
        <v/>
      </c>
      <c r="U7" s="7">
        <f>IF($X7="","",V7-T7)</f>
        <v/>
      </c>
      <c r="V7" s="7">
        <f>IF($X7="","",O7+R7)</f>
        <v/>
      </c>
      <c r="W7" s="7">
        <f>IF($X7="","",V7-T7-M7)</f>
        <v/>
      </c>
      <c r="X7" s="16">
        <f>IF(ROWS($X$2:$X7)&lt;=MAX('Per Line'!$W$2:$W$1501),MATCH(ROWS($X$2:$X7),'Per Line'!$W$2:$W$1501,0),"")</f>
        <v/>
      </c>
      <c r="Y7">
        <f>IF($X7="","",C7&amp;"|"&amp;COUNTIF($C$2:$C7,C7))</f>
        <v/>
      </c>
    </row>
    <row r="8">
      <c r="A8" s="15" t="n"/>
      <c r="B8">
        <f>IF($X8="","",INDEX('Per Line'!$A$2:$A$1501,$X8)&amp;"")</f>
        <v/>
      </c>
      <c r="C8">
        <f>IF($X8="","",IF(OR(TRIM(H8)="",TRIM(H8)="All",TRIM(H8)="All Comp"),TRIM(J8),TRIM(H8)))</f>
        <v/>
      </c>
      <c r="D8">
        <f>IF($X8="","",INDEX('Per Line'!$B$2:$B$1501,$X8)&amp;"")</f>
        <v/>
      </c>
      <c r="E8">
        <f>IF($X8="","",INDEX('Per Line'!$C$2:$C$1501,$X8)&amp;"")</f>
        <v/>
      </c>
      <c r="F8">
        <f>IF($X8="","",INDEX('Per Line'!$D$2:$D$1501,$X8)&amp;"")</f>
        <v/>
      </c>
      <c r="G8" s="15" t="n"/>
      <c r="H8" s="15" t="n"/>
      <c r="I8" s="15" t="n"/>
      <c r="J8" s="15" t="n"/>
      <c r="K8" s="14">
        <f>IF($X8="","",INDEX('Per Line'!$R$2:$R$1501,$X8))</f>
        <v/>
      </c>
      <c r="L8">
        <f>IF($X8="","",INDEX('Per Line'!$E$2:$E$1501,$X8))</f>
        <v/>
      </c>
      <c r="M8" s="7">
        <f>IF($X8="","",L8*U8/100)</f>
        <v/>
      </c>
      <c r="N8">
        <f>IF($X8="","",IF(ISNUMBER(SEARCH("3&amp;12",SUBSTITUTE(J8," ",""))),Settings!$G$7,Settings!$C$7))</f>
        <v/>
      </c>
      <c r="O8" s="7">
        <f>IF($X8="","",SUMIFS('Per Line'!$N$2:$N$1501,'Per Line'!$A$2:$A$1501,$B8,'Per Line'!$X$2:$X$1501,0))</f>
        <v/>
      </c>
      <c r="P8" s="7">
        <f>IF($X8="","",O8*N8)</f>
        <v/>
      </c>
      <c r="Q8">
        <f>IF($X8="","",IF(ISNUMBER(SEARCH("3&amp;12",SUBSTITUTE(J8," ",""))),Settings!$G$6,Settings!$C$6))</f>
        <v/>
      </c>
      <c r="R8" s="7">
        <f>IF($X8="","",SUMIFS('Per Line'!$N$2:$N$1501,'Per Line'!$A$2:$A$1501,$B8,'Per Line'!$X$2:$X$1501,1))</f>
        <v/>
      </c>
      <c r="S8" s="7">
        <f>IF($X8="","",R8*Q8)</f>
        <v/>
      </c>
      <c r="T8" s="7">
        <f>IF($X8="","",S8+P8)</f>
        <v/>
      </c>
      <c r="U8" s="7">
        <f>IF($X8="","",V8-T8)</f>
        <v/>
      </c>
      <c r="V8" s="7">
        <f>IF($X8="","",O8+R8)</f>
        <v/>
      </c>
      <c r="W8" s="7">
        <f>IF($X8="","",V8-T8-M8)</f>
        <v/>
      </c>
      <c r="X8" s="16">
        <f>IF(ROWS($X$2:$X8)&lt;=MAX('Per Line'!$W$2:$W$1501),MATCH(ROWS($X$2:$X8),'Per Line'!$W$2:$W$1501,0),"")</f>
        <v/>
      </c>
      <c r="Y8">
        <f>IF($X8="","",C8&amp;"|"&amp;COUNTIF($C$2:$C8,C8))</f>
        <v/>
      </c>
    </row>
    <row r="9">
      <c r="A9" s="15" t="n"/>
      <c r="B9">
        <f>IF($X9="","",INDEX('Per Line'!$A$2:$A$1501,$X9)&amp;"")</f>
        <v/>
      </c>
      <c r="C9">
        <f>IF($X9="","",IF(OR(TRIM(H9)="",TRIM(H9)="All",TRIM(H9)="All Comp"),TRIM(J9),TRIM(H9)))</f>
        <v/>
      </c>
      <c r="D9">
        <f>IF($X9="","",INDEX('Per Line'!$B$2:$B$1501,$X9)&amp;"")</f>
        <v/>
      </c>
      <c r="E9">
        <f>IF($X9="","",INDEX('Per Line'!$C$2:$C$1501,$X9)&amp;"")</f>
        <v/>
      </c>
      <c r="F9">
        <f>IF($X9="","",INDEX('Per Line'!$D$2:$D$1501,$X9)&amp;"")</f>
        <v/>
      </c>
      <c r="G9" s="15" t="n"/>
      <c r="H9" s="15" t="n"/>
      <c r="I9" s="15" t="n"/>
      <c r="J9" s="15" t="n"/>
      <c r="K9" s="14">
        <f>IF($X9="","",INDEX('Per Line'!$R$2:$R$1501,$X9))</f>
        <v/>
      </c>
      <c r="L9">
        <f>IF($X9="","",INDEX('Per Line'!$E$2:$E$1501,$X9))</f>
        <v/>
      </c>
      <c r="M9" s="7">
        <f>IF($X9="","",L9*U9/100)</f>
        <v/>
      </c>
      <c r="N9">
        <f>IF($X9="","",IF(ISNUMBER(SEARCH("3&amp;12",SUBSTITUTE(J9," ",""))),Settings!$G$7,Settings!$C$7))</f>
        <v/>
      </c>
      <c r="O9" s="7">
        <f>IF($X9="","",SUMIFS('Per Line'!$N$2:$N$1501,'Per Line'!$A$2:$A$1501,$B9,'Per Line'!$X$2:$X$1501,0))</f>
        <v/>
      </c>
      <c r="P9" s="7">
        <f>IF($X9="","",O9*N9)</f>
        <v/>
      </c>
      <c r="Q9">
        <f>IF($X9="","",IF(ISNUMBER(SEARCH("3&amp;12",SUBSTITUTE(J9," ",""))),Settings!$G$6,Settings!$C$6))</f>
        <v/>
      </c>
      <c r="R9" s="7">
        <f>IF($X9="","",SUMIFS('Per Line'!$N$2:$N$1501,'Per Line'!$A$2:$A$1501,$B9,'Per Line'!$X$2:$X$1501,1))</f>
        <v/>
      </c>
      <c r="S9" s="7">
        <f>IF($X9="","",R9*Q9)</f>
        <v/>
      </c>
      <c r="T9" s="7">
        <f>IF($X9="","",S9+P9)</f>
        <v/>
      </c>
      <c r="U9" s="7">
        <f>IF($X9="","",V9-T9)</f>
        <v/>
      </c>
      <c r="V9" s="7">
        <f>IF($X9="","",O9+R9)</f>
        <v/>
      </c>
      <c r="W9" s="7">
        <f>IF($X9="","",V9-T9-M9)</f>
        <v/>
      </c>
      <c r="X9" s="16">
        <f>IF(ROWS($X$2:$X9)&lt;=MAX('Per Line'!$W$2:$W$1501),MATCH(ROWS($X$2:$X9),'Per Line'!$W$2:$W$1501,0),"")</f>
        <v/>
      </c>
      <c r="Y9">
        <f>IF($X9="","",C9&amp;"|"&amp;COUNTIF($C$2:$C9,C9))</f>
        <v/>
      </c>
    </row>
    <row r="10">
      <c r="A10" s="15" t="n"/>
      <c r="B10">
        <f>IF($X10="","",INDEX('Per Line'!$A$2:$A$1501,$X10)&amp;"")</f>
        <v/>
      </c>
      <c r="C10">
        <f>IF($X10="","",IF(OR(TRIM(H10)="",TRIM(H10)="All",TRIM(H10)="All Comp"),TRIM(J10),TRIM(H10)))</f>
        <v/>
      </c>
      <c r="D10">
        <f>IF($X10="","",INDEX('Per Line'!$B$2:$B$1501,$X10)&amp;"")</f>
        <v/>
      </c>
      <c r="E10">
        <f>IF($X10="","",INDEX('Per Line'!$C$2:$C$1501,$X10)&amp;"")</f>
        <v/>
      </c>
      <c r="F10">
        <f>IF($X10="","",INDEX('Per Line'!$D$2:$D$1501,$X10)&amp;"")</f>
        <v/>
      </c>
      <c r="G10" s="15" t="n"/>
      <c r="H10" s="15" t="n"/>
      <c r="I10" s="15" t="n"/>
      <c r="J10" s="15" t="n"/>
      <c r="K10" s="14">
        <f>IF($X10="","",INDEX('Per Line'!$R$2:$R$1501,$X10))</f>
        <v/>
      </c>
      <c r="L10">
        <f>IF($X10="","",INDEX('Per Line'!$E$2:$E$1501,$X10))</f>
        <v/>
      </c>
      <c r="M10" s="7">
        <f>IF($X10="","",L10*U10/100)</f>
        <v/>
      </c>
      <c r="N10">
        <f>IF($X10="","",IF(ISNUMBER(SEARCH("3&amp;12",SUBSTITUTE(J10," ",""))),Settings!$G$7,Settings!$C$7))</f>
        <v/>
      </c>
      <c r="O10" s="7">
        <f>IF($X10="","",SUMIFS('Per Line'!$N$2:$N$1501,'Per Line'!$A$2:$A$1501,$B10,'Per Line'!$X$2:$X$1501,0))</f>
        <v/>
      </c>
      <c r="P10" s="7">
        <f>IF($X10="","",O10*N10)</f>
        <v/>
      </c>
      <c r="Q10">
        <f>IF($X10="","",IF(ISNUMBER(SEARCH("3&amp;12",SUBSTITUTE(J10," ",""))),Settings!$G$6,Settings!$C$6))</f>
        <v/>
      </c>
      <c r="R10" s="7">
        <f>IF($X10="","",SUMIFS('Per Line'!$N$2:$N$1501,'Per Line'!$A$2:$A$1501,$B10,'Per Line'!$X$2:$X$1501,1))</f>
        <v/>
      </c>
      <c r="S10" s="7">
        <f>IF($X10="","",R10*Q10)</f>
        <v/>
      </c>
      <c r="T10" s="7">
        <f>IF($X10="","",S10+P10)</f>
        <v/>
      </c>
      <c r="U10" s="7">
        <f>IF($X10="","",V10-T10)</f>
        <v/>
      </c>
      <c r="V10" s="7">
        <f>IF($X10="","",O10+R10)</f>
        <v/>
      </c>
      <c r="W10" s="7">
        <f>IF($X10="","",V10-T10-M10)</f>
        <v/>
      </c>
      <c r="X10" s="16">
        <f>IF(ROWS($X$2:$X10)&lt;=MAX('Per Line'!$W$2:$W$1501),MATCH(ROWS($X$2:$X10),'Per Line'!$W$2:$W$1501,0),"")</f>
        <v/>
      </c>
      <c r="Y10">
        <f>IF($X10="","",C10&amp;"|"&amp;COUNTIF($C$2:$C10,C10))</f>
        <v/>
      </c>
    </row>
    <row r="11">
      <c r="A11" s="15" t="n"/>
      <c r="B11">
        <f>IF($X11="","",INDEX('Per Line'!$A$2:$A$1501,$X11)&amp;"")</f>
        <v/>
      </c>
      <c r="C11">
        <f>IF($X11="","",IF(OR(TRIM(H11)="",TRIM(H11)="All",TRIM(H11)="All Comp"),TRIM(J11),TRIM(H11)))</f>
        <v/>
      </c>
      <c r="D11">
        <f>IF($X11="","",INDEX('Per Line'!$B$2:$B$1501,$X11)&amp;"")</f>
        <v/>
      </c>
      <c r="E11">
        <f>IF($X11="","",INDEX('Per Line'!$C$2:$C$1501,$X11)&amp;"")</f>
        <v/>
      </c>
      <c r="F11">
        <f>IF($X11="","",INDEX('Per Line'!$D$2:$D$1501,$X11)&amp;"")</f>
        <v/>
      </c>
      <c r="G11" s="15" t="n"/>
      <c r="H11" s="15" t="n"/>
      <c r="I11" s="15" t="n"/>
      <c r="J11" s="15" t="n"/>
      <c r="K11" s="14">
        <f>IF($X11="","",INDEX('Per Line'!$R$2:$R$1501,$X11))</f>
        <v/>
      </c>
      <c r="L11">
        <f>IF($X11="","",INDEX('Per Line'!$E$2:$E$1501,$X11))</f>
        <v/>
      </c>
      <c r="M11" s="7">
        <f>IF($X11="","",L11*U11/100)</f>
        <v/>
      </c>
      <c r="N11">
        <f>IF($X11="","",IF(ISNUMBER(SEARCH("3&amp;12",SUBSTITUTE(J11," ",""))),Settings!$G$7,Settings!$C$7))</f>
        <v/>
      </c>
      <c r="O11" s="7">
        <f>IF($X11="","",SUMIFS('Per Line'!$N$2:$N$1501,'Per Line'!$A$2:$A$1501,$B11,'Per Line'!$X$2:$X$1501,0))</f>
        <v/>
      </c>
      <c r="P11" s="7">
        <f>IF($X11="","",O11*N11)</f>
        <v/>
      </c>
      <c r="Q11">
        <f>IF($X11="","",IF(ISNUMBER(SEARCH("3&amp;12",SUBSTITUTE(J11," ",""))),Settings!$G$6,Settings!$C$6))</f>
        <v/>
      </c>
      <c r="R11" s="7">
        <f>IF($X11="","",SUMIFS('Per Line'!$N$2:$N$1501,'Per Line'!$A$2:$A$1501,$B11,'Per Line'!$X$2:$X$1501,1))</f>
        <v/>
      </c>
      <c r="S11" s="7">
        <f>IF($X11="","",R11*Q11)</f>
        <v/>
      </c>
      <c r="T11" s="7">
        <f>IF($X11="","",S11+P11)</f>
        <v/>
      </c>
      <c r="U11" s="7">
        <f>IF($X11="","",V11-T11)</f>
        <v/>
      </c>
      <c r="V11" s="7">
        <f>IF($X11="","",O11+R11)</f>
        <v/>
      </c>
      <c r="W11" s="7">
        <f>IF($X11="","",V11-T11-M11)</f>
        <v/>
      </c>
      <c r="X11" s="16">
        <f>IF(ROWS($X$2:$X11)&lt;=MAX('Per Line'!$W$2:$W$1501),MATCH(ROWS($X$2:$X11),'Per Line'!$W$2:$W$1501,0),"")</f>
        <v/>
      </c>
      <c r="Y11">
        <f>IF($X11="","",C11&amp;"|"&amp;COUNTIF($C$2:$C11,C11))</f>
        <v/>
      </c>
    </row>
    <row r="12">
      <c r="A12" s="15" t="n"/>
      <c r="B12">
        <f>IF($X12="","",INDEX('Per Line'!$A$2:$A$1501,$X12)&amp;"")</f>
        <v/>
      </c>
      <c r="C12">
        <f>IF($X12="","",IF(OR(TRIM(H12)="",TRIM(H12)="All",TRIM(H12)="All Comp"),TRIM(J12),TRIM(H12)))</f>
        <v/>
      </c>
      <c r="D12">
        <f>IF($X12="","",INDEX('Per Line'!$B$2:$B$1501,$X12)&amp;"")</f>
        <v/>
      </c>
      <c r="E12">
        <f>IF($X12="","",INDEX('Per Line'!$C$2:$C$1501,$X12)&amp;"")</f>
        <v/>
      </c>
      <c r="F12">
        <f>IF($X12="","",INDEX('Per Line'!$D$2:$D$1501,$X12)&amp;"")</f>
        <v/>
      </c>
      <c r="G12" s="15" t="n"/>
      <c r="H12" s="15" t="n"/>
      <c r="I12" s="15" t="n"/>
      <c r="J12" s="15" t="n"/>
      <c r="K12" s="14">
        <f>IF($X12="","",INDEX('Per Line'!$R$2:$R$1501,$X12))</f>
        <v/>
      </c>
      <c r="L12">
        <f>IF($X12="","",INDEX('Per Line'!$E$2:$E$1501,$X12))</f>
        <v/>
      </c>
      <c r="M12" s="7">
        <f>IF($X12="","",L12*U12/100)</f>
        <v/>
      </c>
      <c r="N12">
        <f>IF($X12="","",IF(ISNUMBER(SEARCH("3&amp;12",SUBSTITUTE(J12," ",""))),Settings!$G$7,Settings!$C$7))</f>
        <v/>
      </c>
      <c r="O12" s="7">
        <f>IF($X12="","",SUMIFS('Per Line'!$N$2:$N$1501,'Per Line'!$A$2:$A$1501,$B12,'Per Line'!$X$2:$X$1501,0))</f>
        <v/>
      </c>
      <c r="P12" s="7">
        <f>IF($X12="","",O12*N12)</f>
        <v/>
      </c>
      <c r="Q12">
        <f>IF($X12="","",IF(ISNUMBER(SEARCH("3&amp;12",SUBSTITUTE(J12," ",""))),Settings!$G$6,Settings!$C$6))</f>
        <v/>
      </c>
      <c r="R12" s="7">
        <f>IF($X12="","",SUMIFS('Per Line'!$N$2:$N$1501,'Per Line'!$A$2:$A$1501,$B12,'Per Line'!$X$2:$X$1501,1))</f>
        <v/>
      </c>
      <c r="S12" s="7">
        <f>IF($X12="","",R12*Q12)</f>
        <v/>
      </c>
      <c r="T12" s="7">
        <f>IF($X12="","",S12+P12)</f>
        <v/>
      </c>
      <c r="U12" s="7">
        <f>IF($X12="","",V12-T12)</f>
        <v/>
      </c>
      <c r="V12" s="7">
        <f>IF($X12="","",O12+R12)</f>
        <v/>
      </c>
      <c r="W12" s="7">
        <f>IF($X12="","",V12-T12-M12)</f>
        <v/>
      </c>
      <c r="X12" s="16">
        <f>IF(ROWS($X$2:$X12)&lt;=MAX('Per Line'!$W$2:$W$1501),MATCH(ROWS($X$2:$X12),'Per Line'!$W$2:$W$1501,0),"")</f>
        <v/>
      </c>
      <c r="Y12">
        <f>IF($X12="","",C12&amp;"|"&amp;COUNTIF($C$2:$C12,C12))</f>
        <v/>
      </c>
    </row>
    <row r="13">
      <c r="A13" s="15" t="n"/>
      <c r="B13">
        <f>IF($X13="","",INDEX('Per Line'!$A$2:$A$1501,$X13)&amp;"")</f>
        <v/>
      </c>
      <c r="C13">
        <f>IF($X13="","",IF(OR(TRIM(H13)="",TRIM(H13)="All",TRIM(H13)="All Comp"),TRIM(J13),TRIM(H13)))</f>
        <v/>
      </c>
      <c r="D13">
        <f>IF($X13="","",INDEX('Per Line'!$B$2:$B$1501,$X13)&amp;"")</f>
        <v/>
      </c>
      <c r="E13">
        <f>IF($X13="","",INDEX('Per Line'!$C$2:$C$1501,$X13)&amp;"")</f>
        <v/>
      </c>
      <c r="F13">
        <f>IF($X13="","",INDEX('Per Line'!$D$2:$D$1501,$X13)&amp;"")</f>
        <v/>
      </c>
      <c r="G13" s="15" t="n"/>
      <c r="H13" s="15" t="n"/>
      <c r="I13" s="15" t="n"/>
      <c r="J13" s="15" t="n"/>
      <c r="K13" s="14">
        <f>IF($X13="","",INDEX('Per Line'!$R$2:$R$1501,$X13))</f>
        <v/>
      </c>
      <c r="L13">
        <f>IF($X13="","",INDEX('Per Line'!$E$2:$E$1501,$X13))</f>
        <v/>
      </c>
      <c r="M13" s="7">
        <f>IF($X13="","",L13*U13/100)</f>
        <v/>
      </c>
      <c r="N13">
        <f>IF($X13="","",IF(ISNUMBER(SEARCH("3&amp;12",SUBSTITUTE(J13," ",""))),Settings!$G$7,Settings!$C$7))</f>
        <v/>
      </c>
      <c r="O13" s="7">
        <f>IF($X13="","",SUMIFS('Per Line'!$N$2:$N$1501,'Per Line'!$A$2:$A$1501,$B13,'Per Line'!$X$2:$X$1501,0))</f>
        <v/>
      </c>
      <c r="P13" s="7">
        <f>IF($X13="","",O13*N13)</f>
        <v/>
      </c>
      <c r="Q13">
        <f>IF($X13="","",IF(ISNUMBER(SEARCH("3&amp;12",SUBSTITUTE(J13," ",""))),Settings!$G$6,Settings!$C$6))</f>
        <v/>
      </c>
      <c r="R13" s="7">
        <f>IF($X13="","",SUMIFS('Per Line'!$N$2:$N$1501,'Per Line'!$A$2:$A$1501,$B13,'Per Line'!$X$2:$X$1501,1))</f>
        <v/>
      </c>
      <c r="S13" s="7">
        <f>IF($X13="","",R13*Q13)</f>
        <v/>
      </c>
      <c r="T13" s="7">
        <f>IF($X13="","",S13+P13)</f>
        <v/>
      </c>
      <c r="U13" s="7">
        <f>IF($X13="","",V13-T13)</f>
        <v/>
      </c>
      <c r="V13" s="7">
        <f>IF($X13="","",O13+R13)</f>
        <v/>
      </c>
      <c r="W13" s="7">
        <f>IF($X13="","",V13-T13-M13)</f>
        <v/>
      </c>
      <c r="X13" s="16">
        <f>IF(ROWS($X$2:$X13)&lt;=MAX('Per Line'!$W$2:$W$1501),MATCH(ROWS($X$2:$X13),'Per Line'!$W$2:$W$1501,0),"")</f>
        <v/>
      </c>
      <c r="Y13">
        <f>IF($X13="","",C13&amp;"|"&amp;COUNTIF($C$2:$C13,C13))</f>
        <v/>
      </c>
    </row>
    <row r="14">
      <c r="A14" s="15" t="n"/>
      <c r="B14">
        <f>IF($X14="","",INDEX('Per Line'!$A$2:$A$1501,$X14)&amp;"")</f>
        <v/>
      </c>
      <c r="C14">
        <f>IF($X14="","",IF(OR(TRIM(H14)="",TRIM(H14)="All",TRIM(H14)="All Comp"),TRIM(J14),TRIM(H14)))</f>
        <v/>
      </c>
      <c r="D14">
        <f>IF($X14="","",INDEX('Per Line'!$B$2:$B$1501,$X14)&amp;"")</f>
        <v/>
      </c>
      <c r="E14">
        <f>IF($X14="","",INDEX('Per Line'!$C$2:$C$1501,$X14)&amp;"")</f>
        <v/>
      </c>
      <c r="F14">
        <f>IF($X14="","",INDEX('Per Line'!$D$2:$D$1501,$X14)&amp;"")</f>
        <v/>
      </c>
      <c r="G14" s="15" t="n"/>
      <c r="H14" s="15" t="n"/>
      <c r="I14" s="15" t="n"/>
      <c r="J14" s="15" t="n"/>
      <c r="K14" s="14">
        <f>IF($X14="","",INDEX('Per Line'!$R$2:$R$1501,$X14))</f>
        <v/>
      </c>
      <c r="L14">
        <f>IF($X14="","",INDEX('Per Line'!$E$2:$E$1501,$X14))</f>
        <v/>
      </c>
      <c r="M14" s="7">
        <f>IF($X14="","",L14*U14/100)</f>
        <v/>
      </c>
      <c r="N14">
        <f>IF($X14="","",IF(ISNUMBER(SEARCH("3&amp;12",SUBSTITUTE(J14," ",""))),Settings!$G$7,Settings!$C$7))</f>
        <v/>
      </c>
      <c r="O14" s="7">
        <f>IF($X14="","",SUMIFS('Per Line'!$N$2:$N$1501,'Per Line'!$A$2:$A$1501,$B14,'Per Line'!$X$2:$X$1501,0))</f>
        <v/>
      </c>
      <c r="P14" s="7">
        <f>IF($X14="","",O14*N14)</f>
        <v/>
      </c>
      <c r="Q14">
        <f>IF($X14="","",IF(ISNUMBER(SEARCH("3&amp;12",SUBSTITUTE(J14," ",""))),Settings!$G$6,Settings!$C$6))</f>
        <v/>
      </c>
      <c r="R14" s="7">
        <f>IF($X14="","",SUMIFS('Per Line'!$N$2:$N$1501,'Per Line'!$A$2:$A$1501,$B14,'Per Line'!$X$2:$X$1501,1))</f>
        <v/>
      </c>
      <c r="S14" s="7">
        <f>IF($X14="","",R14*Q14)</f>
        <v/>
      </c>
      <c r="T14" s="7">
        <f>IF($X14="","",S14+P14)</f>
        <v/>
      </c>
      <c r="U14" s="7">
        <f>IF($X14="","",V14-T14)</f>
        <v/>
      </c>
      <c r="V14" s="7">
        <f>IF($X14="","",O14+R14)</f>
        <v/>
      </c>
      <c r="W14" s="7">
        <f>IF($X14="","",V14-T14-M14)</f>
        <v/>
      </c>
      <c r="X14" s="16">
        <f>IF(ROWS($X$2:$X14)&lt;=MAX('Per Line'!$W$2:$W$1501),MATCH(ROWS($X$2:$X14),'Per Line'!$W$2:$W$1501,0),"")</f>
        <v/>
      </c>
      <c r="Y14">
        <f>IF($X14="","",C14&amp;"|"&amp;COUNTIF($C$2:$C14,C14))</f>
        <v/>
      </c>
    </row>
    <row r="15">
      <c r="A15" s="15" t="n"/>
      <c r="B15">
        <f>IF($X15="","",INDEX('Per Line'!$A$2:$A$1501,$X15)&amp;"")</f>
        <v/>
      </c>
      <c r="C15">
        <f>IF($X15="","",IF(OR(TRIM(H15)="",TRIM(H15)="All",TRIM(H15)="All Comp"),TRIM(J15),TRIM(H15)))</f>
        <v/>
      </c>
      <c r="D15">
        <f>IF($X15="","",INDEX('Per Line'!$B$2:$B$1501,$X15)&amp;"")</f>
        <v/>
      </c>
      <c r="E15">
        <f>IF($X15="","",INDEX('Per Line'!$C$2:$C$1501,$X15)&amp;"")</f>
        <v/>
      </c>
      <c r="F15">
        <f>IF($X15="","",INDEX('Per Line'!$D$2:$D$1501,$X15)&amp;"")</f>
        <v/>
      </c>
      <c r="G15" s="15" t="n"/>
      <c r="H15" s="15" t="n"/>
      <c r="I15" s="15" t="n"/>
      <c r="J15" s="15" t="n"/>
      <c r="K15" s="14">
        <f>IF($X15="","",INDEX('Per Line'!$R$2:$R$1501,$X15))</f>
        <v/>
      </c>
      <c r="L15">
        <f>IF($X15="","",INDEX('Per Line'!$E$2:$E$1501,$X15))</f>
        <v/>
      </c>
      <c r="M15" s="7">
        <f>IF($X15="","",L15*U15/100)</f>
        <v/>
      </c>
      <c r="N15">
        <f>IF($X15="","",IF(ISNUMBER(SEARCH("3&amp;12",SUBSTITUTE(J15," ",""))),Settings!$G$7,Settings!$C$7))</f>
        <v/>
      </c>
      <c r="O15" s="7">
        <f>IF($X15="","",SUMIFS('Per Line'!$N$2:$N$1501,'Per Line'!$A$2:$A$1501,$B15,'Per Line'!$X$2:$X$1501,0))</f>
        <v/>
      </c>
      <c r="P15" s="7">
        <f>IF($X15="","",O15*N15)</f>
        <v/>
      </c>
      <c r="Q15">
        <f>IF($X15="","",IF(ISNUMBER(SEARCH("3&amp;12",SUBSTITUTE(J15," ",""))),Settings!$G$6,Settings!$C$6))</f>
        <v/>
      </c>
      <c r="R15" s="7">
        <f>IF($X15="","",SUMIFS('Per Line'!$N$2:$N$1501,'Per Line'!$A$2:$A$1501,$B15,'Per Line'!$X$2:$X$1501,1))</f>
        <v/>
      </c>
      <c r="S15" s="7">
        <f>IF($X15="","",R15*Q15)</f>
        <v/>
      </c>
      <c r="T15" s="7">
        <f>IF($X15="","",S15+P15)</f>
        <v/>
      </c>
      <c r="U15" s="7">
        <f>IF($X15="","",V15-T15)</f>
        <v/>
      </c>
      <c r="V15" s="7">
        <f>IF($X15="","",O15+R15)</f>
        <v/>
      </c>
      <c r="W15" s="7">
        <f>IF($X15="","",V15-T15-M15)</f>
        <v/>
      </c>
      <c r="X15" s="16">
        <f>IF(ROWS($X$2:$X15)&lt;=MAX('Per Line'!$W$2:$W$1501),MATCH(ROWS($X$2:$X15),'Per Line'!$W$2:$W$1501,0),"")</f>
        <v/>
      </c>
      <c r="Y15">
        <f>IF($X15="","",C15&amp;"|"&amp;COUNTIF($C$2:$C15,C15))</f>
        <v/>
      </c>
    </row>
    <row r="16">
      <c r="A16" s="15" t="n"/>
      <c r="B16">
        <f>IF($X16="","",INDEX('Per Line'!$A$2:$A$1501,$X16)&amp;"")</f>
        <v/>
      </c>
      <c r="C16">
        <f>IF($X16="","",IF(OR(TRIM(H16)="",TRIM(H16)="All",TRIM(H16)="All Comp"),TRIM(J16),TRIM(H16)))</f>
        <v/>
      </c>
      <c r="D16">
        <f>IF($X16="","",INDEX('Per Line'!$B$2:$B$1501,$X16)&amp;"")</f>
        <v/>
      </c>
      <c r="E16">
        <f>IF($X16="","",INDEX('Per Line'!$C$2:$C$1501,$X16)&amp;"")</f>
        <v/>
      </c>
      <c r="F16">
        <f>IF($X16="","",INDEX('Per Line'!$D$2:$D$1501,$X16)&amp;"")</f>
        <v/>
      </c>
      <c r="G16" s="15" t="n"/>
      <c r="H16" s="15" t="n"/>
      <c r="I16" s="15" t="n"/>
      <c r="J16" s="15" t="n"/>
      <c r="K16" s="14">
        <f>IF($X16="","",INDEX('Per Line'!$R$2:$R$1501,$X16))</f>
        <v/>
      </c>
      <c r="L16">
        <f>IF($X16="","",INDEX('Per Line'!$E$2:$E$1501,$X16))</f>
        <v/>
      </c>
      <c r="M16" s="7">
        <f>IF($X16="","",L16*U16/100)</f>
        <v/>
      </c>
      <c r="N16">
        <f>IF($X16="","",IF(ISNUMBER(SEARCH("3&amp;12",SUBSTITUTE(J16," ",""))),Settings!$G$7,Settings!$C$7))</f>
        <v/>
      </c>
      <c r="O16" s="7">
        <f>IF($X16="","",SUMIFS('Per Line'!$N$2:$N$1501,'Per Line'!$A$2:$A$1501,$B16,'Per Line'!$X$2:$X$1501,0))</f>
        <v/>
      </c>
      <c r="P16" s="7">
        <f>IF($X16="","",O16*N16)</f>
        <v/>
      </c>
      <c r="Q16">
        <f>IF($X16="","",IF(ISNUMBER(SEARCH("3&amp;12",SUBSTITUTE(J16," ",""))),Settings!$G$6,Settings!$C$6))</f>
        <v/>
      </c>
      <c r="R16" s="7">
        <f>IF($X16="","",SUMIFS('Per Line'!$N$2:$N$1501,'Per Line'!$A$2:$A$1501,$B16,'Per Line'!$X$2:$X$1501,1))</f>
        <v/>
      </c>
      <c r="S16" s="7">
        <f>IF($X16="","",R16*Q16)</f>
        <v/>
      </c>
      <c r="T16" s="7">
        <f>IF($X16="","",S16+P16)</f>
        <v/>
      </c>
      <c r="U16" s="7">
        <f>IF($X16="","",V16-T16)</f>
        <v/>
      </c>
      <c r="V16" s="7">
        <f>IF($X16="","",O16+R16)</f>
        <v/>
      </c>
      <c r="W16" s="7">
        <f>IF($X16="","",V16-T16-M16)</f>
        <v/>
      </c>
      <c r="X16" s="16">
        <f>IF(ROWS($X$2:$X16)&lt;=MAX('Per Line'!$W$2:$W$1501),MATCH(ROWS($X$2:$X16),'Per Line'!$W$2:$W$1501,0),"")</f>
        <v/>
      </c>
      <c r="Y16">
        <f>IF($X16="","",C16&amp;"|"&amp;COUNTIF($C$2:$C16,C16))</f>
        <v/>
      </c>
    </row>
    <row r="17">
      <c r="A17" s="15" t="n"/>
      <c r="B17">
        <f>IF($X17="","",INDEX('Per Line'!$A$2:$A$1501,$X17)&amp;"")</f>
        <v/>
      </c>
      <c r="C17">
        <f>IF($X17="","",IF(OR(TRIM(H17)="",TRIM(H17)="All",TRIM(H17)="All Comp"),TRIM(J17),TRIM(H17)))</f>
        <v/>
      </c>
      <c r="D17">
        <f>IF($X17="","",INDEX('Per Line'!$B$2:$B$1501,$X17)&amp;"")</f>
        <v/>
      </c>
      <c r="E17">
        <f>IF($X17="","",INDEX('Per Line'!$C$2:$C$1501,$X17)&amp;"")</f>
        <v/>
      </c>
      <c r="F17">
        <f>IF($X17="","",INDEX('Per Line'!$D$2:$D$1501,$X17)&amp;"")</f>
        <v/>
      </c>
      <c r="G17" s="15" t="n"/>
      <c r="H17" s="15" t="n"/>
      <c r="I17" s="15" t="n"/>
      <c r="J17" s="15" t="n"/>
      <c r="K17" s="14">
        <f>IF($X17="","",INDEX('Per Line'!$R$2:$R$1501,$X17))</f>
        <v/>
      </c>
      <c r="L17">
        <f>IF($X17="","",INDEX('Per Line'!$E$2:$E$1501,$X17))</f>
        <v/>
      </c>
      <c r="M17" s="7">
        <f>IF($X17="","",L17*U17/100)</f>
        <v/>
      </c>
      <c r="N17">
        <f>IF($X17="","",IF(ISNUMBER(SEARCH("3&amp;12",SUBSTITUTE(J17," ",""))),Settings!$G$7,Settings!$C$7))</f>
        <v/>
      </c>
      <c r="O17" s="7">
        <f>IF($X17="","",SUMIFS('Per Line'!$N$2:$N$1501,'Per Line'!$A$2:$A$1501,$B17,'Per Line'!$X$2:$X$1501,0))</f>
        <v/>
      </c>
      <c r="P17" s="7">
        <f>IF($X17="","",O17*N17)</f>
        <v/>
      </c>
      <c r="Q17">
        <f>IF($X17="","",IF(ISNUMBER(SEARCH("3&amp;12",SUBSTITUTE(J17," ",""))),Settings!$G$6,Settings!$C$6))</f>
        <v/>
      </c>
      <c r="R17" s="7">
        <f>IF($X17="","",SUMIFS('Per Line'!$N$2:$N$1501,'Per Line'!$A$2:$A$1501,$B17,'Per Line'!$X$2:$X$1501,1))</f>
        <v/>
      </c>
      <c r="S17" s="7">
        <f>IF($X17="","",R17*Q17)</f>
        <v/>
      </c>
      <c r="T17" s="7">
        <f>IF($X17="","",S17+P17)</f>
        <v/>
      </c>
      <c r="U17" s="7">
        <f>IF($X17="","",V17-T17)</f>
        <v/>
      </c>
      <c r="V17" s="7">
        <f>IF($X17="","",O17+R17)</f>
        <v/>
      </c>
      <c r="W17" s="7">
        <f>IF($X17="","",V17-T17-M17)</f>
        <v/>
      </c>
      <c r="X17" s="16">
        <f>IF(ROWS($X$2:$X17)&lt;=MAX('Per Line'!$W$2:$W$1501),MATCH(ROWS($X$2:$X17),'Per Line'!$W$2:$W$1501,0),"")</f>
        <v/>
      </c>
      <c r="Y17">
        <f>IF($X17="","",C17&amp;"|"&amp;COUNTIF($C$2:$C17,C17))</f>
        <v/>
      </c>
    </row>
    <row r="18">
      <c r="A18" s="15" t="n"/>
      <c r="B18">
        <f>IF($X18="","",INDEX('Per Line'!$A$2:$A$1501,$X18)&amp;"")</f>
        <v/>
      </c>
      <c r="C18">
        <f>IF($X18="","",IF(OR(TRIM(H18)="",TRIM(H18)="All",TRIM(H18)="All Comp"),TRIM(J18),TRIM(H18)))</f>
        <v/>
      </c>
      <c r="D18">
        <f>IF($X18="","",INDEX('Per Line'!$B$2:$B$1501,$X18)&amp;"")</f>
        <v/>
      </c>
      <c r="E18">
        <f>IF($X18="","",INDEX('Per Line'!$C$2:$C$1501,$X18)&amp;"")</f>
        <v/>
      </c>
      <c r="F18">
        <f>IF($X18="","",INDEX('Per Line'!$D$2:$D$1501,$X18)&amp;"")</f>
        <v/>
      </c>
      <c r="G18" s="15" t="n"/>
      <c r="H18" s="15" t="n"/>
      <c r="I18" s="15" t="n"/>
      <c r="J18" s="15" t="n"/>
      <c r="K18" s="14">
        <f>IF($X18="","",INDEX('Per Line'!$R$2:$R$1501,$X18))</f>
        <v/>
      </c>
      <c r="L18">
        <f>IF($X18="","",INDEX('Per Line'!$E$2:$E$1501,$X18))</f>
        <v/>
      </c>
      <c r="M18" s="7">
        <f>IF($X18="","",L18*U18/100)</f>
        <v/>
      </c>
      <c r="N18">
        <f>IF($X18="","",IF(ISNUMBER(SEARCH("3&amp;12",SUBSTITUTE(J18," ",""))),Settings!$G$7,Settings!$C$7))</f>
        <v/>
      </c>
      <c r="O18" s="7">
        <f>IF($X18="","",SUMIFS('Per Line'!$N$2:$N$1501,'Per Line'!$A$2:$A$1501,$B18,'Per Line'!$X$2:$X$1501,0))</f>
        <v/>
      </c>
      <c r="P18" s="7">
        <f>IF($X18="","",O18*N18)</f>
        <v/>
      </c>
      <c r="Q18">
        <f>IF($X18="","",IF(ISNUMBER(SEARCH("3&amp;12",SUBSTITUTE(J18," ",""))),Settings!$G$6,Settings!$C$6))</f>
        <v/>
      </c>
      <c r="R18" s="7">
        <f>IF($X18="","",SUMIFS('Per Line'!$N$2:$N$1501,'Per Line'!$A$2:$A$1501,$B18,'Per Line'!$X$2:$X$1501,1))</f>
        <v/>
      </c>
      <c r="S18" s="7">
        <f>IF($X18="","",R18*Q18)</f>
        <v/>
      </c>
      <c r="T18" s="7">
        <f>IF($X18="","",S18+P18)</f>
        <v/>
      </c>
      <c r="U18" s="7">
        <f>IF($X18="","",V18-T18)</f>
        <v/>
      </c>
      <c r="V18" s="7">
        <f>IF($X18="","",O18+R18)</f>
        <v/>
      </c>
      <c r="W18" s="7">
        <f>IF($X18="","",V18-T18-M18)</f>
        <v/>
      </c>
      <c r="X18" s="16">
        <f>IF(ROWS($X$2:$X18)&lt;=MAX('Per Line'!$W$2:$W$1501),MATCH(ROWS($X$2:$X18),'Per Line'!$W$2:$W$1501,0),"")</f>
        <v/>
      </c>
      <c r="Y18">
        <f>IF($X18="","",C18&amp;"|"&amp;COUNTIF($C$2:$C18,C18))</f>
        <v/>
      </c>
    </row>
    <row r="19">
      <c r="A19" s="15" t="n"/>
      <c r="B19">
        <f>IF($X19="","",INDEX('Per Line'!$A$2:$A$1501,$X19)&amp;"")</f>
        <v/>
      </c>
      <c r="C19">
        <f>IF($X19="","",IF(OR(TRIM(H19)="",TRIM(H19)="All",TRIM(H19)="All Comp"),TRIM(J19),TRIM(H19)))</f>
        <v/>
      </c>
      <c r="D19">
        <f>IF($X19="","",INDEX('Per Line'!$B$2:$B$1501,$X19)&amp;"")</f>
        <v/>
      </c>
      <c r="E19">
        <f>IF($X19="","",INDEX('Per Line'!$C$2:$C$1501,$X19)&amp;"")</f>
        <v/>
      </c>
      <c r="F19">
        <f>IF($X19="","",INDEX('Per Line'!$D$2:$D$1501,$X19)&amp;"")</f>
        <v/>
      </c>
      <c r="G19" s="15" t="n"/>
      <c r="H19" s="15" t="n"/>
      <c r="I19" s="15" t="n"/>
      <c r="J19" s="15" t="n"/>
      <c r="K19" s="14">
        <f>IF($X19="","",INDEX('Per Line'!$R$2:$R$1501,$X19))</f>
        <v/>
      </c>
      <c r="L19">
        <f>IF($X19="","",INDEX('Per Line'!$E$2:$E$1501,$X19))</f>
        <v/>
      </c>
      <c r="M19" s="7">
        <f>IF($X19="","",L19*U19/100)</f>
        <v/>
      </c>
      <c r="N19">
        <f>IF($X19="","",IF(ISNUMBER(SEARCH("3&amp;12",SUBSTITUTE(J19," ",""))),Settings!$G$7,Settings!$C$7))</f>
        <v/>
      </c>
      <c r="O19" s="7">
        <f>IF($X19="","",SUMIFS('Per Line'!$N$2:$N$1501,'Per Line'!$A$2:$A$1501,$B19,'Per Line'!$X$2:$X$1501,0))</f>
        <v/>
      </c>
      <c r="P19" s="7">
        <f>IF($X19="","",O19*N19)</f>
        <v/>
      </c>
      <c r="Q19">
        <f>IF($X19="","",IF(ISNUMBER(SEARCH("3&amp;12",SUBSTITUTE(J19," ",""))),Settings!$G$6,Settings!$C$6))</f>
        <v/>
      </c>
      <c r="R19" s="7">
        <f>IF($X19="","",SUMIFS('Per Line'!$N$2:$N$1501,'Per Line'!$A$2:$A$1501,$B19,'Per Line'!$X$2:$X$1501,1))</f>
        <v/>
      </c>
      <c r="S19" s="7">
        <f>IF($X19="","",R19*Q19)</f>
        <v/>
      </c>
      <c r="T19" s="7">
        <f>IF($X19="","",S19+P19)</f>
        <v/>
      </c>
      <c r="U19" s="7">
        <f>IF($X19="","",V19-T19)</f>
        <v/>
      </c>
      <c r="V19" s="7">
        <f>IF($X19="","",O19+R19)</f>
        <v/>
      </c>
      <c r="W19" s="7">
        <f>IF($X19="","",V19-T19-M19)</f>
        <v/>
      </c>
      <c r="X19" s="16">
        <f>IF(ROWS($X$2:$X19)&lt;=MAX('Per Line'!$W$2:$W$1501),MATCH(ROWS($X$2:$X19),'Per Line'!$W$2:$W$1501,0),"")</f>
        <v/>
      </c>
      <c r="Y19">
        <f>IF($X19="","",C19&amp;"|"&amp;COUNTIF($C$2:$C19,C19))</f>
        <v/>
      </c>
    </row>
    <row r="20">
      <c r="A20" s="15" t="n"/>
      <c r="B20">
        <f>IF($X20="","",INDEX('Per Line'!$A$2:$A$1501,$X20)&amp;"")</f>
        <v/>
      </c>
      <c r="C20">
        <f>IF($X20="","",IF(OR(TRIM(H20)="",TRIM(H20)="All",TRIM(H20)="All Comp"),TRIM(J20),TRIM(H20)))</f>
        <v/>
      </c>
      <c r="D20">
        <f>IF($X20="","",INDEX('Per Line'!$B$2:$B$1501,$X20)&amp;"")</f>
        <v/>
      </c>
      <c r="E20">
        <f>IF($X20="","",INDEX('Per Line'!$C$2:$C$1501,$X20)&amp;"")</f>
        <v/>
      </c>
      <c r="F20">
        <f>IF($X20="","",INDEX('Per Line'!$D$2:$D$1501,$X20)&amp;"")</f>
        <v/>
      </c>
      <c r="G20" s="15" t="n"/>
      <c r="H20" s="15" t="n"/>
      <c r="I20" s="15" t="n"/>
      <c r="J20" s="15" t="n"/>
      <c r="K20" s="14">
        <f>IF($X20="","",INDEX('Per Line'!$R$2:$R$1501,$X20))</f>
        <v/>
      </c>
      <c r="L20">
        <f>IF($X20="","",INDEX('Per Line'!$E$2:$E$1501,$X20))</f>
        <v/>
      </c>
      <c r="M20" s="7">
        <f>IF($X20="","",L20*U20/100)</f>
        <v/>
      </c>
      <c r="N20">
        <f>IF($X20="","",IF(ISNUMBER(SEARCH("3&amp;12",SUBSTITUTE(J20," ",""))),Settings!$G$7,Settings!$C$7))</f>
        <v/>
      </c>
      <c r="O20" s="7">
        <f>IF($X20="","",SUMIFS('Per Line'!$N$2:$N$1501,'Per Line'!$A$2:$A$1501,$B20,'Per Line'!$X$2:$X$1501,0))</f>
        <v/>
      </c>
      <c r="P20" s="7">
        <f>IF($X20="","",O20*N20)</f>
        <v/>
      </c>
      <c r="Q20">
        <f>IF($X20="","",IF(ISNUMBER(SEARCH("3&amp;12",SUBSTITUTE(J20," ",""))),Settings!$G$6,Settings!$C$6))</f>
        <v/>
      </c>
      <c r="R20" s="7">
        <f>IF($X20="","",SUMIFS('Per Line'!$N$2:$N$1501,'Per Line'!$A$2:$A$1501,$B20,'Per Line'!$X$2:$X$1501,1))</f>
        <v/>
      </c>
      <c r="S20" s="7">
        <f>IF($X20="","",R20*Q20)</f>
        <v/>
      </c>
      <c r="T20" s="7">
        <f>IF($X20="","",S20+P20)</f>
        <v/>
      </c>
      <c r="U20" s="7">
        <f>IF($X20="","",V20-T20)</f>
        <v/>
      </c>
      <c r="V20" s="7">
        <f>IF($X20="","",O20+R20)</f>
        <v/>
      </c>
      <c r="W20" s="7">
        <f>IF($X20="","",V20-T20-M20)</f>
        <v/>
      </c>
      <c r="X20" s="16">
        <f>IF(ROWS($X$2:$X20)&lt;=MAX('Per Line'!$W$2:$W$1501),MATCH(ROWS($X$2:$X20),'Per Line'!$W$2:$W$1501,0),"")</f>
        <v/>
      </c>
      <c r="Y20">
        <f>IF($X20="","",C20&amp;"|"&amp;COUNTIF($C$2:$C20,C20))</f>
        <v/>
      </c>
    </row>
    <row r="21">
      <c r="A21" s="15" t="n"/>
      <c r="B21">
        <f>IF($X21="","",INDEX('Per Line'!$A$2:$A$1501,$X21)&amp;"")</f>
        <v/>
      </c>
      <c r="C21">
        <f>IF($X21="","",IF(OR(TRIM(H21)="",TRIM(H21)="All",TRIM(H21)="All Comp"),TRIM(J21),TRIM(H21)))</f>
        <v/>
      </c>
      <c r="D21">
        <f>IF($X21="","",INDEX('Per Line'!$B$2:$B$1501,$X21)&amp;"")</f>
        <v/>
      </c>
      <c r="E21">
        <f>IF($X21="","",INDEX('Per Line'!$C$2:$C$1501,$X21)&amp;"")</f>
        <v/>
      </c>
      <c r="F21">
        <f>IF($X21="","",INDEX('Per Line'!$D$2:$D$1501,$X21)&amp;"")</f>
        <v/>
      </c>
      <c r="G21" s="15" t="n"/>
      <c r="H21" s="15" t="n"/>
      <c r="I21" s="15" t="n"/>
      <c r="J21" s="15" t="n"/>
      <c r="K21" s="14">
        <f>IF($X21="","",INDEX('Per Line'!$R$2:$R$1501,$X21))</f>
        <v/>
      </c>
      <c r="L21">
        <f>IF($X21="","",INDEX('Per Line'!$E$2:$E$1501,$X21))</f>
        <v/>
      </c>
      <c r="M21" s="7">
        <f>IF($X21="","",L21*U21/100)</f>
        <v/>
      </c>
      <c r="N21">
        <f>IF($X21="","",IF(ISNUMBER(SEARCH("3&amp;12",SUBSTITUTE(J21," ",""))),Settings!$G$7,Settings!$C$7))</f>
        <v/>
      </c>
      <c r="O21" s="7">
        <f>IF($X21="","",SUMIFS('Per Line'!$N$2:$N$1501,'Per Line'!$A$2:$A$1501,$B21,'Per Line'!$X$2:$X$1501,0))</f>
        <v/>
      </c>
      <c r="P21" s="7">
        <f>IF($X21="","",O21*N21)</f>
        <v/>
      </c>
      <c r="Q21">
        <f>IF($X21="","",IF(ISNUMBER(SEARCH("3&amp;12",SUBSTITUTE(J21," ",""))),Settings!$G$6,Settings!$C$6))</f>
        <v/>
      </c>
      <c r="R21" s="7">
        <f>IF($X21="","",SUMIFS('Per Line'!$N$2:$N$1501,'Per Line'!$A$2:$A$1501,$B21,'Per Line'!$X$2:$X$1501,1))</f>
        <v/>
      </c>
      <c r="S21" s="7">
        <f>IF($X21="","",R21*Q21)</f>
        <v/>
      </c>
      <c r="T21" s="7">
        <f>IF($X21="","",S21+P21)</f>
        <v/>
      </c>
      <c r="U21" s="7">
        <f>IF($X21="","",V21-T21)</f>
        <v/>
      </c>
      <c r="V21" s="7">
        <f>IF($X21="","",O21+R21)</f>
        <v/>
      </c>
      <c r="W21" s="7">
        <f>IF($X21="","",V21-T21-M21)</f>
        <v/>
      </c>
      <c r="X21" s="16">
        <f>IF(ROWS($X$2:$X21)&lt;=MAX('Per Line'!$W$2:$W$1501),MATCH(ROWS($X$2:$X21),'Per Line'!$W$2:$W$1501,0),"")</f>
        <v/>
      </c>
      <c r="Y21">
        <f>IF($X21="","",C21&amp;"|"&amp;COUNTIF($C$2:$C21,C21))</f>
        <v/>
      </c>
    </row>
    <row r="22">
      <c r="A22" s="15" t="n"/>
      <c r="B22">
        <f>IF($X22="","",INDEX('Per Line'!$A$2:$A$1501,$X22)&amp;"")</f>
        <v/>
      </c>
      <c r="C22">
        <f>IF($X22="","",IF(OR(TRIM(H22)="",TRIM(H22)="All",TRIM(H22)="All Comp"),TRIM(J22),TRIM(H22)))</f>
        <v/>
      </c>
      <c r="D22">
        <f>IF($X22="","",INDEX('Per Line'!$B$2:$B$1501,$X22)&amp;"")</f>
        <v/>
      </c>
      <c r="E22">
        <f>IF($X22="","",INDEX('Per Line'!$C$2:$C$1501,$X22)&amp;"")</f>
        <v/>
      </c>
      <c r="F22">
        <f>IF($X22="","",INDEX('Per Line'!$D$2:$D$1501,$X22)&amp;"")</f>
        <v/>
      </c>
      <c r="G22" s="15" t="n"/>
      <c r="H22" s="15" t="n"/>
      <c r="I22" s="15" t="n"/>
      <c r="J22" s="15" t="n"/>
      <c r="K22" s="14">
        <f>IF($X22="","",INDEX('Per Line'!$R$2:$R$1501,$X22))</f>
        <v/>
      </c>
      <c r="L22">
        <f>IF($X22="","",INDEX('Per Line'!$E$2:$E$1501,$X22))</f>
        <v/>
      </c>
      <c r="M22" s="7">
        <f>IF($X22="","",L22*U22/100)</f>
        <v/>
      </c>
      <c r="N22">
        <f>IF($X22="","",IF(ISNUMBER(SEARCH("3&amp;12",SUBSTITUTE(J22," ",""))),Settings!$G$7,Settings!$C$7))</f>
        <v/>
      </c>
      <c r="O22" s="7">
        <f>IF($X22="","",SUMIFS('Per Line'!$N$2:$N$1501,'Per Line'!$A$2:$A$1501,$B22,'Per Line'!$X$2:$X$1501,0))</f>
        <v/>
      </c>
      <c r="P22" s="7">
        <f>IF($X22="","",O22*N22)</f>
        <v/>
      </c>
      <c r="Q22">
        <f>IF($X22="","",IF(ISNUMBER(SEARCH("3&amp;12",SUBSTITUTE(J22," ",""))),Settings!$G$6,Settings!$C$6))</f>
        <v/>
      </c>
      <c r="R22" s="7">
        <f>IF($X22="","",SUMIFS('Per Line'!$N$2:$N$1501,'Per Line'!$A$2:$A$1501,$B22,'Per Line'!$X$2:$X$1501,1))</f>
        <v/>
      </c>
      <c r="S22" s="7">
        <f>IF($X22="","",R22*Q22)</f>
        <v/>
      </c>
      <c r="T22" s="7">
        <f>IF($X22="","",S22+P22)</f>
        <v/>
      </c>
      <c r="U22" s="7">
        <f>IF($X22="","",V22-T22)</f>
        <v/>
      </c>
      <c r="V22" s="7">
        <f>IF($X22="","",O22+R22)</f>
        <v/>
      </c>
      <c r="W22" s="7">
        <f>IF($X22="","",V22-T22-M22)</f>
        <v/>
      </c>
      <c r="X22" s="16">
        <f>IF(ROWS($X$2:$X22)&lt;=MAX('Per Line'!$W$2:$W$1501),MATCH(ROWS($X$2:$X22),'Per Line'!$W$2:$W$1501,0),"")</f>
        <v/>
      </c>
      <c r="Y22">
        <f>IF($X22="","",C22&amp;"|"&amp;COUNTIF($C$2:$C22,C22))</f>
        <v/>
      </c>
    </row>
    <row r="23">
      <c r="A23" s="15" t="n"/>
      <c r="B23">
        <f>IF($X23="","",INDEX('Per Line'!$A$2:$A$1501,$X23)&amp;"")</f>
        <v/>
      </c>
      <c r="C23">
        <f>IF($X23="","",IF(OR(TRIM(H23)="",TRIM(H23)="All",TRIM(H23)="All Comp"),TRIM(J23),TRIM(H23)))</f>
        <v/>
      </c>
      <c r="D23">
        <f>IF($X23="","",INDEX('Per Line'!$B$2:$B$1501,$X23)&amp;"")</f>
        <v/>
      </c>
      <c r="E23">
        <f>IF($X23="","",INDEX('Per Line'!$C$2:$C$1501,$X23)&amp;"")</f>
        <v/>
      </c>
      <c r="F23">
        <f>IF($X23="","",INDEX('Per Line'!$D$2:$D$1501,$X23)&amp;"")</f>
        <v/>
      </c>
      <c r="G23" s="15" t="n"/>
      <c r="H23" s="15" t="n"/>
      <c r="I23" s="15" t="n"/>
      <c r="J23" s="15" t="n"/>
      <c r="K23" s="14">
        <f>IF($X23="","",INDEX('Per Line'!$R$2:$R$1501,$X23))</f>
        <v/>
      </c>
      <c r="L23">
        <f>IF($X23="","",INDEX('Per Line'!$E$2:$E$1501,$X23))</f>
        <v/>
      </c>
      <c r="M23" s="7">
        <f>IF($X23="","",L23*U23/100)</f>
        <v/>
      </c>
      <c r="N23">
        <f>IF($X23="","",IF(ISNUMBER(SEARCH("3&amp;12",SUBSTITUTE(J23," ",""))),Settings!$G$7,Settings!$C$7))</f>
        <v/>
      </c>
      <c r="O23" s="7">
        <f>IF($X23="","",SUMIFS('Per Line'!$N$2:$N$1501,'Per Line'!$A$2:$A$1501,$B23,'Per Line'!$X$2:$X$1501,0))</f>
        <v/>
      </c>
      <c r="P23" s="7">
        <f>IF($X23="","",O23*N23)</f>
        <v/>
      </c>
      <c r="Q23">
        <f>IF($X23="","",IF(ISNUMBER(SEARCH("3&amp;12",SUBSTITUTE(J23," ",""))),Settings!$G$6,Settings!$C$6))</f>
        <v/>
      </c>
      <c r="R23" s="7">
        <f>IF($X23="","",SUMIFS('Per Line'!$N$2:$N$1501,'Per Line'!$A$2:$A$1501,$B23,'Per Line'!$X$2:$X$1501,1))</f>
        <v/>
      </c>
      <c r="S23" s="7">
        <f>IF($X23="","",R23*Q23)</f>
        <v/>
      </c>
      <c r="T23" s="7">
        <f>IF($X23="","",S23+P23)</f>
        <v/>
      </c>
      <c r="U23" s="7">
        <f>IF($X23="","",V23-T23)</f>
        <v/>
      </c>
      <c r="V23" s="7">
        <f>IF($X23="","",O23+R23)</f>
        <v/>
      </c>
      <c r="W23" s="7">
        <f>IF($X23="","",V23-T23-M23)</f>
        <v/>
      </c>
      <c r="X23" s="16">
        <f>IF(ROWS($X$2:$X23)&lt;=MAX('Per Line'!$W$2:$W$1501),MATCH(ROWS($X$2:$X23),'Per Line'!$W$2:$W$1501,0),"")</f>
        <v/>
      </c>
      <c r="Y23">
        <f>IF($X23="","",C23&amp;"|"&amp;COUNTIF($C$2:$C23,C23))</f>
        <v/>
      </c>
    </row>
    <row r="24">
      <c r="A24" s="15" t="n"/>
      <c r="B24">
        <f>IF($X24="","",INDEX('Per Line'!$A$2:$A$1501,$X24)&amp;"")</f>
        <v/>
      </c>
      <c r="C24">
        <f>IF($X24="","",IF(OR(TRIM(H24)="",TRIM(H24)="All",TRIM(H24)="All Comp"),TRIM(J24),TRIM(H24)))</f>
        <v/>
      </c>
      <c r="D24">
        <f>IF($X24="","",INDEX('Per Line'!$B$2:$B$1501,$X24)&amp;"")</f>
        <v/>
      </c>
      <c r="E24">
        <f>IF($X24="","",INDEX('Per Line'!$C$2:$C$1501,$X24)&amp;"")</f>
        <v/>
      </c>
      <c r="F24">
        <f>IF($X24="","",INDEX('Per Line'!$D$2:$D$1501,$X24)&amp;"")</f>
        <v/>
      </c>
      <c r="G24" s="15" t="n"/>
      <c r="H24" s="15" t="n"/>
      <c r="I24" s="15" t="n"/>
      <c r="J24" s="15" t="n"/>
      <c r="K24" s="14">
        <f>IF($X24="","",INDEX('Per Line'!$R$2:$R$1501,$X24))</f>
        <v/>
      </c>
      <c r="L24">
        <f>IF($X24="","",INDEX('Per Line'!$E$2:$E$1501,$X24))</f>
        <v/>
      </c>
      <c r="M24" s="7">
        <f>IF($X24="","",L24*U24/100)</f>
        <v/>
      </c>
      <c r="N24">
        <f>IF($X24="","",IF(ISNUMBER(SEARCH("3&amp;12",SUBSTITUTE(J24," ",""))),Settings!$G$7,Settings!$C$7))</f>
        <v/>
      </c>
      <c r="O24" s="7">
        <f>IF($X24="","",SUMIFS('Per Line'!$N$2:$N$1501,'Per Line'!$A$2:$A$1501,$B24,'Per Line'!$X$2:$X$1501,0))</f>
        <v/>
      </c>
      <c r="P24" s="7">
        <f>IF($X24="","",O24*N24)</f>
        <v/>
      </c>
      <c r="Q24">
        <f>IF($X24="","",IF(ISNUMBER(SEARCH("3&amp;12",SUBSTITUTE(J24," ",""))),Settings!$G$6,Settings!$C$6))</f>
        <v/>
      </c>
      <c r="R24" s="7">
        <f>IF($X24="","",SUMIFS('Per Line'!$N$2:$N$1501,'Per Line'!$A$2:$A$1501,$B24,'Per Line'!$X$2:$X$1501,1))</f>
        <v/>
      </c>
      <c r="S24" s="7">
        <f>IF($X24="","",R24*Q24)</f>
        <v/>
      </c>
      <c r="T24" s="7">
        <f>IF($X24="","",S24+P24)</f>
        <v/>
      </c>
      <c r="U24" s="7">
        <f>IF($X24="","",V24-T24)</f>
        <v/>
      </c>
      <c r="V24" s="7">
        <f>IF($X24="","",O24+R24)</f>
        <v/>
      </c>
      <c r="W24" s="7">
        <f>IF($X24="","",V24-T24-M24)</f>
        <v/>
      </c>
      <c r="X24" s="16">
        <f>IF(ROWS($X$2:$X24)&lt;=MAX('Per Line'!$W$2:$W$1501),MATCH(ROWS($X$2:$X24),'Per Line'!$W$2:$W$1501,0),"")</f>
        <v/>
      </c>
      <c r="Y24">
        <f>IF($X24="","",C24&amp;"|"&amp;COUNTIF($C$2:$C24,C24))</f>
        <v/>
      </c>
    </row>
    <row r="25">
      <c r="A25" s="15" t="n"/>
      <c r="B25">
        <f>IF($X25="","",INDEX('Per Line'!$A$2:$A$1501,$X25)&amp;"")</f>
        <v/>
      </c>
      <c r="C25">
        <f>IF($X25="","",IF(OR(TRIM(H25)="",TRIM(H25)="All",TRIM(H25)="All Comp"),TRIM(J25),TRIM(H25)))</f>
        <v/>
      </c>
      <c r="D25">
        <f>IF($X25="","",INDEX('Per Line'!$B$2:$B$1501,$X25)&amp;"")</f>
        <v/>
      </c>
      <c r="E25">
        <f>IF($X25="","",INDEX('Per Line'!$C$2:$C$1501,$X25)&amp;"")</f>
        <v/>
      </c>
      <c r="F25">
        <f>IF($X25="","",INDEX('Per Line'!$D$2:$D$1501,$X25)&amp;"")</f>
        <v/>
      </c>
      <c r="G25" s="15" t="n"/>
      <c r="H25" s="15" t="n"/>
      <c r="I25" s="15" t="n"/>
      <c r="J25" s="15" t="n"/>
      <c r="K25" s="14">
        <f>IF($X25="","",INDEX('Per Line'!$R$2:$R$1501,$X25))</f>
        <v/>
      </c>
      <c r="L25">
        <f>IF($X25="","",INDEX('Per Line'!$E$2:$E$1501,$X25))</f>
        <v/>
      </c>
      <c r="M25" s="7">
        <f>IF($X25="","",L25*U25/100)</f>
        <v/>
      </c>
      <c r="N25">
        <f>IF($X25="","",IF(ISNUMBER(SEARCH("3&amp;12",SUBSTITUTE(J25," ",""))),Settings!$G$7,Settings!$C$7))</f>
        <v/>
      </c>
      <c r="O25" s="7">
        <f>IF($X25="","",SUMIFS('Per Line'!$N$2:$N$1501,'Per Line'!$A$2:$A$1501,$B25,'Per Line'!$X$2:$X$1501,0))</f>
        <v/>
      </c>
      <c r="P25" s="7">
        <f>IF($X25="","",O25*N25)</f>
        <v/>
      </c>
      <c r="Q25">
        <f>IF($X25="","",IF(ISNUMBER(SEARCH("3&amp;12",SUBSTITUTE(J25," ",""))),Settings!$G$6,Settings!$C$6))</f>
        <v/>
      </c>
      <c r="R25" s="7">
        <f>IF($X25="","",SUMIFS('Per Line'!$N$2:$N$1501,'Per Line'!$A$2:$A$1501,$B25,'Per Line'!$X$2:$X$1501,1))</f>
        <v/>
      </c>
      <c r="S25" s="7">
        <f>IF($X25="","",R25*Q25)</f>
        <v/>
      </c>
      <c r="T25" s="7">
        <f>IF($X25="","",S25+P25)</f>
        <v/>
      </c>
      <c r="U25" s="7">
        <f>IF($X25="","",V25-T25)</f>
        <v/>
      </c>
      <c r="V25" s="7">
        <f>IF($X25="","",O25+R25)</f>
        <v/>
      </c>
      <c r="W25" s="7">
        <f>IF($X25="","",V25-T25-M25)</f>
        <v/>
      </c>
      <c r="X25" s="16">
        <f>IF(ROWS($X$2:$X25)&lt;=MAX('Per Line'!$W$2:$W$1501),MATCH(ROWS($X$2:$X25),'Per Line'!$W$2:$W$1501,0),"")</f>
        <v/>
      </c>
      <c r="Y25">
        <f>IF($X25="","",C25&amp;"|"&amp;COUNTIF($C$2:$C25,C25))</f>
        <v/>
      </c>
    </row>
    <row r="26">
      <c r="A26" s="15" t="n"/>
      <c r="B26">
        <f>IF($X26="","",INDEX('Per Line'!$A$2:$A$1501,$X26)&amp;"")</f>
        <v/>
      </c>
      <c r="C26">
        <f>IF($X26="","",IF(OR(TRIM(H26)="",TRIM(H26)="All",TRIM(H26)="All Comp"),TRIM(J26),TRIM(H26)))</f>
        <v/>
      </c>
      <c r="D26">
        <f>IF($X26="","",INDEX('Per Line'!$B$2:$B$1501,$X26)&amp;"")</f>
        <v/>
      </c>
      <c r="E26">
        <f>IF($X26="","",INDEX('Per Line'!$C$2:$C$1501,$X26)&amp;"")</f>
        <v/>
      </c>
      <c r="F26">
        <f>IF($X26="","",INDEX('Per Line'!$D$2:$D$1501,$X26)&amp;"")</f>
        <v/>
      </c>
      <c r="G26" s="15" t="n"/>
      <c r="H26" s="15" t="n"/>
      <c r="I26" s="15" t="n"/>
      <c r="J26" s="15" t="n"/>
      <c r="K26" s="14">
        <f>IF($X26="","",INDEX('Per Line'!$R$2:$R$1501,$X26))</f>
        <v/>
      </c>
      <c r="L26">
        <f>IF($X26="","",INDEX('Per Line'!$E$2:$E$1501,$X26))</f>
        <v/>
      </c>
      <c r="M26" s="7">
        <f>IF($X26="","",L26*U26/100)</f>
        <v/>
      </c>
      <c r="N26">
        <f>IF($X26="","",IF(ISNUMBER(SEARCH("3&amp;12",SUBSTITUTE(J26," ",""))),Settings!$G$7,Settings!$C$7))</f>
        <v/>
      </c>
      <c r="O26" s="7">
        <f>IF($X26="","",SUMIFS('Per Line'!$N$2:$N$1501,'Per Line'!$A$2:$A$1501,$B26,'Per Line'!$X$2:$X$1501,0))</f>
        <v/>
      </c>
      <c r="P26" s="7">
        <f>IF($X26="","",O26*N26)</f>
        <v/>
      </c>
      <c r="Q26">
        <f>IF($X26="","",IF(ISNUMBER(SEARCH("3&amp;12",SUBSTITUTE(J26," ",""))),Settings!$G$6,Settings!$C$6))</f>
        <v/>
      </c>
      <c r="R26" s="7">
        <f>IF($X26="","",SUMIFS('Per Line'!$N$2:$N$1501,'Per Line'!$A$2:$A$1501,$B26,'Per Line'!$X$2:$X$1501,1))</f>
        <v/>
      </c>
      <c r="S26" s="7">
        <f>IF($X26="","",R26*Q26)</f>
        <v/>
      </c>
      <c r="T26" s="7">
        <f>IF($X26="","",S26+P26)</f>
        <v/>
      </c>
      <c r="U26" s="7">
        <f>IF($X26="","",V26-T26)</f>
        <v/>
      </c>
      <c r="V26" s="7">
        <f>IF($X26="","",O26+R26)</f>
        <v/>
      </c>
      <c r="W26" s="7">
        <f>IF($X26="","",V26-T26-M26)</f>
        <v/>
      </c>
      <c r="X26" s="16">
        <f>IF(ROWS($X$2:$X26)&lt;=MAX('Per Line'!$W$2:$W$1501),MATCH(ROWS($X$2:$X26),'Per Line'!$W$2:$W$1501,0),"")</f>
        <v/>
      </c>
      <c r="Y26">
        <f>IF($X26="","",C26&amp;"|"&amp;COUNTIF($C$2:$C26,C26))</f>
        <v/>
      </c>
    </row>
    <row r="27">
      <c r="A27" s="15" t="n"/>
      <c r="B27">
        <f>IF($X27="","",INDEX('Per Line'!$A$2:$A$1501,$X27)&amp;"")</f>
        <v/>
      </c>
      <c r="C27">
        <f>IF($X27="","",IF(OR(TRIM(H27)="",TRIM(H27)="All",TRIM(H27)="All Comp"),TRIM(J27),TRIM(H27)))</f>
        <v/>
      </c>
      <c r="D27">
        <f>IF($X27="","",INDEX('Per Line'!$B$2:$B$1501,$X27)&amp;"")</f>
        <v/>
      </c>
      <c r="E27">
        <f>IF($X27="","",INDEX('Per Line'!$C$2:$C$1501,$X27)&amp;"")</f>
        <v/>
      </c>
      <c r="F27">
        <f>IF($X27="","",INDEX('Per Line'!$D$2:$D$1501,$X27)&amp;"")</f>
        <v/>
      </c>
      <c r="G27" s="15" t="n"/>
      <c r="H27" s="15" t="n"/>
      <c r="I27" s="15" t="n"/>
      <c r="J27" s="15" t="n"/>
      <c r="K27" s="14">
        <f>IF($X27="","",INDEX('Per Line'!$R$2:$R$1501,$X27))</f>
        <v/>
      </c>
      <c r="L27">
        <f>IF($X27="","",INDEX('Per Line'!$E$2:$E$1501,$X27))</f>
        <v/>
      </c>
      <c r="M27" s="7">
        <f>IF($X27="","",L27*U27/100)</f>
        <v/>
      </c>
      <c r="N27">
        <f>IF($X27="","",IF(ISNUMBER(SEARCH("3&amp;12",SUBSTITUTE(J27," ",""))),Settings!$G$7,Settings!$C$7))</f>
        <v/>
      </c>
      <c r="O27" s="7">
        <f>IF($X27="","",SUMIFS('Per Line'!$N$2:$N$1501,'Per Line'!$A$2:$A$1501,$B27,'Per Line'!$X$2:$X$1501,0))</f>
        <v/>
      </c>
      <c r="P27" s="7">
        <f>IF($X27="","",O27*N27)</f>
        <v/>
      </c>
      <c r="Q27">
        <f>IF($X27="","",IF(ISNUMBER(SEARCH("3&amp;12",SUBSTITUTE(J27," ",""))),Settings!$G$6,Settings!$C$6))</f>
        <v/>
      </c>
      <c r="R27" s="7">
        <f>IF($X27="","",SUMIFS('Per Line'!$N$2:$N$1501,'Per Line'!$A$2:$A$1501,$B27,'Per Line'!$X$2:$X$1501,1))</f>
        <v/>
      </c>
      <c r="S27" s="7">
        <f>IF($X27="","",R27*Q27)</f>
        <v/>
      </c>
      <c r="T27" s="7">
        <f>IF($X27="","",S27+P27)</f>
        <v/>
      </c>
      <c r="U27" s="7">
        <f>IF($X27="","",V27-T27)</f>
        <v/>
      </c>
      <c r="V27" s="7">
        <f>IF($X27="","",O27+R27)</f>
        <v/>
      </c>
      <c r="W27" s="7">
        <f>IF($X27="","",V27-T27-M27)</f>
        <v/>
      </c>
      <c r="X27" s="16">
        <f>IF(ROWS($X$2:$X27)&lt;=MAX('Per Line'!$W$2:$W$1501),MATCH(ROWS($X$2:$X27),'Per Line'!$W$2:$W$1501,0),"")</f>
        <v/>
      </c>
      <c r="Y27">
        <f>IF($X27="","",C27&amp;"|"&amp;COUNTIF($C$2:$C27,C27))</f>
        <v/>
      </c>
    </row>
    <row r="28">
      <c r="A28" s="15" t="n"/>
      <c r="B28">
        <f>IF($X28="","",INDEX('Per Line'!$A$2:$A$1501,$X28)&amp;"")</f>
        <v/>
      </c>
      <c r="C28">
        <f>IF($X28="","",IF(OR(TRIM(H28)="",TRIM(H28)="All",TRIM(H28)="All Comp"),TRIM(J28),TRIM(H28)))</f>
        <v/>
      </c>
      <c r="D28">
        <f>IF($X28="","",INDEX('Per Line'!$B$2:$B$1501,$X28)&amp;"")</f>
        <v/>
      </c>
      <c r="E28">
        <f>IF($X28="","",INDEX('Per Line'!$C$2:$C$1501,$X28)&amp;"")</f>
        <v/>
      </c>
      <c r="F28">
        <f>IF($X28="","",INDEX('Per Line'!$D$2:$D$1501,$X28)&amp;"")</f>
        <v/>
      </c>
      <c r="G28" s="15" t="n"/>
      <c r="H28" s="15" t="n"/>
      <c r="I28" s="15" t="n"/>
      <c r="J28" s="15" t="n"/>
      <c r="K28" s="14">
        <f>IF($X28="","",INDEX('Per Line'!$R$2:$R$1501,$X28))</f>
        <v/>
      </c>
      <c r="L28">
        <f>IF($X28="","",INDEX('Per Line'!$E$2:$E$1501,$X28))</f>
        <v/>
      </c>
      <c r="M28" s="7">
        <f>IF($X28="","",L28*U28/100)</f>
        <v/>
      </c>
      <c r="N28">
        <f>IF($X28="","",IF(ISNUMBER(SEARCH("3&amp;12",SUBSTITUTE(J28," ",""))),Settings!$G$7,Settings!$C$7))</f>
        <v/>
      </c>
      <c r="O28" s="7">
        <f>IF($X28="","",SUMIFS('Per Line'!$N$2:$N$1501,'Per Line'!$A$2:$A$1501,$B28,'Per Line'!$X$2:$X$1501,0))</f>
        <v/>
      </c>
      <c r="P28" s="7">
        <f>IF($X28="","",O28*N28)</f>
        <v/>
      </c>
      <c r="Q28">
        <f>IF($X28="","",IF(ISNUMBER(SEARCH("3&amp;12",SUBSTITUTE(J28," ",""))),Settings!$G$6,Settings!$C$6))</f>
        <v/>
      </c>
      <c r="R28" s="7">
        <f>IF($X28="","",SUMIFS('Per Line'!$N$2:$N$1501,'Per Line'!$A$2:$A$1501,$B28,'Per Line'!$X$2:$X$1501,1))</f>
        <v/>
      </c>
      <c r="S28" s="7">
        <f>IF($X28="","",R28*Q28)</f>
        <v/>
      </c>
      <c r="T28" s="7">
        <f>IF($X28="","",S28+P28)</f>
        <v/>
      </c>
      <c r="U28" s="7">
        <f>IF($X28="","",V28-T28)</f>
        <v/>
      </c>
      <c r="V28" s="7">
        <f>IF($X28="","",O28+R28)</f>
        <v/>
      </c>
      <c r="W28" s="7">
        <f>IF($X28="","",V28-T28-M28)</f>
        <v/>
      </c>
      <c r="X28" s="16">
        <f>IF(ROWS($X$2:$X28)&lt;=MAX('Per Line'!$W$2:$W$1501),MATCH(ROWS($X$2:$X28),'Per Line'!$W$2:$W$1501,0),"")</f>
        <v/>
      </c>
      <c r="Y28">
        <f>IF($X28="","",C28&amp;"|"&amp;COUNTIF($C$2:$C28,C28))</f>
        <v/>
      </c>
    </row>
    <row r="29">
      <c r="A29" s="15" t="n"/>
      <c r="B29">
        <f>IF($X29="","",INDEX('Per Line'!$A$2:$A$1501,$X29)&amp;"")</f>
        <v/>
      </c>
      <c r="C29">
        <f>IF($X29="","",IF(OR(TRIM(H29)="",TRIM(H29)="All",TRIM(H29)="All Comp"),TRIM(J29),TRIM(H29)))</f>
        <v/>
      </c>
      <c r="D29">
        <f>IF($X29="","",INDEX('Per Line'!$B$2:$B$1501,$X29)&amp;"")</f>
        <v/>
      </c>
      <c r="E29">
        <f>IF($X29="","",INDEX('Per Line'!$C$2:$C$1501,$X29)&amp;"")</f>
        <v/>
      </c>
      <c r="F29">
        <f>IF($X29="","",INDEX('Per Line'!$D$2:$D$1501,$X29)&amp;"")</f>
        <v/>
      </c>
      <c r="G29" s="15" t="n"/>
      <c r="H29" s="15" t="n"/>
      <c r="I29" s="15" t="n"/>
      <c r="J29" s="15" t="n"/>
      <c r="K29" s="14">
        <f>IF($X29="","",INDEX('Per Line'!$R$2:$R$1501,$X29))</f>
        <v/>
      </c>
      <c r="L29">
        <f>IF($X29="","",INDEX('Per Line'!$E$2:$E$1501,$X29))</f>
        <v/>
      </c>
      <c r="M29" s="7">
        <f>IF($X29="","",L29*U29/100)</f>
        <v/>
      </c>
      <c r="N29">
        <f>IF($X29="","",IF(ISNUMBER(SEARCH("3&amp;12",SUBSTITUTE(J29," ",""))),Settings!$G$7,Settings!$C$7))</f>
        <v/>
      </c>
      <c r="O29" s="7">
        <f>IF($X29="","",SUMIFS('Per Line'!$N$2:$N$1501,'Per Line'!$A$2:$A$1501,$B29,'Per Line'!$X$2:$X$1501,0))</f>
        <v/>
      </c>
      <c r="P29" s="7">
        <f>IF($X29="","",O29*N29)</f>
        <v/>
      </c>
      <c r="Q29">
        <f>IF($X29="","",IF(ISNUMBER(SEARCH("3&amp;12",SUBSTITUTE(J29," ",""))),Settings!$G$6,Settings!$C$6))</f>
        <v/>
      </c>
      <c r="R29" s="7">
        <f>IF($X29="","",SUMIFS('Per Line'!$N$2:$N$1501,'Per Line'!$A$2:$A$1501,$B29,'Per Line'!$X$2:$X$1501,1))</f>
        <v/>
      </c>
      <c r="S29" s="7">
        <f>IF($X29="","",R29*Q29)</f>
        <v/>
      </c>
      <c r="T29" s="7">
        <f>IF($X29="","",S29+P29)</f>
        <v/>
      </c>
      <c r="U29" s="7">
        <f>IF($X29="","",V29-T29)</f>
        <v/>
      </c>
      <c r="V29" s="7">
        <f>IF($X29="","",O29+R29)</f>
        <v/>
      </c>
      <c r="W29" s="7">
        <f>IF($X29="","",V29-T29-M29)</f>
        <v/>
      </c>
      <c r="X29" s="16">
        <f>IF(ROWS($X$2:$X29)&lt;=MAX('Per Line'!$W$2:$W$1501),MATCH(ROWS($X$2:$X29),'Per Line'!$W$2:$W$1501,0),"")</f>
        <v/>
      </c>
      <c r="Y29">
        <f>IF($X29="","",C29&amp;"|"&amp;COUNTIF($C$2:$C29,C29))</f>
        <v/>
      </c>
    </row>
    <row r="30">
      <c r="A30" s="15" t="n"/>
      <c r="B30">
        <f>IF($X30="","",INDEX('Per Line'!$A$2:$A$1501,$X30)&amp;"")</f>
        <v/>
      </c>
      <c r="C30">
        <f>IF($X30="","",IF(OR(TRIM(H30)="",TRIM(H30)="All",TRIM(H30)="All Comp"),TRIM(J30),TRIM(H30)))</f>
        <v/>
      </c>
      <c r="D30">
        <f>IF($X30="","",INDEX('Per Line'!$B$2:$B$1501,$X30)&amp;"")</f>
        <v/>
      </c>
      <c r="E30">
        <f>IF($X30="","",INDEX('Per Line'!$C$2:$C$1501,$X30)&amp;"")</f>
        <v/>
      </c>
      <c r="F30">
        <f>IF($X30="","",INDEX('Per Line'!$D$2:$D$1501,$X30)&amp;"")</f>
        <v/>
      </c>
      <c r="G30" s="15" t="n"/>
      <c r="H30" s="15" t="n"/>
      <c r="I30" s="15" t="n"/>
      <c r="J30" s="15" t="n"/>
      <c r="K30" s="14">
        <f>IF($X30="","",INDEX('Per Line'!$R$2:$R$1501,$X30))</f>
        <v/>
      </c>
      <c r="L30">
        <f>IF($X30="","",INDEX('Per Line'!$E$2:$E$1501,$X30))</f>
        <v/>
      </c>
      <c r="M30" s="7">
        <f>IF($X30="","",L30*U30/100)</f>
        <v/>
      </c>
      <c r="N30">
        <f>IF($X30="","",IF(ISNUMBER(SEARCH("3&amp;12",SUBSTITUTE(J30," ",""))),Settings!$G$7,Settings!$C$7))</f>
        <v/>
      </c>
      <c r="O30" s="7">
        <f>IF($X30="","",SUMIFS('Per Line'!$N$2:$N$1501,'Per Line'!$A$2:$A$1501,$B30,'Per Line'!$X$2:$X$1501,0))</f>
        <v/>
      </c>
      <c r="P30" s="7">
        <f>IF($X30="","",O30*N30)</f>
        <v/>
      </c>
      <c r="Q30">
        <f>IF($X30="","",IF(ISNUMBER(SEARCH("3&amp;12",SUBSTITUTE(J30," ",""))),Settings!$G$6,Settings!$C$6))</f>
        <v/>
      </c>
      <c r="R30" s="7">
        <f>IF($X30="","",SUMIFS('Per Line'!$N$2:$N$1501,'Per Line'!$A$2:$A$1501,$B30,'Per Line'!$X$2:$X$1501,1))</f>
        <v/>
      </c>
      <c r="S30" s="7">
        <f>IF($X30="","",R30*Q30)</f>
        <v/>
      </c>
      <c r="T30" s="7">
        <f>IF($X30="","",S30+P30)</f>
        <v/>
      </c>
      <c r="U30" s="7">
        <f>IF($X30="","",V30-T30)</f>
        <v/>
      </c>
      <c r="V30" s="7">
        <f>IF($X30="","",O30+R30)</f>
        <v/>
      </c>
      <c r="W30" s="7">
        <f>IF($X30="","",V30-T30-M30)</f>
        <v/>
      </c>
      <c r="X30" s="16">
        <f>IF(ROWS($X$2:$X30)&lt;=MAX('Per Line'!$W$2:$W$1501),MATCH(ROWS($X$2:$X30),'Per Line'!$W$2:$W$1501,0),"")</f>
        <v/>
      </c>
      <c r="Y30">
        <f>IF($X30="","",C30&amp;"|"&amp;COUNTIF($C$2:$C30,C30))</f>
        <v/>
      </c>
    </row>
    <row r="31">
      <c r="A31" s="15" t="n"/>
      <c r="B31">
        <f>IF($X31="","",INDEX('Per Line'!$A$2:$A$1501,$X31)&amp;"")</f>
        <v/>
      </c>
      <c r="C31">
        <f>IF($X31="","",IF(OR(TRIM(H31)="",TRIM(H31)="All",TRIM(H31)="All Comp"),TRIM(J31),TRIM(H31)))</f>
        <v/>
      </c>
      <c r="D31">
        <f>IF($X31="","",INDEX('Per Line'!$B$2:$B$1501,$X31)&amp;"")</f>
        <v/>
      </c>
      <c r="E31">
        <f>IF($X31="","",INDEX('Per Line'!$C$2:$C$1501,$X31)&amp;"")</f>
        <v/>
      </c>
      <c r="F31">
        <f>IF($X31="","",INDEX('Per Line'!$D$2:$D$1501,$X31)&amp;"")</f>
        <v/>
      </c>
      <c r="G31" s="15" t="n"/>
      <c r="H31" s="15" t="n"/>
      <c r="I31" s="15" t="n"/>
      <c r="J31" s="15" t="n"/>
      <c r="K31" s="14">
        <f>IF($X31="","",INDEX('Per Line'!$R$2:$R$1501,$X31))</f>
        <v/>
      </c>
      <c r="L31">
        <f>IF($X31="","",INDEX('Per Line'!$E$2:$E$1501,$X31))</f>
        <v/>
      </c>
      <c r="M31" s="7">
        <f>IF($X31="","",L31*U31/100)</f>
        <v/>
      </c>
      <c r="N31">
        <f>IF($X31="","",IF(ISNUMBER(SEARCH("3&amp;12",SUBSTITUTE(J31," ",""))),Settings!$G$7,Settings!$C$7))</f>
        <v/>
      </c>
      <c r="O31" s="7">
        <f>IF($X31="","",SUMIFS('Per Line'!$N$2:$N$1501,'Per Line'!$A$2:$A$1501,$B31,'Per Line'!$X$2:$X$1501,0))</f>
        <v/>
      </c>
      <c r="P31" s="7">
        <f>IF($X31="","",O31*N31)</f>
        <v/>
      </c>
      <c r="Q31">
        <f>IF($X31="","",IF(ISNUMBER(SEARCH("3&amp;12",SUBSTITUTE(J31," ",""))),Settings!$G$6,Settings!$C$6))</f>
        <v/>
      </c>
      <c r="R31" s="7">
        <f>IF($X31="","",SUMIFS('Per Line'!$N$2:$N$1501,'Per Line'!$A$2:$A$1501,$B31,'Per Line'!$X$2:$X$1501,1))</f>
        <v/>
      </c>
      <c r="S31" s="7">
        <f>IF($X31="","",R31*Q31)</f>
        <v/>
      </c>
      <c r="T31" s="7">
        <f>IF($X31="","",S31+P31)</f>
        <v/>
      </c>
      <c r="U31" s="7">
        <f>IF($X31="","",V31-T31)</f>
        <v/>
      </c>
      <c r="V31" s="7">
        <f>IF($X31="","",O31+R31)</f>
        <v/>
      </c>
      <c r="W31" s="7">
        <f>IF($X31="","",V31-T31-M31)</f>
        <v/>
      </c>
      <c r="X31" s="16">
        <f>IF(ROWS($X$2:$X31)&lt;=MAX('Per Line'!$W$2:$W$1501),MATCH(ROWS($X$2:$X31),'Per Line'!$W$2:$W$1501,0),"")</f>
        <v/>
      </c>
      <c r="Y31">
        <f>IF($X31="","",C31&amp;"|"&amp;COUNTIF($C$2:$C31,C31))</f>
        <v/>
      </c>
    </row>
    <row r="32">
      <c r="A32" s="15" t="n"/>
      <c r="B32">
        <f>IF($X32="","",INDEX('Per Line'!$A$2:$A$1501,$X32)&amp;"")</f>
        <v/>
      </c>
      <c r="C32">
        <f>IF($X32="","",IF(OR(TRIM(H32)="",TRIM(H32)="All",TRIM(H32)="All Comp"),TRIM(J32),TRIM(H32)))</f>
        <v/>
      </c>
      <c r="D32">
        <f>IF($X32="","",INDEX('Per Line'!$B$2:$B$1501,$X32)&amp;"")</f>
        <v/>
      </c>
      <c r="E32">
        <f>IF($X32="","",INDEX('Per Line'!$C$2:$C$1501,$X32)&amp;"")</f>
        <v/>
      </c>
      <c r="F32">
        <f>IF($X32="","",INDEX('Per Line'!$D$2:$D$1501,$X32)&amp;"")</f>
        <v/>
      </c>
      <c r="G32" s="15" t="n"/>
      <c r="H32" s="15" t="n"/>
      <c r="I32" s="15" t="n"/>
      <c r="J32" s="15" t="n"/>
      <c r="K32" s="14">
        <f>IF($X32="","",INDEX('Per Line'!$R$2:$R$1501,$X32))</f>
        <v/>
      </c>
      <c r="L32">
        <f>IF($X32="","",INDEX('Per Line'!$E$2:$E$1501,$X32))</f>
        <v/>
      </c>
      <c r="M32" s="7">
        <f>IF($X32="","",L32*U32/100)</f>
        <v/>
      </c>
      <c r="N32">
        <f>IF($X32="","",IF(ISNUMBER(SEARCH("3&amp;12",SUBSTITUTE(J32," ",""))),Settings!$G$7,Settings!$C$7))</f>
        <v/>
      </c>
      <c r="O32" s="7">
        <f>IF($X32="","",SUMIFS('Per Line'!$N$2:$N$1501,'Per Line'!$A$2:$A$1501,$B32,'Per Line'!$X$2:$X$1501,0))</f>
        <v/>
      </c>
      <c r="P32" s="7">
        <f>IF($X32="","",O32*N32)</f>
        <v/>
      </c>
      <c r="Q32">
        <f>IF($X32="","",IF(ISNUMBER(SEARCH("3&amp;12",SUBSTITUTE(J32," ",""))),Settings!$G$6,Settings!$C$6))</f>
        <v/>
      </c>
      <c r="R32" s="7">
        <f>IF($X32="","",SUMIFS('Per Line'!$N$2:$N$1501,'Per Line'!$A$2:$A$1501,$B32,'Per Line'!$X$2:$X$1501,1))</f>
        <v/>
      </c>
      <c r="S32" s="7">
        <f>IF($X32="","",R32*Q32)</f>
        <v/>
      </c>
      <c r="T32" s="7">
        <f>IF($X32="","",S32+P32)</f>
        <v/>
      </c>
      <c r="U32" s="7">
        <f>IF($X32="","",V32-T32)</f>
        <v/>
      </c>
      <c r="V32" s="7">
        <f>IF($X32="","",O32+R32)</f>
        <v/>
      </c>
      <c r="W32" s="7">
        <f>IF($X32="","",V32-T32-M32)</f>
        <v/>
      </c>
      <c r="X32" s="16">
        <f>IF(ROWS($X$2:$X32)&lt;=MAX('Per Line'!$W$2:$W$1501),MATCH(ROWS($X$2:$X32),'Per Line'!$W$2:$W$1501,0),"")</f>
        <v/>
      </c>
      <c r="Y32">
        <f>IF($X32="","",C32&amp;"|"&amp;COUNTIF($C$2:$C32,C32))</f>
        <v/>
      </c>
    </row>
    <row r="33">
      <c r="A33" s="15" t="n"/>
      <c r="B33">
        <f>IF($X33="","",INDEX('Per Line'!$A$2:$A$1501,$X33)&amp;"")</f>
        <v/>
      </c>
      <c r="C33">
        <f>IF($X33="","",IF(OR(TRIM(H33)="",TRIM(H33)="All",TRIM(H33)="All Comp"),TRIM(J33),TRIM(H33)))</f>
        <v/>
      </c>
      <c r="D33">
        <f>IF($X33="","",INDEX('Per Line'!$B$2:$B$1501,$X33)&amp;"")</f>
        <v/>
      </c>
      <c r="E33">
        <f>IF($X33="","",INDEX('Per Line'!$C$2:$C$1501,$X33)&amp;"")</f>
        <v/>
      </c>
      <c r="F33">
        <f>IF($X33="","",INDEX('Per Line'!$D$2:$D$1501,$X33)&amp;"")</f>
        <v/>
      </c>
      <c r="G33" s="15" t="n"/>
      <c r="H33" s="15" t="n"/>
      <c r="I33" s="15" t="n"/>
      <c r="J33" s="15" t="n"/>
      <c r="K33" s="14">
        <f>IF($X33="","",INDEX('Per Line'!$R$2:$R$1501,$X33))</f>
        <v/>
      </c>
      <c r="L33">
        <f>IF($X33="","",INDEX('Per Line'!$E$2:$E$1501,$X33))</f>
        <v/>
      </c>
      <c r="M33" s="7">
        <f>IF($X33="","",L33*U33/100)</f>
        <v/>
      </c>
      <c r="N33">
        <f>IF($X33="","",IF(ISNUMBER(SEARCH("3&amp;12",SUBSTITUTE(J33," ",""))),Settings!$G$7,Settings!$C$7))</f>
        <v/>
      </c>
      <c r="O33" s="7">
        <f>IF($X33="","",SUMIFS('Per Line'!$N$2:$N$1501,'Per Line'!$A$2:$A$1501,$B33,'Per Line'!$X$2:$X$1501,0))</f>
        <v/>
      </c>
      <c r="P33" s="7">
        <f>IF($X33="","",O33*N33)</f>
        <v/>
      </c>
      <c r="Q33">
        <f>IF($X33="","",IF(ISNUMBER(SEARCH("3&amp;12",SUBSTITUTE(J33," ",""))),Settings!$G$6,Settings!$C$6))</f>
        <v/>
      </c>
      <c r="R33" s="7">
        <f>IF($X33="","",SUMIFS('Per Line'!$N$2:$N$1501,'Per Line'!$A$2:$A$1501,$B33,'Per Line'!$X$2:$X$1501,1))</f>
        <v/>
      </c>
      <c r="S33" s="7">
        <f>IF($X33="","",R33*Q33)</f>
        <v/>
      </c>
      <c r="T33" s="7">
        <f>IF($X33="","",S33+P33)</f>
        <v/>
      </c>
      <c r="U33" s="7">
        <f>IF($X33="","",V33-T33)</f>
        <v/>
      </c>
      <c r="V33" s="7">
        <f>IF($X33="","",O33+R33)</f>
        <v/>
      </c>
      <c r="W33" s="7">
        <f>IF($X33="","",V33-T33-M33)</f>
        <v/>
      </c>
      <c r="X33" s="16">
        <f>IF(ROWS($X$2:$X33)&lt;=MAX('Per Line'!$W$2:$W$1501),MATCH(ROWS($X$2:$X33),'Per Line'!$W$2:$W$1501,0),"")</f>
        <v/>
      </c>
      <c r="Y33">
        <f>IF($X33="","",C33&amp;"|"&amp;COUNTIF($C$2:$C33,C33))</f>
        <v/>
      </c>
    </row>
    <row r="34">
      <c r="A34" s="15" t="n"/>
      <c r="B34">
        <f>IF($X34="","",INDEX('Per Line'!$A$2:$A$1501,$X34)&amp;"")</f>
        <v/>
      </c>
      <c r="C34">
        <f>IF($X34="","",IF(OR(TRIM(H34)="",TRIM(H34)="All",TRIM(H34)="All Comp"),TRIM(J34),TRIM(H34)))</f>
        <v/>
      </c>
      <c r="D34">
        <f>IF($X34="","",INDEX('Per Line'!$B$2:$B$1501,$X34)&amp;"")</f>
        <v/>
      </c>
      <c r="E34">
        <f>IF($X34="","",INDEX('Per Line'!$C$2:$C$1501,$X34)&amp;"")</f>
        <v/>
      </c>
      <c r="F34">
        <f>IF($X34="","",INDEX('Per Line'!$D$2:$D$1501,$X34)&amp;"")</f>
        <v/>
      </c>
      <c r="G34" s="15" t="n"/>
      <c r="H34" s="15" t="n"/>
      <c r="I34" s="15" t="n"/>
      <c r="J34" s="15" t="n"/>
      <c r="K34" s="14">
        <f>IF($X34="","",INDEX('Per Line'!$R$2:$R$1501,$X34))</f>
        <v/>
      </c>
      <c r="L34">
        <f>IF($X34="","",INDEX('Per Line'!$E$2:$E$1501,$X34))</f>
        <v/>
      </c>
      <c r="M34" s="7">
        <f>IF($X34="","",L34*U34/100)</f>
        <v/>
      </c>
      <c r="N34">
        <f>IF($X34="","",IF(ISNUMBER(SEARCH("3&amp;12",SUBSTITUTE(J34," ",""))),Settings!$G$7,Settings!$C$7))</f>
        <v/>
      </c>
      <c r="O34" s="7">
        <f>IF($X34="","",SUMIFS('Per Line'!$N$2:$N$1501,'Per Line'!$A$2:$A$1501,$B34,'Per Line'!$X$2:$X$1501,0))</f>
        <v/>
      </c>
      <c r="P34" s="7">
        <f>IF($X34="","",O34*N34)</f>
        <v/>
      </c>
      <c r="Q34">
        <f>IF($X34="","",IF(ISNUMBER(SEARCH("3&amp;12",SUBSTITUTE(J34," ",""))),Settings!$G$6,Settings!$C$6))</f>
        <v/>
      </c>
      <c r="R34" s="7">
        <f>IF($X34="","",SUMIFS('Per Line'!$N$2:$N$1501,'Per Line'!$A$2:$A$1501,$B34,'Per Line'!$X$2:$X$1501,1))</f>
        <v/>
      </c>
      <c r="S34" s="7">
        <f>IF($X34="","",R34*Q34)</f>
        <v/>
      </c>
      <c r="T34" s="7">
        <f>IF($X34="","",S34+P34)</f>
        <v/>
      </c>
      <c r="U34" s="7">
        <f>IF($X34="","",V34-T34)</f>
        <v/>
      </c>
      <c r="V34" s="7">
        <f>IF($X34="","",O34+R34)</f>
        <v/>
      </c>
      <c r="W34" s="7">
        <f>IF($X34="","",V34-T34-M34)</f>
        <v/>
      </c>
      <c r="X34" s="16">
        <f>IF(ROWS($X$2:$X34)&lt;=MAX('Per Line'!$W$2:$W$1501),MATCH(ROWS($X$2:$X34),'Per Line'!$W$2:$W$1501,0),"")</f>
        <v/>
      </c>
      <c r="Y34">
        <f>IF($X34="","",C34&amp;"|"&amp;COUNTIF($C$2:$C34,C34))</f>
        <v/>
      </c>
    </row>
    <row r="35">
      <c r="A35" s="15" t="n"/>
      <c r="B35">
        <f>IF($X35="","",INDEX('Per Line'!$A$2:$A$1501,$X35)&amp;"")</f>
        <v/>
      </c>
      <c r="C35">
        <f>IF($X35="","",IF(OR(TRIM(H35)="",TRIM(H35)="All",TRIM(H35)="All Comp"),TRIM(J35),TRIM(H35)))</f>
        <v/>
      </c>
      <c r="D35">
        <f>IF($X35="","",INDEX('Per Line'!$B$2:$B$1501,$X35)&amp;"")</f>
        <v/>
      </c>
      <c r="E35">
        <f>IF($X35="","",INDEX('Per Line'!$C$2:$C$1501,$X35)&amp;"")</f>
        <v/>
      </c>
      <c r="F35">
        <f>IF($X35="","",INDEX('Per Line'!$D$2:$D$1501,$X35)&amp;"")</f>
        <v/>
      </c>
      <c r="G35" s="15" t="n"/>
      <c r="H35" s="15" t="n"/>
      <c r="I35" s="15" t="n"/>
      <c r="J35" s="15" t="n"/>
      <c r="K35" s="14">
        <f>IF($X35="","",INDEX('Per Line'!$R$2:$R$1501,$X35))</f>
        <v/>
      </c>
      <c r="L35">
        <f>IF($X35="","",INDEX('Per Line'!$E$2:$E$1501,$X35))</f>
        <v/>
      </c>
      <c r="M35" s="7">
        <f>IF($X35="","",L35*U35/100)</f>
        <v/>
      </c>
      <c r="N35">
        <f>IF($X35="","",IF(ISNUMBER(SEARCH("3&amp;12",SUBSTITUTE(J35," ",""))),Settings!$G$7,Settings!$C$7))</f>
        <v/>
      </c>
      <c r="O35" s="7">
        <f>IF($X35="","",SUMIFS('Per Line'!$N$2:$N$1501,'Per Line'!$A$2:$A$1501,$B35,'Per Line'!$X$2:$X$1501,0))</f>
        <v/>
      </c>
      <c r="P35" s="7">
        <f>IF($X35="","",O35*N35)</f>
        <v/>
      </c>
      <c r="Q35">
        <f>IF($X35="","",IF(ISNUMBER(SEARCH("3&amp;12",SUBSTITUTE(J35," ",""))),Settings!$G$6,Settings!$C$6))</f>
        <v/>
      </c>
      <c r="R35" s="7">
        <f>IF($X35="","",SUMIFS('Per Line'!$N$2:$N$1501,'Per Line'!$A$2:$A$1501,$B35,'Per Line'!$X$2:$X$1501,1))</f>
        <v/>
      </c>
      <c r="S35" s="7">
        <f>IF($X35="","",R35*Q35)</f>
        <v/>
      </c>
      <c r="T35" s="7">
        <f>IF($X35="","",S35+P35)</f>
        <v/>
      </c>
      <c r="U35" s="7">
        <f>IF($X35="","",V35-T35)</f>
        <v/>
      </c>
      <c r="V35" s="7">
        <f>IF($X35="","",O35+R35)</f>
        <v/>
      </c>
      <c r="W35" s="7">
        <f>IF($X35="","",V35-T35-M35)</f>
        <v/>
      </c>
      <c r="X35" s="16">
        <f>IF(ROWS($X$2:$X35)&lt;=MAX('Per Line'!$W$2:$W$1501),MATCH(ROWS($X$2:$X35),'Per Line'!$W$2:$W$1501,0),"")</f>
        <v/>
      </c>
      <c r="Y35">
        <f>IF($X35="","",C35&amp;"|"&amp;COUNTIF($C$2:$C35,C35))</f>
        <v/>
      </c>
    </row>
    <row r="36">
      <c r="A36" s="15" t="n"/>
      <c r="B36">
        <f>IF($X36="","",INDEX('Per Line'!$A$2:$A$1501,$X36)&amp;"")</f>
        <v/>
      </c>
      <c r="C36">
        <f>IF($X36="","",IF(OR(TRIM(H36)="",TRIM(H36)="All",TRIM(H36)="All Comp"),TRIM(J36),TRIM(H36)))</f>
        <v/>
      </c>
      <c r="D36">
        <f>IF($X36="","",INDEX('Per Line'!$B$2:$B$1501,$X36)&amp;"")</f>
        <v/>
      </c>
      <c r="E36">
        <f>IF($X36="","",INDEX('Per Line'!$C$2:$C$1501,$X36)&amp;"")</f>
        <v/>
      </c>
      <c r="F36">
        <f>IF($X36="","",INDEX('Per Line'!$D$2:$D$1501,$X36)&amp;"")</f>
        <v/>
      </c>
      <c r="G36" s="15" t="n"/>
      <c r="H36" s="15" t="n"/>
      <c r="I36" s="15" t="n"/>
      <c r="J36" s="15" t="n"/>
      <c r="K36" s="14">
        <f>IF($X36="","",INDEX('Per Line'!$R$2:$R$1501,$X36))</f>
        <v/>
      </c>
      <c r="L36">
        <f>IF($X36="","",INDEX('Per Line'!$E$2:$E$1501,$X36))</f>
        <v/>
      </c>
      <c r="M36" s="7">
        <f>IF($X36="","",L36*U36/100)</f>
        <v/>
      </c>
      <c r="N36">
        <f>IF($X36="","",IF(ISNUMBER(SEARCH("3&amp;12",SUBSTITUTE(J36," ",""))),Settings!$G$7,Settings!$C$7))</f>
        <v/>
      </c>
      <c r="O36" s="7">
        <f>IF($X36="","",SUMIFS('Per Line'!$N$2:$N$1501,'Per Line'!$A$2:$A$1501,$B36,'Per Line'!$X$2:$X$1501,0))</f>
        <v/>
      </c>
      <c r="P36" s="7">
        <f>IF($X36="","",O36*N36)</f>
        <v/>
      </c>
      <c r="Q36">
        <f>IF($X36="","",IF(ISNUMBER(SEARCH("3&amp;12",SUBSTITUTE(J36," ",""))),Settings!$G$6,Settings!$C$6))</f>
        <v/>
      </c>
      <c r="R36" s="7">
        <f>IF($X36="","",SUMIFS('Per Line'!$N$2:$N$1501,'Per Line'!$A$2:$A$1501,$B36,'Per Line'!$X$2:$X$1501,1))</f>
        <v/>
      </c>
      <c r="S36" s="7">
        <f>IF($X36="","",R36*Q36)</f>
        <v/>
      </c>
      <c r="T36" s="7">
        <f>IF($X36="","",S36+P36)</f>
        <v/>
      </c>
      <c r="U36" s="7">
        <f>IF($X36="","",V36-T36)</f>
        <v/>
      </c>
      <c r="V36" s="7">
        <f>IF($X36="","",O36+R36)</f>
        <v/>
      </c>
      <c r="W36" s="7">
        <f>IF($X36="","",V36-T36-M36)</f>
        <v/>
      </c>
      <c r="X36" s="16">
        <f>IF(ROWS($X$2:$X36)&lt;=MAX('Per Line'!$W$2:$W$1501),MATCH(ROWS($X$2:$X36),'Per Line'!$W$2:$W$1501,0),"")</f>
        <v/>
      </c>
      <c r="Y36">
        <f>IF($X36="","",C36&amp;"|"&amp;COUNTIF($C$2:$C36,C36))</f>
        <v/>
      </c>
    </row>
    <row r="37">
      <c r="A37" s="15" t="n"/>
      <c r="B37">
        <f>IF($X37="","",INDEX('Per Line'!$A$2:$A$1501,$X37)&amp;"")</f>
        <v/>
      </c>
      <c r="C37">
        <f>IF($X37="","",IF(OR(TRIM(H37)="",TRIM(H37)="All",TRIM(H37)="All Comp"),TRIM(J37),TRIM(H37)))</f>
        <v/>
      </c>
      <c r="D37">
        <f>IF($X37="","",INDEX('Per Line'!$B$2:$B$1501,$X37)&amp;"")</f>
        <v/>
      </c>
      <c r="E37">
        <f>IF($X37="","",INDEX('Per Line'!$C$2:$C$1501,$X37)&amp;"")</f>
        <v/>
      </c>
      <c r="F37">
        <f>IF($X37="","",INDEX('Per Line'!$D$2:$D$1501,$X37)&amp;"")</f>
        <v/>
      </c>
      <c r="G37" s="15" t="n"/>
      <c r="H37" s="15" t="n"/>
      <c r="I37" s="15" t="n"/>
      <c r="J37" s="15" t="n"/>
      <c r="K37" s="14">
        <f>IF($X37="","",INDEX('Per Line'!$R$2:$R$1501,$X37))</f>
        <v/>
      </c>
      <c r="L37">
        <f>IF($X37="","",INDEX('Per Line'!$E$2:$E$1501,$X37))</f>
        <v/>
      </c>
      <c r="M37" s="7">
        <f>IF($X37="","",L37*U37/100)</f>
        <v/>
      </c>
      <c r="N37">
        <f>IF($X37="","",IF(ISNUMBER(SEARCH("3&amp;12",SUBSTITUTE(J37," ",""))),Settings!$G$7,Settings!$C$7))</f>
        <v/>
      </c>
      <c r="O37" s="7">
        <f>IF($X37="","",SUMIFS('Per Line'!$N$2:$N$1501,'Per Line'!$A$2:$A$1501,$B37,'Per Line'!$X$2:$X$1501,0))</f>
        <v/>
      </c>
      <c r="P37" s="7">
        <f>IF($X37="","",O37*N37)</f>
        <v/>
      </c>
      <c r="Q37">
        <f>IF($X37="","",IF(ISNUMBER(SEARCH("3&amp;12",SUBSTITUTE(J37," ",""))),Settings!$G$6,Settings!$C$6))</f>
        <v/>
      </c>
      <c r="R37" s="7">
        <f>IF($X37="","",SUMIFS('Per Line'!$N$2:$N$1501,'Per Line'!$A$2:$A$1501,$B37,'Per Line'!$X$2:$X$1501,1))</f>
        <v/>
      </c>
      <c r="S37" s="7">
        <f>IF($X37="","",R37*Q37)</f>
        <v/>
      </c>
      <c r="T37" s="7">
        <f>IF($X37="","",S37+P37)</f>
        <v/>
      </c>
      <c r="U37" s="7">
        <f>IF($X37="","",V37-T37)</f>
        <v/>
      </c>
      <c r="V37" s="7">
        <f>IF($X37="","",O37+R37)</f>
        <v/>
      </c>
      <c r="W37" s="7">
        <f>IF($X37="","",V37-T37-M37)</f>
        <v/>
      </c>
      <c r="X37" s="16">
        <f>IF(ROWS($X$2:$X37)&lt;=MAX('Per Line'!$W$2:$W$1501),MATCH(ROWS($X$2:$X37),'Per Line'!$W$2:$W$1501,0),"")</f>
        <v/>
      </c>
      <c r="Y37">
        <f>IF($X37="","",C37&amp;"|"&amp;COUNTIF($C$2:$C37,C37))</f>
        <v/>
      </c>
    </row>
    <row r="38">
      <c r="A38" s="15" t="n"/>
      <c r="B38">
        <f>IF($X38="","",INDEX('Per Line'!$A$2:$A$1501,$X38)&amp;"")</f>
        <v/>
      </c>
      <c r="C38">
        <f>IF($X38="","",IF(OR(TRIM(H38)="",TRIM(H38)="All",TRIM(H38)="All Comp"),TRIM(J38),TRIM(H38)))</f>
        <v/>
      </c>
      <c r="D38">
        <f>IF($X38="","",INDEX('Per Line'!$B$2:$B$1501,$X38)&amp;"")</f>
        <v/>
      </c>
      <c r="E38">
        <f>IF($X38="","",INDEX('Per Line'!$C$2:$C$1501,$X38)&amp;"")</f>
        <v/>
      </c>
      <c r="F38">
        <f>IF($X38="","",INDEX('Per Line'!$D$2:$D$1501,$X38)&amp;"")</f>
        <v/>
      </c>
      <c r="G38" s="15" t="n"/>
      <c r="H38" s="15" t="n"/>
      <c r="I38" s="15" t="n"/>
      <c r="J38" s="15" t="n"/>
      <c r="K38" s="14">
        <f>IF($X38="","",INDEX('Per Line'!$R$2:$R$1501,$X38))</f>
        <v/>
      </c>
      <c r="L38">
        <f>IF($X38="","",INDEX('Per Line'!$E$2:$E$1501,$X38))</f>
        <v/>
      </c>
      <c r="M38" s="7">
        <f>IF($X38="","",L38*U38/100)</f>
        <v/>
      </c>
      <c r="N38">
        <f>IF($X38="","",IF(ISNUMBER(SEARCH("3&amp;12",SUBSTITUTE(J38," ",""))),Settings!$G$7,Settings!$C$7))</f>
        <v/>
      </c>
      <c r="O38" s="7">
        <f>IF($X38="","",SUMIFS('Per Line'!$N$2:$N$1501,'Per Line'!$A$2:$A$1501,$B38,'Per Line'!$X$2:$X$1501,0))</f>
        <v/>
      </c>
      <c r="P38" s="7">
        <f>IF($X38="","",O38*N38)</f>
        <v/>
      </c>
      <c r="Q38">
        <f>IF($X38="","",IF(ISNUMBER(SEARCH("3&amp;12",SUBSTITUTE(J38," ",""))),Settings!$G$6,Settings!$C$6))</f>
        <v/>
      </c>
      <c r="R38" s="7">
        <f>IF($X38="","",SUMIFS('Per Line'!$N$2:$N$1501,'Per Line'!$A$2:$A$1501,$B38,'Per Line'!$X$2:$X$1501,1))</f>
        <v/>
      </c>
      <c r="S38" s="7">
        <f>IF($X38="","",R38*Q38)</f>
        <v/>
      </c>
      <c r="T38" s="7">
        <f>IF($X38="","",S38+P38)</f>
        <v/>
      </c>
      <c r="U38" s="7">
        <f>IF($X38="","",V38-T38)</f>
        <v/>
      </c>
      <c r="V38" s="7">
        <f>IF($X38="","",O38+R38)</f>
        <v/>
      </c>
      <c r="W38" s="7">
        <f>IF($X38="","",V38-T38-M38)</f>
        <v/>
      </c>
      <c r="X38" s="16">
        <f>IF(ROWS($X$2:$X38)&lt;=MAX('Per Line'!$W$2:$W$1501),MATCH(ROWS($X$2:$X38),'Per Line'!$W$2:$W$1501,0),"")</f>
        <v/>
      </c>
      <c r="Y38">
        <f>IF($X38="","",C38&amp;"|"&amp;COUNTIF($C$2:$C38,C38))</f>
        <v/>
      </c>
    </row>
    <row r="39">
      <c r="A39" s="15" t="n"/>
      <c r="B39">
        <f>IF($X39="","",INDEX('Per Line'!$A$2:$A$1501,$X39)&amp;"")</f>
        <v/>
      </c>
      <c r="C39">
        <f>IF($X39="","",IF(OR(TRIM(H39)="",TRIM(H39)="All",TRIM(H39)="All Comp"),TRIM(J39),TRIM(H39)))</f>
        <v/>
      </c>
      <c r="D39">
        <f>IF($X39="","",INDEX('Per Line'!$B$2:$B$1501,$X39)&amp;"")</f>
        <v/>
      </c>
      <c r="E39">
        <f>IF($X39="","",INDEX('Per Line'!$C$2:$C$1501,$X39)&amp;"")</f>
        <v/>
      </c>
      <c r="F39">
        <f>IF($X39="","",INDEX('Per Line'!$D$2:$D$1501,$X39)&amp;"")</f>
        <v/>
      </c>
      <c r="G39" s="15" t="n"/>
      <c r="H39" s="15" t="n"/>
      <c r="I39" s="15" t="n"/>
      <c r="J39" s="15" t="n"/>
      <c r="K39" s="14">
        <f>IF($X39="","",INDEX('Per Line'!$R$2:$R$1501,$X39))</f>
        <v/>
      </c>
      <c r="L39">
        <f>IF($X39="","",INDEX('Per Line'!$E$2:$E$1501,$X39))</f>
        <v/>
      </c>
      <c r="M39" s="7">
        <f>IF($X39="","",L39*U39/100)</f>
        <v/>
      </c>
      <c r="N39">
        <f>IF($X39="","",IF(ISNUMBER(SEARCH("3&amp;12",SUBSTITUTE(J39," ",""))),Settings!$G$7,Settings!$C$7))</f>
        <v/>
      </c>
      <c r="O39" s="7">
        <f>IF($X39="","",SUMIFS('Per Line'!$N$2:$N$1501,'Per Line'!$A$2:$A$1501,$B39,'Per Line'!$X$2:$X$1501,0))</f>
        <v/>
      </c>
      <c r="P39" s="7">
        <f>IF($X39="","",O39*N39)</f>
        <v/>
      </c>
      <c r="Q39">
        <f>IF($X39="","",IF(ISNUMBER(SEARCH("3&amp;12",SUBSTITUTE(J39," ",""))),Settings!$G$6,Settings!$C$6))</f>
        <v/>
      </c>
      <c r="R39" s="7">
        <f>IF($X39="","",SUMIFS('Per Line'!$N$2:$N$1501,'Per Line'!$A$2:$A$1501,$B39,'Per Line'!$X$2:$X$1501,1))</f>
        <v/>
      </c>
      <c r="S39" s="7">
        <f>IF($X39="","",R39*Q39)</f>
        <v/>
      </c>
      <c r="T39" s="7">
        <f>IF($X39="","",S39+P39)</f>
        <v/>
      </c>
      <c r="U39" s="7">
        <f>IF($X39="","",V39-T39)</f>
        <v/>
      </c>
      <c r="V39" s="7">
        <f>IF($X39="","",O39+R39)</f>
        <v/>
      </c>
      <c r="W39" s="7">
        <f>IF($X39="","",V39-T39-M39)</f>
        <v/>
      </c>
      <c r="X39" s="16">
        <f>IF(ROWS($X$2:$X39)&lt;=MAX('Per Line'!$W$2:$W$1501),MATCH(ROWS($X$2:$X39),'Per Line'!$W$2:$W$1501,0),"")</f>
        <v/>
      </c>
      <c r="Y39">
        <f>IF($X39="","",C39&amp;"|"&amp;COUNTIF($C$2:$C39,C39))</f>
        <v/>
      </c>
    </row>
    <row r="40">
      <c r="A40" s="15" t="n"/>
      <c r="B40">
        <f>IF($X40="","",INDEX('Per Line'!$A$2:$A$1501,$X40)&amp;"")</f>
        <v/>
      </c>
      <c r="C40">
        <f>IF($X40="","",IF(OR(TRIM(H40)="",TRIM(H40)="All",TRIM(H40)="All Comp"),TRIM(J40),TRIM(H40)))</f>
        <v/>
      </c>
      <c r="D40">
        <f>IF($X40="","",INDEX('Per Line'!$B$2:$B$1501,$X40)&amp;"")</f>
        <v/>
      </c>
      <c r="E40">
        <f>IF($X40="","",INDEX('Per Line'!$C$2:$C$1501,$X40)&amp;"")</f>
        <v/>
      </c>
      <c r="F40">
        <f>IF($X40="","",INDEX('Per Line'!$D$2:$D$1501,$X40)&amp;"")</f>
        <v/>
      </c>
      <c r="G40" s="15" t="n"/>
      <c r="H40" s="15" t="n"/>
      <c r="I40" s="15" t="n"/>
      <c r="J40" s="15" t="n"/>
      <c r="K40" s="14">
        <f>IF($X40="","",INDEX('Per Line'!$R$2:$R$1501,$X40))</f>
        <v/>
      </c>
      <c r="L40">
        <f>IF($X40="","",INDEX('Per Line'!$E$2:$E$1501,$X40))</f>
        <v/>
      </c>
      <c r="M40" s="7">
        <f>IF($X40="","",L40*U40/100)</f>
        <v/>
      </c>
      <c r="N40">
        <f>IF($X40="","",IF(ISNUMBER(SEARCH("3&amp;12",SUBSTITUTE(J40," ",""))),Settings!$G$7,Settings!$C$7))</f>
        <v/>
      </c>
      <c r="O40" s="7">
        <f>IF($X40="","",SUMIFS('Per Line'!$N$2:$N$1501,'Per Line'!$A$2:$A$1501,$B40,'Per Line'!$X$2:$X$1501,0))</f>
        <v/>
      </c>
      <c r="P40" s="7">
        <f>IF($X40="","",O40*N40)</f>
        <v/>
      </c>
      <c r="Q40">
        <f>IF($X40="","",IF(ISNUMBER(SEARCH("3&amp;12",SUBSTITUTE(J40," ",""))),Settings!$G$6,Settings!$C$6))</f>
        <v/>
      </c>
      <c r="R40" s="7">
        <f>IF($X40="","",SUMIFS('Per Line'!$N$2:$N$1501,'Per Line'!$A$2:$A$1501,$B40,'Per Line'!$X$2:$X$1501,1))</f>
        <v/>
      </c>
      <c r="S40" s="7">
        <f>IF($X40="","",R40*Q40)</f>
        <v/>
      </c>
      <c r="T40" s="7">
        <f>IF($X40="","",S40+P40)</f>
        <v/>
      </c>
      <c r="U40" s="7">
        <f>IF($X40="","",V40-T40)</f>
        <v/>
      </c>
      <c r="V40" s="7">
        <f>IF($X40="","",O40+R40)</f>
        <v/>
      </c>
      <c r="W40" s="7">
        <f>IF($X40="","",V40-T40-M40)</f>
        <v/>
      </c>
      <c r="X40" s="16">
        <f>IF(ROWS($X$2:$X40)&lt;=MAX('Per Line'!$W$2:$W$1501),MATCH(ROWS($X$2:$X40),'Per Line'!$W$2:$W$1501,0),"")</f>
        <v/>
      </c>
      <c r="Y40">
        <f>IF($X40="","",C40&amp;"|"&amp;COUNTIF($C$2:$C40,C40))</f>
        <v/>
      </c>
    </row>
    <row r="41">
      <c r="A41" s="15" t="n"/>
      <c r="B41">
        <f>IF($X41="","",INDEX('Per Line'!$A$2:$A$1501,$X41)&amp;"")</f>
        <v/>
      </c>
      <c r="C41">
        <f>IF($X41="","",IF(OR(TRIM(H41)="",TRIM(H41)="All",TRIM(H41)="All Comp"),TRIM(J41),TRIM(H41)))</f>
        <v/>
      </c>
      <c r="D41">
        <f>IF($X41="","",INDEX('Per Line'!$B$2:$B$1501,$X41)&amp;"")</f>
        <v/>
      </c>
      <c r="E41">
        <f>IF($X41="","",INDEX('Per Line'!$C$2:$C$1501,$X41)&amp;"")</f>
        <v/>
      </c>
      <c r="F41">
        <f>IF($X41="","",INDEX('Per Line'!$D$2:$D$1501,$X41)&amp;"")</f>
        <v/>
      </c>
      <c r="G41" s="15" t="n"/>
      <c r="H41" s="15" t="n"/>
      <c r="I41" s="15" t="n"/>
      <c r="J41" s="15" t="n"/>
      <c r="K41" s="14">
        <f>IF($X41="","",INDEX('Per Line'!$R$2:$R$1501,$X41))</f>
        <v/>
      </c>
      <c r="L41">
        <f>IF($X41="","",INDEX('Per Line'!$E$2:$E$1501,$X41))</f>
        <v/>
      </c>
      <c r="M41" s="7">
        <f>IF($X41="","",L41*U41/100)</f>
        <v/>
      </c>
      <c r="N41">
        <f>IF($X41="","",IF(ISNUMBER(SEARCH("3&amp;12",SUBSTITUTE(J41," ",""))),Settings!$G$7,Settings!$C$7))</f>
        <v/>
      </c>
      <c r="O41" s="7">
        <f>IF($X41="","",SUMIFS('Per Line'!$N$2:$N$1501,'Per Line'!$A$2:$A$1501,$B41,'Per Line'!$X$2:$X$1501,0))</f>
        <v/>
      </c>
      <c r="P41" s="7">
        <f>IF($X41="","",O41*N41)</f>
        <v/>
      </c>
      <c r="Q41">
        <f>IF($X41="","",IF(ISNUMBER(SEARCH("3&amp;12",SUBSTITUTE(J41," ",""))),Settings!$G$6,Settings!$C$6))</f>
        <v/>
      </c>
      <c r="R41" s="7">
        <f>IF($X41="","",SUMIFS('Per Line'!$N$2:$N$1501,'Per Line'!$A$2:$A$1501,$B41,'Per Line'!$X$2:$X$1501,1))</f>
        <v/>
      </c>
      <c r="S41" s="7">
        <f>IF($X41="","",R41*Q41)</f>
        <v/>
      </c>
      <c r="T41" s="7">
        <f>IF($X41="","",S41+P41)</f>
        <v/>
      </c>
      <c r="U41" s="7">
        <f>IF($X41="","",V41-T41)</f>
        <v/>
      </c>
      <c r="V41" s="7">
        <f>IF($X41="","",O41+R41)</f>
        <v/>
      </c>
      <c r="W41" s="7">
        <f>IF($X41="","",V41-T41-M41)</f>
        <v/>
      </c>
      <c r="X41" s="16">
        <f>IF(ROWS($X$2:$X41)&lt;=MAX('Per Line'!$W$2:$W$1501),MATCH(ROWS($X$2:$X41),'Per Line'!$W$2:$W$1501,0),"")</f>
        <v/>
      </c>
      <c r="Y41">
        <f>IF($X41="","",C41&amp;"|"&amp;COUNTIF($C$2:$C41,C41))</f>
        <v/>
      </c>
    </row>
    <row r="42">
      <c r="A42" s="15" t="n"/>
      <c r="B42">
        <f>IF($X42="","",INDEX('Per Line'!$A$2:$A$1501,$X42)&amp;"")</f>
        <v/>
      </c>
      <c r="C42">
        <f>IF($X42="","",IF(OR(TRIM(H42)="",TRIM(H42)="All",TRIM(H42)="All Comp"),TRIM(J42),TRIM(H42)))</f>
        <v/>
      </c>
      <c r="D42">
        <f>IF($X42="","",INDEX('Per Line'!$B$2:$B$1501,$X42)&amp;"")</f>
        <v/>
      </c>
      <c r="E42">
        <f>IF($X42="","",INDEX('Per Line'!$C$2:$C$1501,$X42)&amp;"")</f>
        <v/>
      </c>
      <c r="F42">
        <f>IF($X42="","",INDEX('Per Line'!$D$2:$D$1501,$X42)&amp;"")</f>
        <v/>
      </c>
      <c r="G42" s="15" t="n"/>
      <c r="H42" s="15" t="n"/>
      <c r="I42" s="15" t="n"/>
      <c r="J42" s="15" t="n"/>
      <c r="K42" s="14">
        <f>IF($X42="","",INDEX('Per Line'!$R$2:$R$1501,$X42))</f>
        <v/>
      </c>
      <c r="L42">
        <f>IF($X42="","",INDEX('Per Line'!$E$2:$E$1501,$X42))</f>
        <v/>
      </c>
      <c r="M42" s="7">
        <f>IF($X42="","",L42*U42/100)</f>
        <v/>
      </c>
      <c r="N42">
        <f>IF($X42="","",IF(ISNUMBER(SEARCH("3&amp;12",SUBSTITUTE(J42," ",""))),Settings!$G$7,Settings!$C$7))</f>
        <v/>
      </c>
      <c r="O42" s="7">
        <f>IF($X42="","",SUMIFS('Per Line'!$N$2:$N$1501,'Per Line'!$A$2:$A$1501,$B42,'Per Line'!$X$2:$X$1501,0))</f>
        <v/>
      </c>
      <c r="P42" s="7">
        <f>IF($X42="","",O42*N42)</f>
        <v/>
      </c>
      <c r="Q42">
        <f>IF($X42="","",IF(ISNUMBER(SEARCH("3&amp;12",SUBSTITUTE(J42," ",""))),Settings!$G$6,Settings!$C$6))</f>
        <v/>
      </c>
      <c r="R42" s="7">
        <f>IF($X42="","",SUMIFS('Per Line'!$N$2:$N$1501,'Per Line'!$A$2:$A$1501,$B42,'Per Line'!$X$2:$X$1501,1))</f>
        <v/>
      </c>
      <c r="S42" s="7">
        <f>IF($X42="","",R42*Q42)</f>
        <v/>
      </c>
      <c r="T42" s="7">
        <f>IF($X42="","",S42+P42)</f>
        <v/>
      </c>
      <c r="U42" s="7">
        <f>IF($X42="","",V42-T42)</f>
        <v/>
      </c>
      <c r="V42" s="7">
        <f>IF($X42="","",O42+R42)</f>
        <v/>
      </c>
      <c r="W42" s="7">
        <f>IF($X42="","",V42-T42-M42)</f>
        <v/>
      </c>
      <c r="X42" s="16">
        <f>IF(ROWS($X$2:$X42)&lt;=MAX('Per Line'!$W$2:$W$1501),MATCH(ROWS($X$2:$X42),'Per Line'!$W$2:$W$1501,0),"")</f>
        <v/>
      </c>
      <c r="Y42">
        <f>IF($X42="","",C42&amp;"|"&amp;COUNTIF($C$2:$C42,C42))</f>
        <v/>
      </c>
    </row>
    <row r="43">
      <c r="A43" s="15" t="n"/>
      <c r="B43">
        <f>IF($X43="","",INDEX('Per Line'!$A$2:$A$1501,$X43)&amp;"")</f>
        <v/>
      </c>
      <c r="C43">
        <f>IF($X43="","",IF(OR(TRIM(H43)="",TRIM(H43)="All",TRIM(H43)="All Comp"),TRIM(J43),TRIM(H43)))</f>
        <v/>
      </c>
      <c r="D43">
        <f>IF($X43="","",INDEX('Per Line'!$B$2:$B$1501,$X43)&amp;"")</f>
        <v/>
      </c>
      <c r="E43">
        <f>IF($X43="","",INDEX('Per Line'!$C$2:$C$1501,$X43)&amp;"")</f>
        <v/>
      </c>
      <c r="F43">
        <f>IF($X43="","",INDEX('Per Line'!$D$2:$D$1501,$X43)&amp;"")</f>
        <v/>
      </c>
      <c r="G43" s="15" t="n"/>
      <c r="H43" s="15" t="n"/>
      <c r="I43" s="15" t="n"/>
      <c r="J43" s="15" t="n"/>
      <c r="K43" s="14">
        <f>IF($X43="","",INDEX('Per Line'!$R$2:$R$1501,$X43))</f>
        <v/>
      </c>
      <c r="L43">
        <f>IF($X43="","",INDEX('Per Line'!$E$2:$E$1501,$X43))</f>
        <v/>
      </c>
      <c r="M43" s="7">
        <f>IF($X43="","",L43*U43/100)</f>
        <v/>
      </c>
      <c r="N43">
        <f>IF($X43="","",IF(ISNUMBER(SEARCH("3&amp;12",SUBSTITUTE(J43," ",""))),Settings!$G$7,Settings!$C$7))</f>
        <v/>
      </c>
      <c r="O43" s="7">
        <f>IF($X43="","",SUMIFS('Per Line'!$N$2:$N$1501,'Per Line'!$A$2:$A$1501,$B43,'Per Line'!$X$2:$X$1501,0))</f>
        <v/>
      </c>
      <c r="P43" s="7">
        <f>IF($X43="","",O43*N43)</f>
        <v/>
      </c>
      <c r="Q43">
        <f>IF($X43="","",IF(ISNUMBER(SEARCH("3&amp;12",SUBSTITUTE(J43," ",""))),Settings!$G$6,Settings!$C$6))</f>
        <v/>
      </c>
      <c r="R43" s="7">
        <f>IF($X43="","",SUMIFS('Per Line'!$N$2:$N$1501,'Per Line'!$A$2:$A$1501,$B43,'Per Line'!$X$2:$X$1501,1))</f>
        <v/>
      </c>
      <c r="S43" s="7">
        <f>IF($X43="","",R43*Q43)</f>
        <v/>
      </c>
      <c r="T43" s="7">
        <f>IF($X43="","",S43+P43)</f>
        <v/>
      </c>
      <c r="U43" s="7">
        <f>IF($X43="","",V43-T43)</f>
        <v/>
      </c>
      <c r="V43" s="7">
        <f>IF($X43="","",O43+R43)</f>
        <v/>
      </c>
      <c r="W43" s="7">
        <f>IF($X43="","",V43-T43-M43)</f>
        <v/>
      </c>
      <c r="X43" s="16">
        <f>IF(ROWS($X$2:$X43)&lt;=MAX('Per Line'!$W$2:$W$1501),MATCH(ROWS($X$2:$X43),'Per Line'!$W$2:$W$1501,0),"")</f>
        <v/>
      </c>
      <c r="Y43">
        <f>IF($X43="","",C43&amp;"|"&amp;COUNTIF($C$2:$C43,C43))</f>
        <v/>
      </c>
    </row>
    <row r="44">
      <c r="A44" s="15" t="n"/>
      <c r="B44">
        <f>IF($X44="","",INDEX('Per Line'!$A$2:$A$1501,$X44)&amp;"")</f>
        <v/>
      </c>
      <c r="C44">
        <f>IF($X44="","",IF(OR(TRIM(H44)="",TRIM(H44)="All",TRIM(H44)="All Comp"),TRIM(J44),TRIM(H44)))</f>
        <v/>
      </c>
      <c r="D44">
        <f>IF($X44="","",INDEX('Per Line'!$B$2:$B$1501,$X44)&amp;"")</f>
        <v/>
      </c>
      <c r="E44">
        <f>IF($X44="","",INDEX('Per Line'!$C$2:$C$1501,$X44)&amp;"")</f>
        <v/>
      </c>
      <c r="F44">
        <f>IF($X44="","",INDEX('Per Line'!$D$2:$D$1501,$X44)&amp;"")</f>
        <v/>
      </c>
      <c r="G44" s="15" t="n"/>
      <c r="H44" s="15" t="n"/>
      <c r="I44" s="15" t="n"/>
      <c r="J44" s="15" t="n"/>
      <c r="K44" s="14">
        <f>IF($X44="","",INDEX('Per Line'!$R$2:$R$1501,$X44))</f>
        <v/>
      </c>
      <c r="L44">
        <f>IF($X44="","",INDEX('Per Line'!$E$2:$E$1501,$X44))</f>
        <v/>
      </c>
      <c r="M44" s="7">
        <f>IF($X44="","",L44*U44/100)</f>
        <v/>
      </c>
      <c r="N44">
        <f>IF($X44="","",IF(ISNUMBER(SEARCH("3&amp;12",SUBSTITUTE(J44," ",""))),Settings!$G$7,Settings!$C$7))</f>
        <v/>
      </c>
      <c r="O44" s="7">
        <f>IF($X44="","",SUMIFS('Per Line'!$N$2:$N$1501,'Per Line'!$A$2:$A$1501,$B44,'Per Line'!$X$2:$X$1501,0))</f>
        <v/>
      </c>
      <c r="P44" s="7">
        <f>IF($X44="","",O44*N44)</f>
        <v/>
      </c>
      <c r="Q44">
        <f>IF($X44="","",IF(ISNUMBER(SEARCH("3&amp;12",SUBSTITUTE(J44," ",""))),Settings!$G$6,Settings!$C$6))</f>
        <v/>
      </c>
      <c r="R44" s="7">
        <f>IF($X44="","",SUMIFS('Per Line'!$N$2:$N$1501,'Per Line'!$A$2:$A$1501,$B44,'Per Line'!$X$2:$X$1501,1))</f>
        <v/>
      </c>
      <c r="S44" s="7">
        <f>IF($X44="","",R44*Q44)</f>
        <v/>
      </c>
      <c r="T44" s="7">
        <f>IF($X44="","",S44+P44)</f>
        <v/>
      </c>
      <c r="U44" s="7">
        <f>IF($X44="","",V44-T44)</f>
        <v/>
      </c>
      <c r="V44" s="7">
        <f>IF($X44="","",O44+R44)</f>
        <v/>
      </c>
      <c r="W44" s="7">
        <f>IF($X44="","",V44-T44-M44)</f>
        <v/>
      </c>
      <c r="X44" s="16">
        <f>IF(ROWS($X$2:$X44)&lt;=MAX('Per Line'!$W$2:$W$1501),MATCH(ROWS($X$2:$X44),'Per Line'!$W$2:$W$1501,0),"")</f>
        <v/>
      </c>
      <c r="Y44">
        <f>IF($X44="","",C44&amp;"|"&amp;COUNTIF($C$2:$C44,C44))</f>
        <v/>
      </c>
    </row>
    <row r="45">
      <c r="A45" s="15" t="n"/>
      <c r="B45">
        <f>IF($X45="","",INDEX('Per Line'!$A$2:$A$1501,$X45)&amp;"")</f>
        <v/>
      </c>
      <c r="C45">
        <f>IF($X45="","",IF(OR(TRIM(H45)="",TRIM(H45)="All",TRIM(H45)="All Comp"),TRIM(J45),TRIM(H45)))</f>
        <v/>
      </c>
      <c r="D45">
        <f>IF($X45="","",INDEX('Per Line'!$B$2:$B$1501,$X45)&amp;"")</f>
        <v/>
      </c>
      <c r="E45">
        <f>IF($X45="","",INDEX('Per Line'!$C$2:$C$1501,$X45)&amp;"")</f>
        <v/>
      </c>
      <c r="F45">
        <f>IF($X45="","",INDEX('Per Line'!$D$2:$D$1501,$X45)&amp;"")</f>
        <v/>
      </c>
      <c r="G45" s="15" t="n"/>
      <c r="H45" s="15" t="n"/>
      <c r="I45" s="15" t="n"/>
      <c r="J45" s="15" t="n"/>
      <c r="K45" s="14">
        <f>IF($X45="","",INDEX('Per Line'!$R$2:$R$1501,$X45))</f>
        <v/>
      </c>
      <c r="L45">
        <f>IF($X45="","",INDEX('Per Line'!$E$2:$E$1501,$X45))</f>
        <v/>
      </c>
      <c r="M45" s="7">
        <f>IF($X45="","",L45*U45/100)</f>
        <v/>
      </c>
      <c r="N45">
        <f>IF($X45="","",IF(ISNUMBER(SEARCH("3&amp;12",SUBSTITUTE(J45," ",""))),Settings!$G$7,Settings!$C$7))</f>
        <v/>
      </c>
      <c r="O45" s="7">
        <f>IF($X45="","",SUMIFS('Per Line'!$N$2:$N$1501,'Per Line'!$A$2:$A$1501,$B45,'Per Line'!$X$2:$X$1501,0))</f>
        <v/>
      </c>
      <c r="P45" s="7">
        <f>IF($X45="","",O45*N45)</f>
        <v/>
      </c>
      <c r="Q45">
        <f>IF($X45="","",IF(ISNUMBER(SEARCH("3&amp;12",SUBSTITUTE(J45," ",""))),Settings!$G$6,Settings!$C$6))</f>
        <v/>
      </c>
      <c r="R45" s="7">
        <f>IF($X45="","",SUMIFS('Per Line'!$N$2:$N$1501,'Per Line'!$A$2:$A$1501,$B45,'Per Line'!$X$2:$X$1501,1))</f>
        <v/>
      </c>
      <c r="S45" s="7">
        <f>IF($X45="","",R45*Q45)</f>
        <v/>
      </c>
      <c r="T45" s="7">
        <f>IF($X45="","",S45+P45)</f>
        <v/>
      </c>
      <c r="U45" s="7">
        <f>IF($X45="","",V45-T45)</f>
        <v/>
      </c>
      <c r="V45" s="7">
        <f>IF($X45="","",O45+R45)</f>
        <v/>
      </c>
      <c r="W45" s="7">
        <f>IF($X45="","",V45-T45-M45)</f>
        <v/>
      </c>
      <c r="X45" s="16">
        <f>IF(ROWS($X$2:$X45)&lt;=MAX('Per Line'!$W$2:$W$1501),MATCH(ROWS($X$2:$X45),'Per Line'!$W$2:$W$1501,0),"")</f>
        <v/>
      </c>
      <c r="Y45">
        <f>IF($X45="","",C45&amp;"|"&amp;COUNTIF($C$2:$C45,C45))</f>
        <v/>
      </c>
    </row>
    <row r="46">
      <c r="A46" s="15" t="n"/>
      <c r="B46">
        <f>IF($X46="","",INDEX('Per Line'!$A$2:$A$1501,$X46)&amp;"")</f>
        <v/>
      </c>
      <c r="C46">
        <f>IF($X46="","",IF(OR(TRIM(H46)="",TRIM(H46)="All",TRIM(H46)="All Comp"),TRIM(J46),TRIM(H46)))</f>
        <v/>
      </c>
      <c r="D46">
        <f>IF($X46="","",INDEX('Per Line'!$B$2:$B$1501,$X46)&amp;"")</f>
        <v/>
      </c>
      <c r="E46">
        <f>IF($X46="","",INDEX('Per Line'!$C$2:$C$1501,$X46)&amp;"")</f>
        <v/>
      </c>
      <c r="F46">
        <f>IF($X46="","",INDEX('Per Line'!$D$2:$D$1501,$X46)&amp;"")</f>
        <v/>
      </c>
      <c r="G46" s="15" t="n"/>
      <c r="H46" s="15" t="n"/>
      <c r="I46" s="15" t="n"/>
      <c r="J46" s="15" t="n"/>
      <c r="K46" s="14">
        <f>IF($X46="","",INDEX('Per Line'!$R$2:$R$1501,$X46))</f>
        <v/>
      </c>
      <c r="L46">
        <f>IF($X46="","",INDEX('Per Line'!$E$2:$E$1501,$X46))</f>
        <v/>
      </c>
      <c r="M46" s="7">
        <f>IF($X46="","",L46*U46/100)</f>
        <v/>
      </c>
      <c r="N46">
        <f>IF($X46="","",IF(ISNUMBER(SEARCH("3&amp;12",SUBSTITUTE(J46," ",""))),Settings!$G$7,Settings!$C$7))</f>
        <v/>
      </c>
      <c r="O46" s="7">
        <f>IF($X46="","",SUMIFS('Per Line'!$N$2:$N$1501,'Per Line'!$A$2:$A$1501,$B46,'Per Line'!$X$2:$X$1501,0))</f>
        <v/>
      </c>
      <c r="P46" s="7">
        <f>IF($X46="","",O46*N46)</f>
        <v/>
      </c>
      <c r="Q46">
        <f>IF($X46="","",IF(ISNUMBER(SEARCH("3&amp;12",SUBSTITUTE(J46," ",""))),Settings!$G$6,Settings!$C$6))</f>
        <v/>
      </c>
      <c r="R46" s="7">
        <f>IF($X46="","",SUMIFS('Per Line'!$N$2:$N$1501,'Per Line'!$A$2:$A$1501,$B46,'Per Line'!$X$2:$X$1501,1))</f>
        <v/>
      </c>
      <c r="S46" s="7">
        <f>IF($X46="","",R46*Q46)</f>
        <v/>
      </c>
      <c r="T46" s="7">
        <f>IF($X46="","",S46+P46)</f>
        <v/>
      </c>
      <c r="U46" s="7">
        <f>IF($X46="","",V46-T46)</f>
        <v/>
      </c>
      <c r="V46" s="7">
        <f>IF($X46="","",O46+R46)</f>
        <v/>
      </c>
      <c r="W46" s="7">
        <f>IF($X46="","",V46-T46-M46)</f>
        <v/>
      </c>
      <c r="X46" s="16">
        <f>IF(ROWS($X$2:$X46)&lt;=MAX('Per Line'!$W$2:$W$1501),MATCH(ROWS($X$2:$X46),'Per Line'!$W$2:$W$1501,0),"")</f>
        <v/>
      </c>
      <c r="Y46">
        <f>IF($X46="","",C46&amp;"|"&amp;COUNTIF($C$2:$C46,C46))</f>
        <v/>
      </c>
    </row>
    <row r="47">
      <c r="A47" s="15" t="n"/>
      <c r="B47">
        <f>IF($X47="","",INDEX('Per Line'!$A$2:$A$1501,$X47)&amp;"")</f>
        <v/>
      </c>
      <c r="C47">
        <f>IF($X47="","",IF(OR(TRIM(H47)="",TRIM(H47)="All",TRIM(H47)="All Comp"),TRIM(J47),TRIM(H47)))</f>
        <v/>
      </c>
      <c r="D47">
        <f>IF($X47="","",INDEX('Per Line'!$B$2:$B$1501,$X47)&amp;"")</f>
        <v/>
      </c>
      <c r="E47">
        <f>IF($X47="","",INDEX('Per Line'!$C$2:$C$1501,$X47)&amp;"")</f>
        <v/>
      </c>
      <c r="F47">
        <f>IF($X47="","",INDEX('Per Line'!$D$2:$D$1501,$X47)&amp;"")</f>
        <v/>
      </c>
      <c r="G47" s="15" t="n"/>
      <c r="H47" s="15" t="n"/>
      <c r="I47" s="15" t="n"/>
      <c r="J47" s="15" t="n"/>
      <c r="K47" s="14">
        <f>IF($X47="","",INDEX('Per Line'!$R$2:$R$1501,$X47))</f>
        <v/>
      </c>
      <c r="L47">
        <f>IF($X47="","",INDEX('Per Line'!$E$2:$E$1501,$X47))</f>
        <v/>
      </c>
      <c r="M47" s="7">
        <f>IF($X47="","",L47*U47/100)</f>
        <v/>
      </c>
      <c r="N47">
        <f>IF($X47="","",IF(ISNUMBER(SEARCH("3&amp;12",SUBSTITUTE(J47," ",""))),Settings!$G$7,Settings!$C$7))</f>
        <v/>
      </c>
      <c r="O47" s="7">
        <f>IF($X47="","",SUMIFS('Per Line'!$N$2:$N$1501,'Per Line'!$A$2:$A$1501,$B47,'Per Line'!$X$2:$X$1501,0))</f>
        <v/>
      </c>
      <c r="P47" s="7">
        <f>IF($X47="","",O47*N47)</f>
        <v/>
      </c>
      <c r="Q47">
        <f>IF($X47="","",IF(ISNUMBER(SEARCH("3&amp;12",SUBSTITUTE(J47," ",""))),Settings!$G$6,Settings!$C$6))</f>
        <v/>
      </c>
      <c r="R47" s="7">
        <f>IF($X47="","",SUMIFS('Per Line'!$N$2:$N$1501,'Per Line'!$A$2:$A$1501,$B47,'Per Line'!$X$2:$X$1501,1))</f>
        <v/>
      </c>
      <c r="S47" s="7">
        <f>IF($X47="","",R47*Q47)</f>
        <v/>
      </c>
      <c r="T47" s="7">
        <f>IF($X47="","",S47+P47)</f>
        <v/>
      </c>
      <c r="U47" s="7">
        <f>IF($X47="","",V47-T47)</f>
        <v/>
      </c>
      <c r="V47" s="7">
        <f>IF($X47="","",O47+R47)</f>
        <v/>
      </c>
      <c r="W47" s="7">
        <f>IF($X47="","",V47-T47-M47)</f>
        <v/>
      </c>
      <c r="X47" s="16">
        <f>IF(ROWS($X$2:$X47)&lt;=MAX('Per Line'!$W$2:$W$1501),MATCH(ROWS($X$2:$X47),'Per Line'!$W$2:$W$1501,0),"")</f>
        <v/>
      </c>
      <c r="Y47">
        <f>IF($X47="","",C47&amp;"|"&amp;COUNTIF($C$2:$C47,C47))</f>
        <v/>
      </c>
    </row>
    <row r="48">
      <c r="A48" s="15" t="n"/>
      <c r="B48">
        <f>IF($X48="","",INDEX('Per Line'!$A$2:$A$1501,$X48)&amp;"")</f>
        <v/>
      </c>
      <c r="C48">
        <f>IF($X48="","",IF(OR(TRIM(H48)="",TRIM(H48)="All",TRIM(H48)="All Comp"),TRIM(J48),TRIM(H48)))</f>
        <v/>
      </c>
      <c r="D48">
        <f>IF($X48="","",INDEX('Per Line'!$B$2:$B$1501,$X48)&amp;"")</f>
        <v/>
      </c>
      <c r="E48">
        <f>IF($X48="","",INDEX('Per Line'!$C$2:$C$1501,$X48)&amp;"")</f>
        <v/>
      </c>
      <c r="F48">
        <f>IF($X48="","",INDEX('Per Line'!$D$2:$D$1501,$X48)&amp;"")</f>
        <v/>
      </c>
      <c r="G48" s="15" t="n"/>
      <c r="H48" s="15" t="n"/>
      <c r="I48" s="15" t="n"/>
      <c r="J48" s="15" t="n"/>
      <c r="K48" s="14">
        <f>IF($X48="","",INDEX('Per Line'!$R$2:$R$1501,$X48))</f>
        <v/>
      </c>
      <c r="L48">
        <f>IF($X48="","",INDEX('Per Line'!$E$2:$E$1501,$X48))</f>
        <v/>
      </c>
      <c r="M48" s="7">
        <f>IF($X48="","",L48*U48/100)</f>
        <v/>
      </c>
      <c r="N48">
        <f>IF($X48="","",IF(ISNUMBER(SEARCH("3&amp;12",SUBSTITUTE(J48," ",""))),Settings!$G$7,Settings!$C$7))</f>
        <v/>
      </c>
      <c r="O48" s="7">
        <f>IF($X48="","",SUMIFS('Per Line'!$N$2:$N$1501,'Per Line'!$A$2:$A$1501,$B48,'Per Line'!$X$2:$X$1501,0))</f>
        <v/>
      </c>
      <c r="P48" s="7">
        <f>IF($X48="","",O48*N48)</f>
        <v/>
      </c>
      <c r="Q48">
        <f>IF($X48="","",IF(ISNUMBER(SEARCH("3&amp;12",SUBSTITUTE(J48," ",""))),Settings!$G$6,Settings!$C$6))</f>
        <v/>
      </c>
      <c r="R48" s="7">
        <f>IF($X48="","",SUMIFS('Per Line'!$N$2:$N$1501,'Per Line'!$A$2:$A$1501,$B48,'Per Line'!$X$2:$X$1501,1))</f>
        <v/>
      </c>
      <c r="S48" s="7">
        <f>IF($X48="","",R48*Q48)</f>
        <v/>
      </c>
      <c r="T48" s="7">
        <f>IF($X48="","",S48+P48)</f>
        <v/>
      </c>
      <c r="U48" s="7">
        <f>IF($X48="","",V48-T48)</f>
        <v/>
      </c>
      <c r="V48" s="7">
        <f>IF($X48="","",O48+R48)</f>
        <v/>
      </c>
      <c r="W48" s="7">
        <f>IF($X48="","",V48-T48-M48)</f>
        <v/>
      </c>
      <c r="X48" s="16">
        <f>IF(ROWS($X$2:$X48)&lt;=MAX('Per Line'!$W$2:$W$1501),MATCH(ROWS($X$2:$X48),'Per Line'!$W$2:$W$1501,0),"")</f>
        <v/>
      </c>
      <c r="Y48">
        <f>IF($X48="","",C48&amp;"|"&amp;COUNTIF($C$2:$C48,C48))</f>
        <v/>
      </c>
    </row>
    <row r="49">
      <c r="A49" s="15" t="n"/>
      <c r="B49">
        <f>IF($X49="","",INDEX('Per Line'!$A$2:$A$1501,$X49)&amp;"")</f>
        <v/>
      </c>
      <c r="C49">
        <f>IF($X49="","",IF(OR(TRIM(H49)="",TRIM(H49)="All",TRIM(H49)="All Comp"),TRIM(J49),TRIM(H49)))</f>
        <v/>
      </c>
      <c r="D49">
        <f>IF($X49="","",INDEX('Per Line'!$B$2:$B$1501,$X49)&amp;"")</f>
        <v/>
      </c>
      <c r="E49">
        <f>IF($X49="","",INDEX('Per Line'!$C$2:$C$1501,$X49)&amp;"")</f>
        <v/>
      </c>
      <c r="F49">
        <f>IF($X49="","",INDEX('Per Line'!$D$2:$D$1501,$X49)&amp;"")</f>
        <v/>
      </c>
      <c r="G49" s="15" t="n"/>
      <c r="H49" s="15" t="n"/>
      <c r="I49" s="15" t="n"/>
      <c r="J49" s="15" t="n"/>
      <c r="K49" s="14">
        <f>IF($X49="","",INDEX('Per Line'!$R$2:$R$1501,$X49))</f>
        <v/>
      </c>
      <c r="L49">
        <f>IF($X49="","",INDEX('Per Line'!$E$2:$E$1501,$X49))</f>
        <v/>
      </c>
      <c r="M49" s="7">
        <f>IF($X49="","",L49*U49/100)</f>
        <v/>
      </c>
      <c r="N49">
        <f>IF($X49="","",IF(ISNUMBER(SEARCH("3&amp;12",SUBSTITUTE(J49," ",""))),Settings!$G$7,Settings!$C$7))</f>
        <v/>
      </c>
      <c r="O49" s="7">
        <f>IF($X49="","",SUMIFS('Per Line'!$N$2:$N$1501,'Per Line'!$A$2:$A$1501,$B49,'Per Line'!$X$2:$X$1501,0))</f>
        <v/>
      </c>
      <c r="P49" s="7">
        <f>IF($X49="","",O49*N49)</f>
        <v/>
      </c>
      <c r="Q49">
        <f>IF($X49="","",IF(ISNUMBER(SEARCH("3&amp;12",SUBSTITUTE(J49," ",""))),Settings!$G$6,Settings!$C$6))</f>
        <v/>
      </c>
      <c r="R49" s="7">
        <f>IF($X49="","",SUMIFS('Per Line'!$N$2:$N$1501,'Per Line'!$A$2:$A$1501,$B49,'Per Line'!$X$2:$X$1501,1))</f>
        <v/>
      </c>
      <c r="S49" s="7">
        <f>IF($X49="","",R49*Q49)</f>
        <v/>
      </c>
      <c r="T49" s="7">
        <f>IF($X49="","",S49+P49)</f>
        <v/>
      </c>
      <c r="U49" s="7">
        <f>IF($X49="","",V49-T49)</f>
        <v/>
      </c>
      <c r="V49" s="7">
        <f>IF($X49="","",O49+R49)</f>
        <v/>
      </c>
      <c r="W49" s="7">
        <f>IF($X49="","",V49-T49-M49)</f>
        <v/>
      </c>
      <c r="X49" s="16">
        <f>IF(ROWS($X$2:$X49)&lt;=MAX('Per Line'!$W$2:$W$1501),MATCH(ROWS($X$2:$X49),'Per Line'!$W$2:$W$1501,0),"")</f>
        <v/>
      </c>
      <c r="Y49">
        <f>IF($X49="","",C49&amp;"|"&amp;COUNTIF($C$2:$C49,C49))</f>
        <v/>
      </c>
    </row>
    <row r="50">
      <c r="A50" s="15" t="n"/>
      <c r="B50">
        <f>IF($X50="","",INDEX('Per Line'!$A$2:$A$1501,$X50)&amp;"")</f>
        <v/>
      </c>
      <c r="C50">
        <f>IF($X50="","",IF(OR(TRIM(H50)="",TRIM(H50)="All",TRIM(H50)="All Comp"),TRIM(J50),TRIM(H50)))</f>
        <v/>
      </c>
      <c r="D50">
        <f>IF($X50="","",INDEX('Per Line'!$B$2:$B$1501,$X50)&amp;"")</f>
        <v/>
      </c>
      <c r="E50">
        <f>IF($X50="","",INDEX('Per Line'!$C$2:$C$1501,$X50)&amp;"")</f>
        <v/>
      </c>
      <c r="F50">
        <f>IF($X50="","",INDEX('Per Line'!$D$2:$D$1501,$X50)&amp;"")</f>
        <v/>
      </c>
      <c r="G50" s="15" t="n"/>
      <c r="H50" s="15" t="n"/>
      <c r="I50" s="15" t="n"/>
      <c r="J50" s="15" t="n"/>
      <c r="K50" s="14">
        <f>IF($X50="","",INDEX('Per Line'!$R$2:$R$1501,$X50))</f>
        <v/>
      </c>
      <c r="L50">
        <f>IF($X50="","",INDEX('Per Line'!$E$2:$E$1501,$X50))</f>
        <v/>
      </c>
      <c r="M50" s="7">
        <f>IF($X50="","",L50*U50/100)</f>
        <v/>
      </c>
      <c r="N50">
        <f>IF($X50="","",IF(ISNUMBER(SEARCH("3&amp;12",SUBSTITUTE(J50," ",""))),Settings!$G$7,Settings!$C$7))</f>
        <v/>
      </c>
      <c r="O50" s="7">
        <f>IF($X50="","",SUMIFS('Per Line'!$N$2:$N$1501,'Per Line'!$A$2:$A$1501,$B50,'Per Line'!$X$2:$X$1501,0))</f>
        <v/>
      </c>
      <c r="P50" s="7">
        <f>IF($X50="","",O50*N50)</f>
        <v/>
      </c>
      <c r="Q50">
        <f>IF($X50="","",IF(ISNUMBER(SEARCH("3&amp;12",SUBSTITUTE(J50," ",""))),Settings!$G$6,Settings!$C$6))</f>
        <v/>
      </c>
      <c r="R50" s="7">
        <f>IF($X50="","",SUMIFS('Per Line'!$N$2:$N$1501,'Per Line'!$A$2:$A$1501,$B50,'Per Line'!$X$2:$X$1501,1))</f>
        <v/>
      </c>
      <c r="S50" s="7">
        <f>IF($X50="","",R50*Q50)</f>
        <v/>
      </c>
      <c r="T50" s="7">
        <f>IF($X50="","",S50+P50)</f>
        <v/>
      </c>
      <c r="U50" s="7">
        <f>IF($X50="","",V50-T50)</f>
        <v/>
      </c>
      <c r="V50" s="7">
        <f>IF($X50="","",O50+R50)</f>
        <v/>
      </c>
      <c r="W50" s="7">
        <f>IF($X50="","",V50-T50-M50)</f>
        <v/>
      </c>
      <c r="X50" s="16">
        <f>IF(ROWS($X$2:$X50)&lt;=MAX('Per Line'!$W$2:$W$1501),MATCH(ROWS($X$2:$X50),'Per Line'!$W$2:$W$1501,0),"")</f>
        <v/>
      </c>
      <c r="Y50">
        <f>IF($X50="","",C50&amp;"|"&amp;COUNTIF($C$2:$C50,C50))</f>
        <v/>
      </c>
    </row>
    <row r="51">
      <c r="A51" s="15" t="n"/>
      <c r="B51">
        <f>IF($X51="","",INDEX('Per Line'!$A$2:$A$1501,$X51)&amp;"")</f>
        <v/>
      </c>
      <c r="C51">
        <f>IF($X51="","",IF(OR(TRIM(H51)="",TRIM(H51)="All",TRIM(H51)="All Comp"),TRIM(J51),TRIM(H51)))</f>
        <v/>
      </c>
      <c r="D51">
        <f>IF($X51="","",INDEX('Per Line'!$B$2:$B$1501,$X51)&amp;"")</f>
        <v/>
      </c>
      <c r="E51">
        <f>IF($X51="","",INDEX('Per Line'!$C$2:$C$1501,$X51)&amp;"")</f>
        <v/>
      </c>
      <c r="F51">
        <f>IF($X51="","",INDEX('Per Line'!$D$2:$D$1501,$X51)&amp;"")</f>
        <v/>
      </c>
      <c r="G51" s="15" t="n"/>
      <c r="H51" s="15" t="n"/>
      <c r="I51" s="15" t="n"/>
      <c r="J51" s="15" t="n"/>
      <c r="K51" s="14">
        <f>IF($X51="","",INDEX('Per Line'!$R$2:$R$1501,$X51))</f>
        <v/>
      </c>
      <c r="L51">
        <f>IF($X51="","",INDEX('Per Line'!$E$2:$E$1501,$X51))</f>
        <v/>
      </c>
      <c r="M51" s="7">
        <f>IF($X51="","",L51*U51/100)</f>
        <v/>
      </c>
      <c r="N51">
        <f>IF($X51="","",IF(ISNUMBER(SEARCH("3&amp;12",SUBSTITUTE(J51," ",""))),Settings!$G$7,Settings!$C$7))</f>
        <v/>
      </c>
      <c r="O51" s="7">
        <f>IF($X51="","",SUMIFS('Per Line'!$N$2:$N$1501,'Per Line'!$A$2:$A$1501,$B51,'Per Line'!$X$2:$X$1501,0))</f>
        <v/>
      </c>
      <c r="P51" s="7">
        <f>IF($X51="","",O51*N51)</f>
        <v/>
      </c>
      <c r="Q51">
        <f>IF($X51="","",IF(ISNUMBER(SEARCH("3&amp;12",SUBSTITUTE(J51," ",""))),Settings!$G$6,Settings!$C$6))</f>
        <v/>
      </c>
      <c r="R51" s="7">
        <f>IF($X51="","",SUMIFS('Per Line'!$N$2:$N$1501,'Per Line'!$A$2:$A$1501,$B51,'Per Line'!$X$2:$X$1501,1))</f>
        <v/>
      </c>
      <c r="S51" s="7">
        <f>IF($X51="","",R51*Q51)</f>
        <v/>
      </c>
      <c r="T51" s="7">
        <f>IF($X51="","",S51+P51)</f>
        <v/>
      </c>
      <c r="U51" s="7">
        <f>IF($X51="","",V51-T51)</f>
        <v/>
      </c>
      <c r="V51" s="7">
        <f>IF($X51="","",O51+R51)</f>
        <v/>
      </c>
      <c r="W51" s="7">
        <f>IF($X51="","",V51-T51-M51)</f>
        <v/>
      </c>
      <c r="X51" s="16">
        <f>IF(ROWS($X$2:$X51)&lt;=MAX('Per Line'!$W$2:$W$1501),MATCH(ROWS($X$2:$X51),'Per Line'!$W$2:$W$1501,0),"")</f>
        <v/>
      </c>
      <c r="Y51">
        <f>IF($X51="","",C51&amp;"|"&amp;COUNTIF($C$2:$C51,C51))</f>
        <v/>
      </c>
    </row>
    <row r="52">
      <c r="A52" s="15" t="n"/>
      <c r="B52">
        <f>IF($X52="","",INDEX('Per Line'!$A$2:$A$1501,$X52)&amp;"")</f>
        <v/>
      </c>
      <c r="C52">
        <f>IF($X52="","",IF(OR(TRIM(H52)="",TRIM(H52)="All",TRIM(H52)="All Comp"),TRIM(J52),TRIM(H52)))</f>
        <v/>
      </c>
      <c r="D52">
        <f>IF($X52="","",INDEX('Per Line'!$B$2:$B$1501,$X52)&amp;"")</f>
        <v/>
      </c>
      <c r="E52">
        <f>IF($X52="","",INDEX('Per Line'!$C$2:$C$1501,$X52)&amp;"")</f>
        <v/>
      </c>
      <c r="F52">
        <f>IF($X52="","",INDEX('Per Line'!$D$2:$D$1501,$X52)&amp;"")</f>
        <v/>
      </c>
      <c r="G52" s="15" t="n"/>
      <c r="H52" s="15" t="n"/>
      <c r="I52" s="15" t="n"/>
      <c r="J52" s="15" t="n"/>
      <c r="K52" s="14">
        <f>IF($X52="","",INDEX('Per Line'!$R$2:$R$1501,$X52))</f>
        <v/>
      </c>
      <c r="L52">
        <f>IF($X52="","",INDEX('Per Line'!$E$2:$E$1501,$X52))</f>
        <v/>
      </c>
      <c r="M52" s="7">
        <f>IF($X52="","",L52*U52/100)</f>
        <v/>
      </c>
      <c r="N52">
        <f>IF($X52="","",IF(ISNUMBER(SEARCH("3&amp;12",SUBSTITUTE(J52," ",""))),Settings!$G$7,Settings!$C$7))</f>
        <v/>
      </c>
      <c r="O52" s="7">
        <f>IF($X52="","",SUMIFS('Per Line'!$N$2:$N$1501,'Per Line'!$A$2:$A$1501,$B52,'Per Line'!$X$2:$X$1501,0))</f>
        <v/>
      </c>
      <c r="P52" s="7">
        <f>IF($X52="","",O52*N52)</f>
        <v/>
      </c>
      <c r="Q52">
        <f>IF($X52="","",IF(ISNUMBER(SEARCH("3&amp;12",SUBSTITUTE(J52," ",""))),Settings!$G$6,Settings!$C$6))</f>
        <v/>
      </c>
      <c r="R52" s="7">
        <f>IF($X52="","",SUMIFS('Per Line'!$N$2:$N$1501,'Per Line'!$A$2:$A$1501,$B52,'Per Line'!$X$2:$X$1501,1))</f>
        <v/>
      </c>
      <c r="S52" s="7">
        <f>IF($X52="","",R52*Q52)</f>
        <v/>
      </c>
      <c r="T52" s="7">
        <f>IF($X52="","",S52+P52)</f>
        <v/>
      </c>
      <c r="U52" s="7">
        <f>IF($X52="","",V52-T52)</f>
        <v/>
      </c>
      <c r="V52" s="7">
        <f>IF($X52="","",O52+R52)</f>
        <v/>
      </c>
      <c r="W52" s="7">
        <f>IF($X52="","",V52-T52-M52)</f>
        <v/>
      </c>
      <c r="X52" s="16">
        <f>IF(ROWS($X$2:$X52)&lt;=MAX('Per Line'!$W$2:$W$1501),MATCH(ROWS($X$2:$X52),'Per Line'!$W$2:$W$1501,0),"")</f>
        <v/>
      </c>
      <c r="Y52">
        <f>IF($X52="","",C52&amp;"|"&amp;COUNTIF($C$2:$C52,C52))</f>
        <v/>
      </c>
    </row>
    <row r="53">
      <c r="A53" s="15" t="n"/>
      <c r="B53">
        <f>IF($X53="","",INDEX('Per Line'!$A$2:$A$1501,$X53)&amp;"")</f>
        <v/>
      </c>
      <c r="C53">
        <f>IF($X53="","",IF(OR(TRIM(H53)="",TRIM(H53)="All",TRIM(H53)="All Comp"),TRIM(J53),TRIM(H53)))</f>
        <v/>
      </c>
      <c r="D53">
        <f>IF($X53="","",INDEX('Per Line'!$B$2:$B$1501,$X53)&amp;"")</f>
        <v/>
      </c>
      <c r="E53">
        <f>IF($X53="","",INDEX('Per Line'!$C$2:$C$1501,$X53)&amp;"")</f>
        <v/>
      </c>
      <c r="F53">
        <f>IF($X53="","",INDEX('Per Line'!$D$2:$D$1501,$X53)&amp;"")</f>
        <v/>
      </c>
      <c r="G53" s="15" t="n"/>
      <c r="H53" s="15" t="n"/>
      <c r="I53" s="15" t="n"/>
      <c r="J53" s="15" t="n"/>
      <c r="K53" s="14">
        <f>IF($X53="","",INDEX('Per Line'!$R$2:$R$1501,$X53))</f>
        <v/>
      </c>
      <c r="L53">
        <f>IF($X53="","",INDEX('Per Line'!$E$2:$E$1501,$X53))</f>
        <v/>
      </c>
      <c r="M53" s="7">
        <f>IF($X53="","",L53*U53/100)</f>
        <v/>
      </c>
      <c r="N53">
        <f>IF($X53="","",IF(ISNUMBER(SEARCH("3&amp;12",SUBSTITUTE(J53," ",""))),Settings!$G$7,Settings!$C$7))</f>
        <v/>
      </c>
      <c r="O53" s="7">
        <f>IF($X53="","",SUMIFS('Per Line'!$N$2:$N$1501,'Per Line'!$A$2:$A$1501,$B53,'Per Line'!$X$2:$X$1501,0))</f>
        <v/>
      </c>
      <c r="P53" s="7">
        <f>IF($X53="","",O53*N53)</f>
        <v/>
      </c>
      <c r="Q53">
        <f>IF($X53="","",IF(ISNUMBER(SEARCH("3&amp;12",SUBSTITUTE(J53," ",""))),Settings!$G$6,Settings!$C$6))</f>
        <v/>
      </c>
      <c r="R53" s="7">
        <f>IF($X53="","",SUMIFS('Per Line'!$N$2:$N$1501,'Per Line'!$A$2:$A$1501,$B53,'Per Line'!$X$2:$X$1501,1))</f>
        <v/>
      </c>
      <c r="S53" s="7">
        <f>IF($X53="","",R53*Q53)</f>
        <v/>
      </c>
      <c r="T53" s="7">
        <f>IF($X53="","",S53+P53)</f>
        <v/>
      </c>
      <c r="U53" s="7">
        <f>IF($X53="","",V53-T53)</f>
        <v/>
      </c>
      <c r="V53" s="7">
        <f>IF($X53="","",O53+R53)</f>
        <v/>
      </c>
      <c r="W53" s="7">
        <f>IF($X53="","",V53-T53-M53)</f>
        <v/>
      </c>
      <c r="X53" s="16">
        <f>IF(ROWS($X$2:$X53)&lt;=MAX('Per Line'!$W$2:$W$1501),MATCH(ROWS($X$2:$X53),'Per Line'!$W$2:$W$1501,0),"")</f>
        <v/>
      </c>
      <c r="Y53">
        <f>IF($X53="","",C53&amp;"|"&amp;COUNTIF($C$2:$C53,C53))</f>
        <v/>
      </c>
    </row>
    <row r="54">
      <c r="A54" s="15" t="n"/>
      <c r="B54">
        <f>IF($X54="","",INDEX('Per Line'!$A$2:$A$1501,$X54)&amp;"")</f>
        <v/>
      </c>
      <c r="C54">
        <f>IF($X54="","",IF(OR(TRIM(H54)="",TRIM(H54)="All",TRIM(H54)="All Comp"),TRIM(J54),TRIM(H54)))</f>
        <v/>
      </c>
      <c r="D54">
        <f>IF($X54="","",INDEX('Per Line'!$B$2:$B$1501,$X54)&amp;"")</f>
        <v/>
      </c>
      <c r="E54">
        <f>IF($X54="","",INDEX('Per Line'!$C$2:$C$1501,$X54)&amp;"")</f>
        <v/>
      </c>
      <c r="F54">
        <f>IF($X54="","",INDEX('Per Line'!$D$2:$D$1501,$X54)&amp;"")</f>
        <v/>
      </c>
      <c r="G54" s="15" t="n"/>
      <c r="H54" s="15" t="n"/>
      <c r="I54" s="15" t="n"/>
      <c r="J54" s="15" t="n"/>
      <c r="K54" s="14">
        <f>IF($X54="","",INDEX('Per Line'!$R$2:$R$1501,$X54))</f>
        <v/>
      </c>
      <c r="L54">
        <f>IF($X54="","",INDEX('Per Line'!$E$2:$E$1501,$X54))</f>
        <v/>
      </c>
      <c r="M54" s="7">
        <f>IF($X54="","",L54*U54/100)</f>
        <v/>
      </c>
      <c r="N54">
        <f>IF($X54="","",IF(ISNUMBER(SEARCH("3&amp;12",SUBSTITUTE(J54," ",""))),Settings!$G$7,Settings!$C$7))</f>
        <v/>
      </c>
      <c r="O54" s="7">
        <f>IF($X54="","",SUMIFS('Per Line'!$N$2:$N$1501,'Per Line'!$A$2:$A$1501,$B54,'Per Line'!$X$2:$X$1501,0))</f>
        <v/>
      </c>
      <c r="P54" s="7">
        <f>IF($X54="","",O54*N54)</f>
        <v/>
      </c>
      <c r="Q54">
        <f>IF($X54="","",IF(ISNUMBER(SEARCH("3&amp;12",SUBSTITUTE(J54," ",""))),Settings!$G$6,Settings!$C$6))</f>
        <v/>
      </c>
      <c r="R54" s="7">
        <f>IF($X54="","",SUMIFS('Per Line'!$N$2:$N$1501,'Per Line'!$A$2:$A$1501,$B54,'Per Line'!$X$2:$X$1501,1))</f>
        <v/>
      </c>
      <c r="S54" s="7">
        <f>IF($X54="","",R54*Q54)</f>
        <v/>
      </c>
      <c r="T54" s="7">
        <f>IF($X54="","",S54+P54)</f>
        <v/>
      </c>
      <c r="U54" s="7">
        <f>IF($X54="","",V54-T54)</f>
        <v/>
      </c>
      <c r="V54" s="7">
        <f>IF($X54="","",O54+R54)</f>
        <v/>
      </c>
      <c r="W54" s="7">
        <f>IF($X54="","",V54-T54-M54)</f>
        <v/>
      </c>
      <c r="X54" s="16">
        <f>IF(ROWS($X$2:$X54)&lt;=MAX('Per Line'!$W$2:$W$1501),MATCH(ROWS($X$2:$X54),'Per Line'!$W$2:$W$1501,0),"")</f>
        <v/>
      </c>
      <c r="Y54">
        <f>IF($X54="","",C54&amp;"|"&amp;COUNTIF($C$2:$C54,C54))</f>
        <v/>
      </c>
    </row>
    <row r="55">
      <c r="A55" s="15" t="n"/>
      <c r="B55">
        <f>IF($X55="","",INDEX('Per Line'!$A$2:$A$1501,$X55)&amp;"")</f>
        <v/>
      </c>
      <c r="C55">
        <f>IF($X55="","",IF(OR(TRIM(H55)="",TRIM(H55)="All",TRIM(H55)="All Comp"),TRIM(J55),TRIM(H55)))</f>
        <v/>
      </c>
      <c r="D55">
        <f>IF($X55="","",INDEX('Per Line'!$B$2:$B$1501,$X55)&amp;"")</f>
        <v/>
      </c>
      <c r="E55">
        <f>IF($X55="","",INDEX('Per Line'!$C$2:$C$1501,$X55)&amp;"")</f>
        <v/>
      </c>
      <c r="F55">
        <f>IF($X55="","",INDEX('Per Line'!$D$2:$D$1501,$X55)&amp;"")</f>
        <v/>
      </c>
      <c r="G55" s="15" t="n"/>
      <c r="H55" s="15" t="n"/>
      <c r="I55" s="15" t="n"/>
      <c r="J55" s="15" t="n"/>
      <c r="K55" s="14">
        <f>IF($X55="","",INDEX('Per Line'!$R$2:$R$1501,$X55))</f>
        <v/>
      </c>
      <c r="L55">
        <f>IF($X55="","",INDEX('Per Line'!$E$2:$E$1501,$X55))</f>
        <v/>
      </c>
      <c r="M55" s="7">
        <f>IF($X55="","",L55*U55/100)</f>
        <v/>
      </c>
      <c r="N55">
        <f>IF($X55="","",IF(ISNUMBER(SEARCH("3&amp;12",SUBSTITUTE(J55," ",""))),Settings!$G$7,Settings!$C$7))</f>
        <v/>
      </c>
      <c r="O55" s="7">
        <f>IF($X55="","",SUMIFS('Per Line'!$N$2:$N$1501,'Per Line'!$A$2:$A$1501,$B55,'Per Line'!$X$2:$X$1501,0))</f>
        <v/>
      </c>
      <c r="P55" s="7">
        <f>IF($X55="","",O55*N55)</f>
        <v/>
      </c>
      <c r="Q55">
        <f>IF($X55="","",IF(ISNUMBER(SEARCH("3&amp;12",SUBSTITUTE(J55," ",""))),Settings!$G$6,Settings!$C$6))</f>
        <v/>
      </c>
      <c r="R55" s="7">
        <f>IF($X55="","",SUMIFS('Per Line'!$N$2:$N$1501,'Per Line'!$A$2:$A$1501,$B55,'Per Line'!$X$2:$X$1501,1))</f>
        <v/>
      </c>
      <c r="S55" s="7">
        <f>IF($X55="","",R55*Q55)</f>
        <v/>
      </c>
      <c r="T55" s="7">
        <f>IF($X55="","",S55+P55)</f>
        <v/>
      </c>
      <c r="U55" s="7">
        <f>IF($X55="","",V55-T55)</f>
        <v/>
      </c>
      <c r="V55" s="7">
        <f>IF($X55="","",O55+R55)</f>
        <v/>
      </c>
      <c r="W55" s="7">
        <f>IF($X55="","",V55-T55-M55)</f>
        <v/>
      </c>
      <c r="X55" s="16">
        <f>IF(ROWS($X$2:$X55)&lt;=MAX('Per Line'!$W$2:$W$1501),MATCH(ROWS($X$2:$X55),'Per Line'!$W$2:$W$1501,0),"")</f>
        <v/>
      </c>
      <c r="Y55">
        <f>IF($X55="","",C55&amp;"|"&amp;COUNTIF($C$2:$C55,C55))</f>
        <v/>
      </c>
    </row>
    <row r="56">
      <c r="A56" s="15" t="n"/>
      <c r="B56">
        <f>IF($X56="","",INDEX('Per Line'!$A$2:$A$1501,$X56)&amp;"")</f>
        <v/>
      </c>
      <c r="C56">
        <f>IF($X56="","",IF(OR(TRIM(H56)="",TRIM(H56)="All",TRIM(H56)="All Comp"),TRIM(J56),TRIM(H56)))</f>
        <v/>
      </c>
      <c r="D56">
        <f>IF($X56="","",INDEX('Per Line'!$B$2:$B$1501,$X56)&amp;"")</f>
        <v/>
      </c>
      <c r="E56">
        <f>IF($X56="","",INDEX('Per Line'!$C$2:$C$1501,$X56)&amp;"")</f>
        <v/>
      </c>
      <c r="F56">
        <f>IF($X56="","",INDEX('Per Line'!$D$2:$D$1501,$X56)&amp;"")</f>
        <v/>
      </c>
      <c r="G56" s="15" t="n"/>
      <c r="H56" s="15" t="n"/>
      <c r="I56" s="15" t="n"/>
      <c r="J56" s="15" t="n"/>
      <c r="K56" s="14">
        <f>IF($X56="","",INDEX('Per Line'!$R$2:$R$1501,$X56))</f>
        <v/>
      </c>
      <c r="L56">
        <f>IF($X56="","",INDEX('Per Line'!$E$2:$E$1501,$X56))</f>
        <v/>
      </c>
      <c r="M56" s="7">
        <f>IF($X56="","",L56*U56/100)</f>
        <v/>
      </c>
      <c r="N56">
        <f>IF($X56="","",IF(ISNUMBER(SEARCH("3&amp;12",SUBSTITUTE(J56," ",""))),Settings!$G$7,Settings!$C$7))</f>
        <v/>
      </c>
      <c r="O56" s="7">
        <f>IF($X56="","",SUMIFS('Per Line'!$N$2:$N$1501,'Per Line'!$A$2:$A$1501,$B56,'Per Line'!$X$2:$X$1501,0))</f>
        <v/>
      </c>
      <c r="P56" s="7">
        <f>IF($X56="","",O56*N56)</f>
        <v/>
      </c>
      <c r="Q56">
        <f>IF($X56="","",IF(ISNUMBER(SEARCH("3&amp;12",SUBSTITUTE(J56," ",""))),Settings!$G$6,Settings!$C$6))</f>
        <v/>
      </c>
      <c r="R56" s="7">
        <f>IF($X56="","",SUMIFS('Per Line'!$N$2:$N$1501,'Per Line'!$A$2:$A$1501,$B56,'Per Line'!$X$2:$X$1501,1))</f>
        <v/>
      </c>
      <c r="S56" s="7">
        <f>IF($X56="","",R56*Q56)</f>
        <v/>
      </c>
      <c r="T56" s="7">
        <f>IF($X56="","",S56+P56)</f>
        <v/>
      </c>
      <c r="U56" s="7">
        <f>IF($X56="","",V56-T56)</f>
        <v/>
      </c>
      <c r="V56" s="7">
        <f>IF($X56="","",O56+R56)</f>
        <v/>
      </c>
      <c r="W56" s="7">
        <f>IF($X56="","",V56-T56-M56)</f>
        <v/>
      </c>
      <c r="X56" s="16">
        <f>IF(ROWS($X$2:$X56)&lt;=MAX('Per Line'!$W$2:$W$1501),MATCH(ROWS($X$2:$X56),'Per Line'!$W$2:$W$1501,0),"")</f>
        <v/>
      </c>
      <c r="Y56">
        <f>IF($X56="","",C56&amp;"|"&amp;COUNTIF($C$2:$C56,C56))</f>
        <v/>
      </c>
    </row>
    <row r="57">
      <c r="A57" s="15" t="n"/>
      <c r="B57">
        <f>IF($X57="","",INDEX('Per Line'!$A$2:$A$1501,$X57)&amp;"")</f>
        <v/>
      </c>
      <c r="C57">
        <f>IF($X57="","",IF(OR(TRIM(H57)="",TRIM(H57)="All",TRIM(H57)="All Comp"),TRIM(J57),TRIM(H57)))</f>
        <v/>
      </c>
      <c r="D57">
        <f>IF($X57="","",INDEX('Per Line'!$B$2:$B$1501,$X57)&amp;"")</f>
        <v/>
      </c>
      <c r="E57">
        <f>IF($X57="","",INDEX('Per Line'!$C$2:$C$1501,$X57)&amp;"")</f>
        <v/>
      </c>
      <c r="F57">
        <f>IF($X57="","",INDEX('Per Line'!$D$2:$D$1501,$X57)&amp;"")</f>
        <v/>
      </c>
      <c r="G57" s="15" t="n"/>
      <c r="H57" s="15" t="n"/>
      <c r="I57" s="15" t="n"/>
      <c r="J57" s="15" t="n"/>
      <c r="K57" s="14">
        <f>IF($X57="","",INDEX('Per Line'!$R$2:$R$1501,$X57))</f>
        <v/>
      </c>
      <c r="L57">
        <f>IF($X57="","",INDEX('Per Line'!$E$2:$E$1501,$X57))</f>
        <v/>
      </c>
      <c r="M57" s="7">
        <f>IF($X57="","",L57*U57/100)</f>
        <v/>
      </c>
      <c r="N57">
        <f>IF($X57="","",IF(ISNUMBER(SEARCH("3&amp;12",SUBSTITUTE(J57," ",""))),Settings!$G$7,Settings!$C$7))</f>
        <v/>
      </c>
      <c r="O57" s="7">
        <f>IF($X57="","",SUMIFS('Per Line'!$N$2:$N$1501,'Per Line'!$A$2:$A$1501,$B57,'Per Line'!$X$2:$X$1501,0))</f>
        <v/>
      </c>
      <c r="P57" s="7">
        <f>IF($X57="","",O57*N57)</f>
        <v/>
      </c>
      <c r="Q57">
        <f>IF($X57="","",IF(ISNUMBER(SEARCH("3&amp;12",SUBSTITUTE(J57," ",""))),Settings!$G$6,Settings!$C$6))</f>
        <v/>
      </c>
      <c r="R57" s="7">
        <f>IF($X57="","",SUMIFS('Per Line'!$N$2:$N$1501,'Per Line'!$A$2:$A$1501,$B57,'Per Line'!$X$2:$X$1501,1))</f>
        <v/>
      </c>
      <c r="S57" s="7">
        <f>IF($X57="","",R57*Q57)</f>
        <v/>
      </c>
      <c r="T57" s="7">
        <f>IF($X57="","",S57+P57)</f>
        <v/>
      </c>
      <c r="U57" s="7">
        <f>IF($X57="","",V57-T57)</f>
        <v/>
      </c>
      <c r="V57" s="7">
        <f>IF($X57="","",O57+R57)</f>
        <v/>
      </c>
      <c r="W57" s="7">
        <f>IF($X57="","",V57-T57-M57)</f>
        <v/>
      </c>
      <c r="X57" s="16">
        <f>IF(ROWS($X$2:$X57)&lt;=MAX('Per Line'!$W$2:$W$1501),MATCH(ROWS($X$2:$X57),'Per Line'!$W$2:$W$1501,0),"")</f>
        <v/>
      </c>
      <c r="Y57">
        <f>IF($X57="","",C57&amp;"|"&amp;COUNTIF($C$2:$C57,C57))</f>
        <v/>
      </c>
    </row>
    <row r="58">
      <c r="A58" s="15" t="n"/>
      <c r="B58">
        <f>IF($X58="","",INDEX('Per Line'!$A$2:$A$1501,$X58)&amp;"")</f>
        <v/>
      </c>
      <c r="C58">
        <f>IF($X58="","",IF(OR(TRIM(H58)="",TRIM(H58)="All",TRIM(H58)="All Comp"),TRIM(J58),TRIM(H58)))</f>
        <v/>
      </c>
      <c r="D58">
        <f>IF($X58="","",INDEX('Per Line'!$B$2:$B$1501,$X58)&amp;"")</f>
        <v/>
      </c>
      <c r="E58">
        <f>IF($X58="","",INDEX('Per Line'!$C$2:$C$1501,$X58)&amp;"")</f>
        <v/>
      </c>
      <c r="F58">
        <f>IF($X58="","",INDEX('Per Line'!$D$2:$D$1501,$X58)&amp;"")</f>
        <v/>
      </c>
      <c r="G58" s="15" t="n"/>
      <c r="H58" s="15" t="n"/>
      <c r="I58" s="15" t="n"/>
      <c r="J58" s="15" t="n"/>
      <c r="K58" s="14">
        <f>IF($X58="","",INDEX('Per Line'!$R$2:$R$1501,$X58))</f>
        <v/>
      </c>
      <c r="L58">
        <f>IF($X58="","",INDEX('Per Line'!$E$2:$E$1501,$X58))</f>
        <v/>
      </c>
      <c r="M58" s="7">
        <f>IF($X58="","",L58*U58/100)</f>
        <v/>
      </c>
      <c r="N58">
        <f>IF($X58="","",IF(ISNUMBER(SEARCH("3&amp;12",SUBSTITUTE(J58," ",""))),Settings!$G$7,Settings!$C$7))</f>
        <v/>
      </c>
      <c r="O58" s="7">
        <f>IF($X58="","",SUMIFS('Per Line'!$N$2:$N$1501,'Per Line'!$A$2:$A$1501,$B58,'Per Line'!$X$2:$X$1501,0))</f>
        <v/>
      </c>
      <c r="P58" s="7">
        <f>IF($X58="","",O58*N58)</f>
        <v/>
      </c>
      <c r="Q58">
        <f>IF($X58="","",IF(ISNUMBER(SEARCH("3&amp;12",SUBSTITUTE(J58," ",""))),Settings!$G$6,Settings!$C$6))</f>
        <v/>
      </c>
      <c r="R58" s="7">
        <f>IF($X58="","",SUMIFS('Per Line'!$N$2:$N$1501,'Per Line'!$A$2:$A$1501,$B58,'Per Line'!$X$2:$X$1501,1))</f>
        <v/>
      </c>
      <c r="S58" s="7">
        <f>IF($X58="","",R58*Q58)</f>
        <v/>
      </c>
      <c r="T58" s="7">
        <f>IF($X58="","",S58+P58)</f>
        <v/>
      </c>
      <c r="U58" s="7">
        <f>IF($X58="","",V58-T58)</f>
        <v/>
      </c>
      <c r="V58" s="7">
        <f>IF($X58="","",O58+R58)</f>
        <v/>
      </c>
      <c r="W58" s="7">
        <f>IF($X58="","",V58-T58-M58)</f>
        <v/>
      </c>
      <c r="X58" s="16">
        <f>IF(ROWS($X$2:$X58)&lt;=MAX('Per Line'!$W$2:$W$1501),MATCH(ROWS($X$2:$X58),'Per Line'!$W$2:$W$1501,0),"")</f>
        <v/>
      </c>
      <c r="Y58">
        <f>IF($X58="","",C58&amp;"|"&amp;COUNTIF($C$2:$C58,C58))</f>
        <v/>
      </c>
    </row>
    <row r="59">
      <c r="A59" s="15" t="n"/>
      <c r="B59">
        <f>IF($X59="","",INDEX('Per Line'!$A$2:$A$1501,$X59)&amp;"")</f>
        <v/>
      </c>
      <c r="C59">
        <f>IF($X59="","",IF(OR(TRIM(H59)="",TRIM(H59)="All",TRIM(H59)="All Comp"),TRIM(J59),TRIM(H59)))</f>
        <v/>
      </c>
      <c r="D59">
        <f>IF($X59="","",INDEX('Per Line'!$B$2:$B$1501,$X59)&amp;"")</f>
        <v/>
      </c>
      <c r="E59">
        <f>IF($X59="","",INDEX('Per Line'!$C$2:$C$1501,$X59)&amp;"")</f>
        <v/>
      </c>
      <c r="F59">
        <f>IF($X59="","",INDEX('Per Line'!$D$2:$D$1501,$X59)&amp;"")</f>
        <v/>
      </c>
      <c r="G59" s="15" t="n"/>
      <c r="H59" s="15" t="n"/>
      <c r="I59" s="15" t="n"/>
      <c r="J59" s="15" t="n"/>
      <c r="K59" s="14">
        <f>IF($X59="","",INDEX('Per Line'!$R$2:$R$1501,$X59))</f>
        <v/>
      </c>
      <c r="L59">
        <f>IF($X59="","",INDEX('Per Line'!$E$2:$E$1501,$X59))</f>
        <v/>
      </c>
      <c r="M59" s="7">
        <f>IF($X59="","",L59*U59/100)</f>
        <v/>
      </c>
      <c r="N59">
        <f>IF($X59="","",IF(ISNUMBER(SEARCH("3&amp;12",SUBSTITUTE(J59," ",""))),Settings!$G$7,Settings!$C$7))</f>
        <v/>
      </c>
      <c r="O59" s="7">
        <f>IF($X59="","",SUMIFS('Per Line'!$N$2:$N$1501,'Per Line'!$A$2:$A$1501,$B59,'Per Line'!$X$2:$X$1501,0))</f>
        <v/>
      </c>
      <c r="P59" s="7">
        <f>IF($X59="","",O59*N59)</f>
        <v/>
      </c>
      <c r="Q59">
        <f>IF($X59="","",IF(ISNUMBER(SEARCH("3&amp;12",SUBSTITUTE(J59," ",""))),Settings!$G$6,Settings!$C$6))</f>
        <v/>
      </c>
      <c r="R59" s="7">
        <f>IF($X59="","",SUMIFS('Per Line'!$N$2:$N$1501,'Per Line'!$A$2:$A$1501,$B59,'Per Line'!$X$2:$X$1501,1))</f>
        <v/>
      </c>
      <c r="S59" s="7">
        <f>IF($X59="","",R59*Q59)</f>
        <v/>
      </c>
      <c r="T59" s="7">
        <f>IF($X59="","",S59+P59)</f>
        <v/>
      </c>
      <c r="U59" s="7">
        <f>IF($X59="","",V59-T59)</f>
        <v/>
      </c>
      <c r="V59" s="7">
        <f>IF($X59="","",O59+R59)</f>
        <v/>
      </c>
      <c r="W59" s="7">
        <f>IF($X59="","",V59-T59-M59)</f>
        <v/>
      </c>
      <c r="X59" s="16">
        <f>IF(ROWS($X$2:$X59)&lt;=MAX('Per Line'!$W$2:$W$1501),MATCH(ROWS($X$2:$X59),'Per Line'!$W$2:$W$1501,0),"")</f>
        <v/>
      </c>
      <c r="Y59">
        <f>IF($X59="","",C59&amp;"|"&amp;COUNTIF($C$2:$C59,C59))</f>
        <v/>
      </c>
    </row>
    <row r="60">
      <c r="A60" s="15" t="n"/>
      <c r="B60">
        <f>IF($X60="","",INDEX('Per Line'!$A$2:$A$1501,$X60)&amp;"")</f>
        <v/>
      </c>
      <c r="C60">
        <f>IF($X60="","",IF(OR(TRIM(H60)="",TRIM(H60)="All",TRIM(H60)="All Comp"),TRIM(J60),TRIM(H60)))</f>
        <v/>
      </c>
      <c r="D60">
        <f>IF($X60="","",INDEX('Per Line'!$B$2:$B$1501,$X60)&amp;"")</f>
        <v/>
      </c>
      <c r="E60">
        <f>IF($X60="","",INDEX('Per Line'!$C$2:$C$1501,$X60)&amp;"")</f>
        <v/>
      </c>
      <c r="F60">
        <f>IF($X60="","",INDEX('Per Line'!$D$2:$D$1501,$X60)&amp;"")</f>
        <v/>
      </c>
      <c r="G60" s="15" t="n"/>
      <c r="H60" s="15" t="n"/>
      <c r="I60" s="15" t="n"/>
      <c r="J60" s="15" t="n"/>
      <c r="K60" s="14">
        <f>IF($X60="","",INDEX('Per Line'!$R$2:$R$1501,$X60))</f>
        <v/>
      </c>
      <c r="L60">
        <f>IF($X60="","",INDEX('Per Line'!$E$2:$E$1501,$X60))</f>
        <v/>
      </c>
      <c r="M60" s="7">
        <f>IF($X60="","",L60*U60/100)</f>
        <v/>
      </c>
      <c r="N60">
        <f>IF($X60="","",IF(ISNUMBER(SEARCH("3&amp;12",SUBSTITUTE(J60," ",""))),Settings!$G$7,Settings!$C$7))</f>
        <v/>
      </c>
      <c r="O60" s="7">
        <f>IF($X60="","",SUMIFS('Per Line'!$N$2:$N$1501,'Per Line'!$A$2:$A$1501,$B60,'Per Line'!$X$2:$X$1501,0))</f>
        <v/>
      </c>
      <c r="P60" s="7">
        <f>IF($X60="","",O60*N60)</f>
        <v/>
      </c>
      <c r="Q60">
        <f>IF($X60="","",IF(ISNUMBER(SEARCH("3&amp;12",SUBSTITUTE(J60," ",""))),Settings!$G$6,Settings!$C$6))</f>
        <v/>
      </c>
      <c r="R60" s="7">
        <f>IF($X60="","",SUMIFS('Per Line'!$N$2:$N$1501,'Per Line'!$A$2:$A$1501,$B60,'Per Line'!$X$2:$X$1501,1))</f>
        <v/>
      </c>
      <c r="S60" s="7">
        <f>IF($X60="","",R60*Q60)</f>
        <v/>
      </c>
      <c r="T60" s="7">
        <f>IF($X60="","",S60+P60)</f>
        <v/>
      </c>
      <c r="U60" s="7">
        <f>IF($X60="","",V60-T60)</f>
        <v/>
      </c>
      <c r="V60" s="7">
        <f>IF($X60="","",O60+R60)</f>
        <v/>
      </c>
      <c r="W60" s="7">
        <f>IF($X60="","",V60-T60-M60)</f>
        <v/>
      </c>
      <c r="X60" s="16">
        <f>IF(ROWS($X$2:$X60)&lt;=MAX('Per Line'!$W$2:$W$1501),MATCH(ROWS($X$2:$X60),'Per Line'!$W$2:$W$1501,0),"")</f>
        <v/>
      </c>
      <c r="Y60">
        <f>IF($X60="","",C60&amp;"|"&amp;COUNTIF($C$2:$C60,C60))</f>
        <v/>
      </c>
    </row>
    <row r="61">
      <c r="A61" s="15" t="n"/>
      <c r="B61">
        <f>IF($X61="","",INDEX('Per Line'!$A$2:$A$1501,$X61)&amp;"")</f>
        <v/>
      </c>
      <c r="C61">
        <f>IF($X61="","",IF(OR(TRIM(H61)="",TRIM(H61)="All",TRIM(H61)="All Comp"),TRIM(J61),TRIM(H61)))</f>
        <v/>
      </c>
      <c r="D61">
        <f>IF($X61="","",INDEX('Per Line'!$B$2:$B$1501,$X61)&amp;"")</f>
        <v/>
      </c>
      <c r="E61">
        <f>IF($X61="","",INDEX('Per Line'!$C$2:$C$1501,$X61)&amp;"")</f>
        <v/>
      </c>
      <c r="F61">
        <f>IF($X61="","",INDEX('Per Line'!$D$2:$D$1501,$X61)&amp;"")</f>
        <v/>
      </c>
      <c r="G61" s="15" t="n"/>
      <c r="H61" s="15" t="n"/>
      <c r="I61" s="15" t="n"/>
      <c r="J61" s="15" t="n"/>
      <c r="K61" s="14">
        <f>IF($X61="","",INDEX('Per Line'!$R$2:$R$1501,$X61))</f>
        <v/>
      </c>
      <c r="L61">
        <f>IF($X61="","",INDEX('Per Line'!$E$2:$E$1501,$X61))</f>
        <v/>
      </c>
      <c r="M61" s="7">
        <f>IF($X61="","",L61*U61/100)</f>
        <v/>
      </c>
      <c r="N61">
        <f>IF($X61="","",IF(ISNUMBER(SEARCH("3&amp;12",SUBSTITUTE(J61," ",""))),Settings!$G$7,Settings!$C$7))</f>
        <v/>
      </c>
      <c r="O61" s="7">
        <f>IF($X61="","",SUMIFS('Per Line'!$N$2:$N$1501,'Per Line'!$A$2:$A$1501,$B61,'Per Line'!$X$2:$X$1501,0))</f>
        <v/>
      </c>
      <c r="P61" s="7">
        <f>IF($X61="","",O61*N61)</f>
        <v/>
      </c>
      <c r="Q61">
        <f>IF($X61="","",IF(ISNUMBER(SEARCH("3&amp;12",SUBSTITUTE(J61," ",""))),Settings!$G$6,Settings!$C$6))</f>
        <v/>
      </c>
      <c r="R61" s="7">
        <f>IF($X61="","",SUMIFS('Per Line'!$N$2:$N$1501,'Per Line'!$A$2:$A$1501,$B61,'Per Line'!$X$2:$X$1501,1))</f>
        <v/>
      </c>
      <c r="S61" s="7">
        <f>IF($X61="","",R61*Q61)</f>
        <v/>
      </c>
      <c r="T61" s="7">
        <f>IF($X61="","",S61+P61)</f>
        <v/>
      </c>
      <c r="U61" s="7">
        <f>IF($X61="","",V61-T61)</f>
        <v/>
      </c>
      <c r="V61" s="7">
        <f>IF($X61="","",O61+R61)</f>
        <v/>
      </c>
      <c r="W61" s="7">
        <f>IF($X61="","",V61-T61-M61)</f>
        <v/>
      </c>
      <c r="X61" s="16">
        <f>IF(ROWS($X$2:$X61)&lt;=MAX('Per Line'!$W$2:$W$1501),MATCH(ROWS($X$2:$X61),'Per Line'!$W$2:$W$1501,0),"")</f>
        <v/>
      </c>
      <c r="Y61">
        <f>IF($X61="","",C61&amp;"|"&amp;COUNTIF($C$2:$C61,C61))</f>
        <v/>
      </c>
    </row>
    <row r="62">
      <c r="A62" s="15" t="n"/>
      <c r="B62">
        <f>IF($X62="","",INDEX('Per Line'!$A$2:$A$1501,$X62)&amp;"")</f>
        <v/>
      </c>
      <c r="C62">
        <f>IF($X62="","",IF(OR(TRIM(H62)="",TRIM(H62)="All",TRIM(H62)="All Comp"),TRIM(J62),TRIM(H62)))</f>
        <v/>
      </c>
      <c r="D62">
        <f>IF($X62="","",INDEX('Per Line'!$B$2:$B$1501,$X62)&amp;"")</f>
        <v/>
      </c>
      <c r="E62">
        <f>IF($X62="","",INDEX('Per Line'!$C$2:$C$1501,$X62)&amp;"")</f>
        <v/>
      </c>
      <c r="F62">
        <f>IF($X62="","",INDEX('Per Line'!$D$2:$D$1501,$X62)&amp;"")</f>
        <v/>
      </c>
      <c r="G62" s="15" t="n"/>
      <c r="H62" s="15" t="n"/>
      <c r="I62" s="15" t="n"/>
      <c r="J62" s="15" t="n"/>
      <c r="K62" s="14">
        <f>IF($X62="","",INDEX('Per Line'!$R$2:$R$1501,$X62))</f>
        <v/>
      </c>
      <c r="L62">
        <f>IF($X62="","",INDEX('Per Line'!$E$2:$E$1501,$X62))</f>
        <v/>
      </c>
      <c r="M62" s="7">
        <f>IF($X62="","",L62*U62/100)</f>
        <v/>
      </c>
      <c r="N62">
        <f>IF($X62="","",IF(ISNUMBER(SEARCH("3&amp;12",SUBSTITUTE(J62," ",""))),Settings!$G$7,Settings!$C$7))</f>
        <v/>
      </c>
      <c r="O62" s="7">
        <f>IF($X62="","",SUMIFS('Per Line'!$N$2:$N$1501,'Per Line'!$A$2:$A$1501,$B62,'Per Line'!$X$2:$X$1501,0))</f>
        <v/>
      </c>
      <c r="P62" s="7">
        <f>IF($X62="","",O62*N62)</f>
        <v/>
      </c>
      <c r="Q62">
        <f>IF($X62="","",IF(ISNUMBER(SEARCH("3&amp;12",SUBSTITUTE(J62," ",""))),Settings!$G$6,Settings!$C$6))</f>
        <v/>
      </c>
      <c r="R62" s="7">
        <f>IF($X62="","",SUMIFS('Per Line'!$N$2:$N$1501,'Per Line'!$A$2:$A$1501,$B62,'Per Line'!$X$2:$X$1501,1))</f>
        <v/>
      </c>
      <c r="S62" s="7">
        <f>IF($X62="","",R62*Q62)</f>
        <v/>
      </c>
      <c r="T62" s="7">
        <f>IF($X62="","",S62+P62)</f>
        <v/>
      </c>
      <c r="U62" s="7">
        <f>IF($X62="","",V62-T62)</f>
        <v/>
      </c>
      <c r="V62" s="7">
        <f>IF($X62="","",O62+R62)</f>
        <v/>
      </c>
      <c r="W62" s="7">
        <f>IF($X62="","",V62-T62-M62)</f>
        <v/>
      </c>
      <c r="X62" s="16">
        <f>IF(ROWS($X$2:$X62)&lt;=MAX('Per Line'!$W$2:$W$1501),MATCH(ROWS($X$2:$X62),'Per Line'!$W$2:$W$1501,0),"")</f>
        <v/>
      </c>
      <c r="Y62">
        <f>IF($X62="","",C62&amp;"|"&amp;COUNTIF($C$2:$C62,C62))</f>
        <v/>
      </c>
    </row>
    <row r="63">
      <c r="A63" s="15" t="n"/>
      <c r="B63">
        <f>IF($X63="","",INDEX('Per Line'!$A$2:$A$1501,$X63)&amp;"")</f>
        <v/>
      </c>
      <c r="C63">
        <f>IF($X63="","",IF(OR(TRIM(H63)="",TRIM(H63)="All",TRIM(H63)="All Comp"),TRIM(J63),TRIM(H63)))</f>
        <v/>
      </c>
      <c r="D63">
        <f>IF($X63="","",INDEX('Per Line'!$B$2:$B$1501,$X63)&amp;"")</f>
        <v/>
      </c>
      <c r="E63">
        <f>IF($X63="","",INDEX('Per Line'!$C$2:$C$1501,$X63)&amp;"")</f>
        <v/>
      </c>
      <c r="F63">
        <f>IF($X63="","",INDEX('Per Line'!$D$2:$D$1501,$X63)&amp;"")</f>
        <v/>
      </c>
      <c r="G63" s="15" t="n"/>
      <c r="H63" s="15" t="n"/>
      <c r="I63" s="15" t="n"/>
      <c r="J63" s="15" t="n"/>
      <c r="K63" s="14">
        <f>IF($X63="","",INDEX('Per Line'!$R$2:$R$1501,$X63))</f>
        <v/>
      </c>
      <c r="L63">
        <f>IF($X63="","",INDEX('Per Line'!$E$2:$E$1501,$X63))</f>
        <v/>
      </c>
      <c r="M63" s="7">
        <f>IF($X63="","",L63*U63/100)</f>
        <v/>
      </c>
      <c r="N63">
        <f>IF($X63="","",IF(ISNUMBER(SEARCH("3&amp;12",SUBSTITUTE(J63," ",""))),Settings!$G$7,Settings!$C$7))</f>
        <v/>
      </c>
      <c r="O63" s="7">
        <f>IF($X63="","",SUMIFS('Per Line'!$N$2:$N$1501,'Per Line'!$A$2:$A$1501,$B63,'Per Line'!$X$2:$X$1501,0))</f>
        <v/>
      </c>
      <c r="P63" s="7">
        <f>IF($X63="","",O63*N63)</f>
        <v/>
      </c>
      <c r="Q63">
        <f>IF($X63="","",IF(ISNUMBER(SEARCH("3&amp;12",SUBSTITUTE(J63," ",""))),Settings!$G$6,Settings!$C$6))</f>
        <v/>
      </c>
      <c r="R63" s="7">
        <f>IF($X63="","",SUMIFS('Per Line'!$N$2:$N$1501,'Per Line'!$A$2:$A$1501,$B63,'Per Line'!$X$2:$X$1501,1))</f>
        <v/>
      </c>
      <c r="S63" s="7">
        <f>IF($X63="","",R63*Q63)</f>
        <v/>
      </c>
      <c r="T63" s="7">
        <f>IF($X63="","",S63+P63)</f>
        <v/>
      </c>
      <c r="U63" s="7">
        <f>IF($X63="","",V63-T63)</f>
        <v/>
      </c>
      <c r="V63" s="7">
        <f>IF($X63="","",O63+R63)</f>
        <v/>
      </c>
      <c r="W63" s="7">
        <f>IF($X63="","",V63-T63-M63)</f>
        <v/>
      </c>
      <c r="X63" s="16">
        <f>IF(ROWS($X$2:$X63)&lt;=MAX('Per Line'!$W$2:$W$1501),MATCH(ROWS($X$2:$X63),'Per Line'!$W$2:$W$1501,0),"")</f>
        <v/>
      </c>
      <c r="Y63">
        <f>IF($X63="","",C63&amp;"|"&amp;COUNTIF($C$2:$C63,C63))</f>
        <v/>
      </c>
    </row>
    <row r="64">
      <c r="A64" s="15" t="n"/>
      <c r="B64">
        <f>IF($X64="","",INDEX('Per Line'!$A$2:$A$1501,$X64)&amp;"")</f>
        <v/>
      </c>
      <c r="C64">
        <f>IF($X64="","",IF(OR(TRIM(H64)="",TRIM(H64)="All",TRIM(H64)="All Comp"),TRIM(J64),TRIM(H64)))</f>
        <v/>
      </c>
      <c r="D64">
        <f>IF($X64="","",INDEX('Per Line'!$B$2:$B$1501,$X64)&amp;"")</f>
        <v/>
      </c>
      <c r="E64">
        <f>IF($X64="","",INDEX('Per Line'!$C$2:$C$1501,$X64)&amp;"")</f>
        <v/>
      </c>
      <c r="F64">
        <f>IF($X64="","",INDEX('Per Line'!$D$2:$D$1501,$X64)&amp;"")</f>
        <v/>
      </c>
      <c r="G64" s="15" t="n"/>
      <c r="H64" s="15" t="n"/>
      <c r="I64" s="15" t="n"/>
      <c r="J64" s="15" t="n"/>
      <c r="K64" s="14">
        <f>IF($X64="","",INDEX('Per Line'!$R$2:$R$1501,$X64))</f>
        <v/>
      </c>
      <c r="L64">
        <f>IF($X64="","",INDEX('Per Line'!$E$2:$E$1501,$X64))</f>
        <v/>
      </c>
      <c r="M64" s="7">
        <f>IF($X64="","",L64*U64/100)</f>
        <v/>
      </c>
      <c r="N64">
        <f>IF($X64="","",IF(ISNUMBER(SEARCH("3&amp;12",SUBSTITUTE(J64," ",""))),Settings!$G$7,Settings!$C$7))</f>
        <v/>
      </c>
      <c r="O64" s="7">
        <f>IF($X64="","",SUMIFS('Per Line'!$N$2:$N$1501,'Per Line'!$A$2:$A$1501,$B64,'Per Line'!$X$2:$X$1501,0))</f>
        <v/>
      </c>
      <c r="P64" s="7">
        <f>IF($X64="","",O64*N64)</f>
        <v/>
      </c>
      <c r="Q64">
        <f>IF($X64="","",IF(ISNUMBER(SEARCH("3&amp;12",SUBSTITUTE(J64," ",""))),Settings!$G$6,Settings!$C$6))</f>
        <v/>
      </c>
      <c r="R64" s="7">
        <f>IF($X64="","",SUMIFS('Per Line'!$N$2:$N$1501,'Per Line'!$A$2:$A$1501,$B64,'Per Line'!$X$2:$X$1501,1))</f>
        <v/>
      </c>
      <c r="S64" s="7">
        <f>IF($X64="","",R64*Q64)</f>
        <v/>
      </c>
      <c r="T64" s="7">
        <f>IF($X64="","",S64+P64)</f>
        <v/>
      </c>
      <c r="U64" s="7">
        <f>IF($X64="","",V64-T64)</f>
        <v/>
      </c>
      <c r="V64" s="7">
        <f>IF($X64="","",O64+R64)</f>
        <v/>
      </c>
      <c r="W64" s="7">
        <f>IF($X64="","",V64-T64-M64)</f>
        <v/>
      </c>
      <c r="X64" s="16">
        <f>IF(ROWS($X$2:$X64)&lt;=MAX('Per Line'!$W$2:$W$1501),MATCH(ROWS($X$2:$X64),'Per Line'!$W$2:$W$1501,0),"")</f>
        <v/>
      </c>
      <c r="Y64">
        <f>IF($X64="","",C64&amp;"|"&amp;COUNTIF($C$2:$C64,C64))</f>
        <v/>
      </c>
    </row>
    <row r="65">
      <c r="A65" s="15" t="n"/>
      <c r="B65">
        <f>IF($X65="","",INDEX('Per Line'!$A$2:$A$1501,$X65)&amp;"")</f>
        <v/>
      </c>
      <c r="C65">
        <f>IF($X65="","",IF(OR(TRIM(H65)="",TRIM(H65)="All",TRIM(H65)="All Comp"),TRIM(J65),TRIM(H65)))</f>
        <v/>
      </c>
      <c r="D65">
        <f>IF($X65="","",INDEX('Per Line'!$B$2:$B$1501,$X65)&amp;"")</f>
        <v/>
      </c>
      <c r="E65">
        <f>IF($X65="","",INDEX('Per Line'!$C$2:$C$1501,$X65)&amp;"")</f>
        <v/>
      </c>
      <c r="F65">
        <f>IF($X65="","",INDEX('Per Line'!$D$2:$D$1501,$X65)&amp;"")</f>
        <v/>
      </c>
      <c r="G65" s="15" t="n"/>
      <c r="H65" s="15" t="n"/>
      <c r="I65" s="15" t="n"/>
      <c r="J65" s="15" t="n"/>
      <c r="K65" s="14">
        <f>IF($X65="","",INDEX('Per Line'!$R$2:$R$1501,$X65))</f>
        <v/>
      </c>
      <c r="L65">
        <f>IF($X65="","",INDEX('Per Line'!$E$2:$E$1501,$X65))</f>
        <v/>
      </c>
      <c r="M65" s="7">
        <f>IF($X65="","",L65*U65/100)</f>
        <v/>
      </c>
      <c r="N65">
        <f>IF($X65="","",IF(ISNUMBER(SEARCH("3&amp;12",SUBSTITUTE(J65," ",""))),Settings!$G$7,Settings!$C$7))</f>
        <v/>
      </c>
      <c r="O65" s="7">
        <f>IF($X65="","",SUMIFS('Per Line'!$N$2:$N$1501,'Per Line'!$A$2:$A$1501,$B65,'Per Line'!$X$2:$X$1501,0))</f>
        <v/>
      </c>
      <c r="P65" s="7">
        <f>IF($X65="","",O65*N65)</f>
        <v/>
      </c>
      <c r="Q65">
        <f>IF($X65="","",IF(ISNUMBER(SEARCH("3&amp;12",SUBSTITUTE(J65," ",""))),Settings!$G$6,Settings!$C$6))</f>
        <v/>
      </c>
      <c r="R65" s="7">
        <f>IF($X65="","",SUMIFS('Per Line'!$N$2:$N$1501,'Per Line'!$A$2:$A$1501,$B65,'Per Line'!$X$2:$X$1501,1))</f>
        <v/>
      </c>
      <c r="S65" s="7">
        <f>IF($X65="","",R65*Q65)</f>
        <v/>
      </c>
      <c r="T65" s="7">
        <f>IF($X65="","",S65+P65)</f>
        <v/>
      </c>
      <c r="U65" s="7">
        <f>IF($X65="","",V65-T65)</f>
        <v/>
      </c>
      <c r="V65" s="7">
        <f>IF($X65="","",O65+R65)</f>
        <v/>
      </c>
      <c r="W65" s="7">
        <f>IF($X65="","",V65-T65-M65)</f>
        <v/>
      </c>
      <c r="X65" s="16">
        <f>IF(ROWS($X$2:$X65)&lt;=MAX('Per Line'!$W$2:$W$1501),MATCH(ROWS($X$2:$X65),'Per Line'!$W$2:$W$1501,0),"")</f>
        <v/>
      </c>
      <c r="Y65">
        <f>IF($X65="","",C65&amp;"|"&amp;COUNTIF($C$2:$C65,C65))</f>
        <v/>
      </c>
    </row>
    <row r="66">
      <c r="A66" s="15" t="n"/>
      <c r="B66">
        <f>IF($X66="","",INDEX('Per Line'!$A$2:$A$1501,$X66)&amp;"")</f>
        <v/>
      </c>
      <c r="C66">
        <f>IF($X66="","",IF(OR(TRIM(H66)="",TRIM(H66)="All",TRIM(H66)="All Comp"),TRIM(J66),TRIM(H66)))</f>
        <v/>
      </c>
      <c r="D66">
        <f>IF($X66="","",INDEX('Per Line'!$B$2:$B$1501,$X66)&amp;"")</f>
        <v/>
      </c>
      <c r="E66">
        <f>IF($X66="","",INDEX('Per Line'!$C$2:$C$1501,$X66)&amp;"")</f>
        <v/>
      </c>
      <c r="F66">
        <f>IF($X66="","",INDEX('Per Line'!$D$2:$D$1501,$X66)&amp;"")</f>
        <v/>
      </c>
      <c r="G66" s="15" t="n"/>
      <c r="H66" s="15" t="n"/>
      <c r="I66" s="15" t="n"/>
      <c r="J66" s="15" t="n"/>
      <c r="K66" s="14">
        <f>IF($X66="","",INDEX('Per Line'!$R$2:$R$1501,$X66))</f>
        <v/>
      </c>
      <c r="L66">
        <f>IF($X66="","",INDEX('Per Line'!$E$2:$E$1501,$X66))</f>
        <v/>
      </c>
      <c r="M66" s="7">
        <f>IF($X66="","",L66*U66/100)</f>
        <v/>
      </c>
      <c r="N66">
        <f>IF($X66="","",IF(ISNUMBER(SEARCH("3&amp;12",SUBSTITUTE(J66," ",""))),Settings!$G$7,Settings!$C$7))</f>
        <v/>
      </c>
      <c r="O66" s="7">
        <f>IF($X66="","",SUMIFS('Per Line'!$N$2:$N$1501,'Per Line'!$A$2:$A$1501,$B66,'Per Line'!$X$2:$X$1501,0))</f>
        <v/>
      </c>
      <c r="P66" s="7">
        <f>IF($X66="","",O66*N66)</f>
        <v/>
      </c>
      <c r="Q66">
        <f>IF($X66="","",IF(ISNUMBER(SEARCH("3&amp;12",SUBSTITUTE(J66," ",""))),Settings!$G$6,Settings!$C$6))</f>
        <v/>
      </c>
      <c r="R66" s="7">
        <f>IF($X66="","",SUMIFS('Per Line'!$N$2:$N$1501,'Per Line'!$A$2:$A$1501,$B66,'Per Line'!$X$2:$X$1501,1))</f>
        <v/>
      </c>
      <c r="S66" s="7">
        <f>IF($X66="","",R66*Q66)</f>
        <v/>
      </c>
      <c r="T66" s="7">
        <f>IF($X66="","",S66+P66)</f>
        <v/>
      </c>
      <c r="U66" s="7">
        <f>IF($X66="","",V66-T66)</f>
        <v/>
      </c>
      <c r="V66" s="7">
        <f>IF($X66="","",O66+R66)</f>
        <v/>
      </c>
      <c r="W66" s="7">
        <f>IF($X66="","",V66-T66-M66)</f>
        <v/>
      </c>
      <c r="X66" s="16">
        <f>IF(ROWS($X$2:$X66)&lt;=MAX('Per Line'!$W$2:$W$1501),MATCH(ROWS($X$2:$X66),'Per Line'!$W$2:$W$1501,0),"")</f>
        <v/>
      </c>
      <c r="Y66">
        <f>IF($X66="","",C66&amp;"|"&amp;COUNTIF($C$2:$C66,C66))</f>
        <v/>
      </c>
    </row>
    <row r="67">
      <c r="A67" s="15" t="n"/>
      <c r="B67">
        <f>IF($X67="","",INDEX('Per Line'!$A$2:$A$1501,$X67)&amp;"")</f>
        <v/>
      </c>
      <c r="C67">
        <f>IF($X67="","",IF(OR(TRIM(H67)="",TRIM(H67)="All",TRIM(H67)="All Comp"),TRIM(J67),TRIM(H67)))</f>
        <v/>
      </c>
      <c r="D67">
        <f>IF($X67="","",INDEX('Per Line'!$B$2:$B$1501,$X67)&amp;"")</f>
        <v/>
      </c>
      <c r="E67">
        <f>IF($X67="","",INDEX('Per Line'!$C$2:$C$1501,$X67)&amp;"")</f>
        <v/>
      </c>
      <c r="F67">
        <f>IF($X67="","",INDEX('Per Line'!$D$2:$D$1501,$X67)&amp;"")</f>
        <v/>
      </c>
      <c r="G67" s="15" t="n"/>
      <c r="H67" s="15" t="n"/>
      <c r="I67" s="15" t="n"/>
      <c r="J67" s="15" t="n"/>
      <c r="K67" s="14">
        <f>IF($X67="","",INDEX('Per Line'!$R$2:$R$1501,$X67))</f>
        <v/>
      </c>
      <c r="L67">
        <f>IF($X67="","",INDEX('Per Line'!$E$2:$E$1501,$X67))</f>
        <v/>
      </c>
      <c r="M67" s="7">
        <f>IF($X67="","",L67*U67/100)</f>
        <v/>
      </c>
      <c r="N67">
        <f>IF($X67="","",IF(ISNUMBER(SEARCH("3&amp;12",SUBSTITUTE(J67," ",""))),Settings!$G$7,Settings!$C$7))</f>
        <v/>
      </c>
      <c r="O67" s="7">
        <f>IF($X67="","",SUMIFS('Per Line'!$N$2:$N$1501,'Per Line'!$A$2:$A$1501,$B67,'Per Line'!$X$2:$X$1501,0))</f>
        <v/>
      </c>
      <c r="P67" s="7">
        <f>IF($X67="","",O67*N67)</f>
        <v/>
      </c>
      <c r="Q67">
        <f>IF($X67="","",IF(ISNUMBER(SEARCH("3&amp;12",SUBSTITUTE(J67," ",""))),Settings!$G$6,Settings!$C$6))</f>
        <v/>
      </c>
      <c r="R67" s="7">
        <f>IF($X67="","",SUMIFS('Per Line'!$N$2:$N$1501,'Per Line'!$A$2:$A$1501,$B67,'Per Line'!$X$2:$X$1501,1))</f>
        <v/>
      </c>
      <c r="S67" s="7">
        <f>IF($X67="","",R67*Q67)</f>
        <v/>
      </c>
      <c r="T67" s="7">
        <f>IF($X67="","",S67+P67)</f>
        <v/>
      </c>
      <c r="U67" s="7">
        <f>IF($X67="","",V67-T67)</f>
        <v/>
      </c>
      <c r="V67" s="7">
        <f>IF($X67="","",O67+R67)</f>
        <v/>
      </c>
      <c r="W67" s="7">
        <f>IF($X67="","",V67-T67-M67)</f>
        <v/>
      </c>
      <c r="X67" s="16">
        <f>IF(ROWS($X$2:$X67)&lt;=MAX('Per Line'!$W$2:$W$1501),MATCH(ROWS($X$2:$X67),'Per Line'!$W$2:$W$1501,0),"")</f>
        <v/>
      </c>
      <c r="Y67">
        <f>IF($X67="","",C67&amp;"|"&amp;COUNTIF($C$2:$C67,C67))</f>
        <v/>
      </c>
    </row>
    <row r="68">
      <c r="A68" s="15" t="n"/>
      <c r="B68">
        <f>IF($X68="","",INDEX('Per Line'!$A$2:$A$1501,$X68)&amp;"")</f>
        <v/>
      </c>
      <c r="C68">
        <f>IF($X68="","",IF(OR(TRIM(H68)="",TRIM(H68)="All",TRIM(H68)="All Comp"),TRIM(J68),TRIM(H68)))</f>
        <v/>
      </c>
      <c r="D68">
        <f>IF($X68="","",INDEX('Per Line'!$B$2:$B$1501,$X68)&amp;"")</f>
        <v/>
      </c>
      <c r="E68">
        <f>IF($X68="","",INDEX('Per Line'!$C$2:$C$1501,$X68)&amp;"")</f>
        <v/>
      </c>
      <c r="F68">
        <f>IF($X68="","",INDEX('Per Line'!$D$2:$D$1501,$X68)&amp;"")</f>
        <v/>
      </c>
      <c r="G68" s="15" t="n"/>
      <c r="H68" s="15" t="n"/>
      <c r="I68" s="15" t="n"/>
      <c r="J68" s="15" t="n"/>
      <c r="K68" s="14">
        <f>IF($X68="","",INDEX('Per Line'!$R$2:$R$1501,$X68))</f>
        <v/>
      </c>
      <c r="L68">
        <f>IF($X68="","",INDEX('Per Line'!$E$2:$E$1501,$X68))</f>
        <v/>
      </c>
      <c r="M68" s="7">
        <f>IF($X68="","",L68*U68/100)</f>
        <v/>
      </c>
      <c r="N68">
        <f>IF($X68="","",IF(ISNUMBER(SEARCH("3&amp;12",SUBSTITUTE(J68," ",""))),Settings!$G$7,Settings!$C$7))</f>
        <v/>
      </c>
      <c r="O68" s="7">
        <f>IF($X68="","",SUMIFS('Per Line'!$N$2:$N$1501,'Per Line'!$A$2:$A$1501,$B68,'Per Line'!$X$2:$X$1501,0))</f>
        <v/>
      </c>
      <c r="P68" s="7">
        <f>IF($X68="","",O68*N68)</f>
        <v/>
      </c>
      <c r="Q68">
        <f>IF($X68="","",IF(ISNUMBER(SEARCH("3&amp;12",SUBSTITUTE(J68," ",""))),Settings!$G$6,Settings!$C$6))</f>
        <v/>
      </c>
      <c r="R68" s="7">
        <f>IF($X68="","",SUMIFS('Per Line'!$N$2:$N$1501,'Per Line'!$A$2:$A$1501,$B68,'Per Line'!$X$2:$X$1501,1))</f>
        <v/>
      </c>
      <c r="S68" s="7">
        <f>IF($X68="","",R68*Q68)</f>
        <v/>
      </c>
      <c r="T68" s="7">
        <f>IF($X68="","",S68+P68)</f>
        <v/>
      </c>
      <c r="U68" s="7">
        <f>IF($X68="","",V68-T68)</f>
        <v/>
      </c>
      <c r="V68" s="7">
        <f>IF($X68="","",O68+R68)</f>
        <v/>
      </c>
      <c r="W68" s="7">
        <f>IF($X68="","",V68-T68-M68)</f>
        <v/>
      </c>
      <c r="X68" s="16">
        <f>IF(ROWS($X$2:$X68)&lt;=MAX('Per Line'!$W$2:$W$1501),MATCH(ROWS($X$2:$X68),'Per Line'!$W$2:$W$1501,0),"")</f>
        <v/>
      </c>
      <c r="Y68">
        <f>IF($X68="","",C68&amp;"|"&amp;COUNTIF($C$2:$C68,C68))</f>
        <v/>
      </c>
    </row>
    <row r="69">
      <c r="A69" s="15" t="n"/>
      <c r="B69">
        <f>IF($X69="","",INDEX('Per Line'!$A$2:$A$1501,$X69)&amp;"")</f>
        <v/>
      </c>
      <c r="C69">
        <f>IF($X69="","",IF(OR(TRIM(H69)="",TRIM(H69)="All",TRIM(H69)="All Comp"),TRIM(J69),TRIM(H69)))</f>
        <v/>
      </c>
      <c r="D69">
        <f>IF($X69="","",INDEX('Per Line'!$B$2:$B$1501,$X69)&amp;"")</f>
        <v/>
      </c>
      <c r="E69">
        <f>IF($X69="","",INDEX('Per Line'!$C$2:$C$1501,$X69)&amp;"")</f>
        <v/>
      </c>
      <c r="F69">
        <f>IF($X69="","",INDEX('Per Line'!$D$2:$D$1501,$X69)&amp;"")</f>
        <v/>
      </c>
      <c r="G69" s="15" t="n"/>
      <c r="H69" s="15" t="n"/>
      <c r="I69" s="15" t="n"/>
      <c r="J69" s="15" t="n"/>
      <c r="K69" s="14">
        <f>IF($X69="","",INDEX('Per Line'!$R$2:$R$1501,$X69))</f>
        <v/>
      </c>
      <c r="L69">
        <f>IF($X69="","",INDEX('Per Line'!$E$2:$E$1501,$X69))</f>
        <v/>
      </c>
      <c r="M69" s="7">
        <f>IF($X69="","",L69*U69/100)</f>
        <v/>
      </c>
      <c r="N69">
        <f>IF($X69="","",IF(ISNUMBER(SEARCH("3&amp;12",SUBSTITUTE(J69," ",""))),Settings!$G$7,Settings!$C$7))</f>
        <v/>
      </c>
      <c r="O69" s="7">
        <f>IF($X69="","",SUMIFS('Per Line'!$N$2:$N$1501,'Per Line'!$A$2:$A$1501,$B69,'Per Line'!$X$2:$X$1501,0))</f>
        <v/>
      </c>
      <c r="P69" s="7">
        <f>IF($X69="","",O69*N69)</f>
        <v/>
      </c>
      <c r="Q69">
        <f>IF($X69="","",IF(ISNUMBER(SEARCH("3&amp;12",SUBSTITUTE(J69," ",""))),Settings!$G$6,Settings!$C$6))</f>
        <v/>
      </c>
      <c r="R69" s="7">
        <f>IF($X69="","",SUMIFS('Per Line'!$N$2:$N$1501,'Per Line'!$A$2:$A$1501,$B69,'Per Line'!$X$2:$X$1501,1))</f>
        <v/>
      </c>
      <c r="S69" s="7">
        <f>IF($X69="","",R69*Q69)</f>
        <v/>
      </c>
      <c r="T69" s="7">
        <f>IF($X69="","",S69+P69)</f>
        <v/>
      </c>
      <c r="U69" s="7">
        <f>IF($X69="","",V69-T69)</f>
        <v/>
      </c>
      <c r="V69" s="7">
        <f>IF($X69="","",O69+R69)</f>
        <v/>
      </c>
      <c r="W69" s="7">
        <f>IF($X69="","",V69-T69-M69)</f>
        <v/>
      </c>
      <c r="X69" s="16">
        <f>IF(ROWS($X$2:$X69)&lt;=MAX('Per Line'!$W$2:$W$1501),MATCH(ROWS($X$2:$X69),'Per Line'!$W$2:$W$1501,0),"")</f>
        <v/>
      </c>
      <c r="Y69">
        <f>IF($X69="","",C69&amp;"|"&amp;COUNTIF($C$2:$C69,C69))</f>
        <v/>
      </c>
    </row>
    <row r="70">
      <c r="A70" s="15" t="n"/>
      <c r="B70">
        <f>IF($X70="","",INDEX('Per Line'!$A$2:$A$1501,$X70)&amp;"")</f>
        <v/>
      </c>
      <c r="C70">
        <f>IF($X70="","",IF(OR(TRIM(H70)="",TRIM(H70)="All",TRIM(H70)="All Comp"),TRIM(J70),TRIM(H70)))</f>
        <v/>
      </c>
      <c r="D70">
        <f>IF($X70="","",INDEX('Per Line'!$B$2:$B$1501,$X70)&amp;"")</f>
        <v/>
      </c>
      <c r="E70">
        <f>IF($X70="","",INDEX('Per Line'!$C$2:$C$1501,$X70)&amp;"")</f>
        <v/>
      </c>
      <c r="F70">
        <f>IF($X70="","",INDEX('Per Line'!$D$2:$D$1501,$X70)&amp;"")</f>
        <v/>
      </c>
      <c r="G70" s="15" t="n"/>
      <c r="H70" s="15" t="n"/>
      <c r="I70" s="15" t="n"/>
      <c r="J70" s="15" t="n"/>
      <c r="K70" s="14">
        <f>IF($X70="","",INDEX('Per Line'!$R$2:$R$1501,$X70))</f>
        <v/>
      </c>
      <c r="L70">
        <f>IF($X70="","",INDEX('Per Line'!$E$2:$E$1501,$X70))</f>
        <v/>
      </c>
      <c r="M70" s="7">
        <f>IF($X70="","",L70*U70/100)</f>
        <v/>
      </c>
      <c r="N70">
        <f>IF($X70="","",IF(ISNUMBER(SEARCH("3&amp;12",SUBSTITUTE(J70," ",""))),Settings!$G$7,Settings!$C$7))</f>
        <v/>
      </c>
      <c r="O70" s="7">
        <f>IF($X70="","",SUMIFS('Per Line'!$N$2:$N$1501,'Per Line'!$A$2:$A$1501,$B70,'Per Line'!$X$2:$X$1501,0))</f>
        <v/>
      </c>
      <c r="P70" s="7">
        <f>IF($X70="","",O70*N70)</f>
        <v/>
      </c>
      <c r="Q70">
        <f>IF($X70="","",IF(ISNUMBER(SEARCH("3&amp;12",SUBSTITUTE(J70," ",""))),Settings!$G$6,Settings!$C$6))</f>
        <v/>
      </c>
      <c r="R70" s="7">
        <f>IF($X70="","",SUMIFS('Per Line'!$N$2:$N$1501,'Per Line'!$A$2:$A$1501,$B70,'Per Line'!$X$2:$X$1501,1))</f>
        <v/>
      </c>
      <c r="S70" s="7">
        <f>IF($X70="","",R70*Q70)</f>
        <v/>
      </c>
      <c r="T70" s="7">
        <f>IF($X70="","",S70+P70)</f>
        <v/>
      </c>
      <c r="U70" s="7">
        <f>IF($X70="","",V70-T70)</f>
        <v/>
      </c>
      <c r="V70" s="7">
        <f>IF($X70="","",O70+R70)</f>
        <v/>
      </c>
      <c r="W70" s="7">
        <f>IF($X70="","",V70-T70-M70)</f>
        <v/>
      </c>
      <c r="X70" s="16">
        <f>IF(ROWS($X$2:$X70)&lt;=MAX('Per Line'!$W$2:$W$1501),MATCH(ROWS($X$2:$X70),'Per Line'!$W$2:$W$1501,0),"")</f>
        <v/>
      </c>
      <c r="Y70">
        <f>IF($X70="","",C70&amp;"|"&amp;COUNTIF($C$2:$C70,C70))</f>
        <v/>
      </c>
    </row>
    <row r="71">
      <c r="A71" s="15" t="n"/>
      <c r="B71">
        <f>IF($X71="","",INDEX('Per Line'!$A$2:$A$1501,$X71)&amp;"")</f>
        <v/>
      </c>
      <c r="C71">
        <f>IF($X71="","",IF(OR(TRIM(H71)="",TRIM(H71)="All",TRIM(H71)="All Comp"),TRIM(J71),TRIM(H71)))</f>
        <v/>
      </c>
      <c r="D71">
        <f>IF($X71="","",INDEX('Per Line'!$B$2:$B$1501,$X71)&amp;"")</f>
        <v/>
      </c>
      <c r="E71">
        <f>IF($X71="","",INDEX('Per Line'!$C$2:$C$1501,$X71)&amp;"")</f>
        <v/>
      </c>
      <c r="F71">
        <f>IF($X71="","",INDEX('Per Line'!$D$2:$D$1501,$X71)&amp;"")</f>
        <v/>
      </c>
      <c r="G71" s="15" t="n"/>
      <c r="H71" s="15" t="n"/>
      <c r="I71" s="15" t="n"/>
      <c r="J71" s="15" t="n"/>
      <c r="K71" s="14">
        <f>IF($X71="","",INDEX('Per Line'!$R$2:$R$1501,$X71))</f>
        <v/>
      </c>
      <c r="L71">
        <f>IF($X71="","",INDEX('Per Line'!$E$2:$E$1501,$X71))</f>
        <v/>
      </c>
      <c r="M71" s="7">
        <f>IF($X71="","",L71*U71/100)</f>
        <v/>
      </c>
      <c r="N71">
        <f>IF($X71="","",IF(ISNUMBER(SEARCH("3&amp;12",SUBSTITUTE(J71," ",""))),Settings!$G$7,Settings!$C$7))</f>
        <v/>
      </c>
      <c r="O71" s="7">
        <f>IF($X71="","",SUMIFS('Per Line'!$N$2:$N$1501,'Per Line'!$A$2:$A$1501,$B71,'Per Line'!$X$2:$X$1501,0))</f>
        <v/>
      </c>
      <c r="P71" s="7">
        <f>IF($X71="","",O71*N71)</f>
        <v/>
      </c>
      <c r="Q71">
        <f>IF($X71="","",IF(ISNUMBER(SEARCH("3&amp;12",SUBSTITUTE(J71," ",""))),Settings!$G$6,Settings!$C$6))</f>
        <v/>
      </c>
      <c r="R71" s="7">
        <f>IF($X71="","",SUMIFS('Per Line'!$N$2:$N$1501,'Per Line'!$A$2:$A$1501,$B71,'Per Line'!$X$2:$X$1501,1))</f>
        <v/>
      </c>
      <c r="S71" s="7">
        <f>IF($X71="","",R71*Q71)</f>
        <v/>
      </c>
      <c r="T71" s="7">
        <f>IF($X71="","",S71+P71)</f>
        <v/>
      </c>
      <c r="U71" s="7">
        <f>IF($X71="","",V71-T71)</f>
        <v/>
      </c>
      <c r="V71" s="7">
        <f>IF($X71="","",O71+R71)</f>
        <v/>
      </c>
      <c r="W71" s="7">
        <f>IF($X71="","",V71-T71-M71)</f>
        <v/>
      </c>
      <c r="X71" s="16">
        <f>IF(ROWS($X$2:$X71)&lt;=MAX('Per Line'!$W$2:$W$1501),MATCH(ROWS($X$2:$X71),'Per Line'!$W$2:$W$1501,0),"")</f>
        <v/>
      </c>
      <c r="Y71">
        <f>IF($X71="","",C71&amp;"|"&amp;COUNTIF($C$2:$C71,C71))</f>
        <v/>
      </c>
    </row>
    <row r="72">
      <c r="A72" s="15" t="n"/>
      <c r="B72">
        <f>IF($X72="","",INDEX('Per Line'!$A$2:$A$1501,$X72)&amp;"")</f>
        <v/>
      </c>
      <c r="C72">
        <f>IF($X72="","",IF(OR(TRIM(H72)="",TRIM(H72)="All",TRIM(H72)="All Comp"),TRIM(J72),TRIM(H72)))</f>
        <v/>
      </c>
      <c r="D72">
        <f>IF($X72="","",INDEX('Per Line'!$B$2:$B$1501,$X72)&amp;"")</f>
        <v/>
      </c>
      <c r="E72">
        <f>IF($X72="","",INDEX('Per Line'!$C$2:$C$1501,$X72)&amp;"")</f>
        <v/>
      </c>
      <c r="F72">
        <f>IF($X72="","",INDEX('Per Line'!$D$2:$D$1501,$X72)&amp;"")</f>
        <v/>
      </c>
      <c r="G72" s="15" t="n"/>
      <c r="H72" s="15" t="n"/>
      <c r="I72" s="15" t="n"/>
      <c r="J72" s="15" t="n"/>
      <c r="K72" s="14">
        <f>IF($X72="","",INDEX('Per Line'!$R$2:$R$1501,$X72))</f>
        <v/>
      </c>
      <c r="L72">
        <f>IF($X72="","",INDEX('Per Line'!$E$2:$E$1501,$X72))</f>
        <v/>
      </c>
      <c r="M72" s="7">
        <f>IF($X72="","",L72*U72/100)</f>
        <v/>
      </c>
      <c r="N72">
        <f>IF($X72="","",IF(ISNUMBER(SEARCH("3&amp;12",SUBSTITUTE(J72," ",""))),Settings!$G$7,Settings!$C$7))</f>
        <v/>
      </c>
      <c r="O72" s="7">
        <f>IF($X72="","",SUMIFS('Per Line'!$N$2:$N$1501,'Per Line'!$A$2:$A$1501,$B72,'Per Line'!$X$2:$X$1501,0))</f>
        <v/>
      </c>
      <c r="P72" s="7">
        <f>IF($X72="","",O72*N72)</f>
        <v/>
      </c>
      <c r="Q72">
        <f>IF($X72="","",IF(ISNUMBER(SEARCH("3&amp;12",SUBSTITUTE(J72," ",""))),Settings!$G$6,Settings!$C$6))</f>
        <v/>
      </c>
      <c r="R72" s="7">
        <f>IF($X72="","",SUMIFS('Per Line'!$N$2:$N$1501,'Per Line'!$A$2:$A$1501,$B72,'Per Line'!$X$2:$X$1501,1))</f>
        <v/>
      </c>
      <c r="S72" s="7">
        <f>IF($X72="","",R72*Q72)</f>
        <v/>
      </c>
      <c r="T72" s="7">
        <f>IF($X72="","",S72+P72)</f>
        <v/>
      </c>
      <c r="U72" s="7">
        <f>IF($X72="","",V72-T72)</f>
        <v/>
      </c>
      <c r="V72" s="7">
        <f>IF($X72="","",O72+R72)</f>
        <v/>
      </c>
      <c r="W72" s="7">
        <f>IF($X72="","",V72-T72-M72)</f>
        <v/>
      </c>
      <c r="X72" s="16">
        <f>IF(ROWS($X$2:$X72)&lt;=MAX('Per Line'!$W$2:$W$1501),MATCH(ROWS($X$2:$X72),'Per Line'!$W$2:$W$1501,0),"")</f>
        <v/>
      </c>
      <c r="Y72">
        <f>IF($X72="","",C72&amp;"|"&amp;COUNTIF($C$2:$C72,C72))</f>
        <v/>
      </c>
    </row>
    <row r="73">
      <c r="A73" s="15" t="n"/>
      <c r="B73">
        <f>IF($X73="","",INDEX('Per Line'!$A$2:$A$1501,$X73)&amp;"")</f>
        <v/>
      </c>
      <c r="C73">
        <f>IF($X73="","",IF(OR(TRIM(H73)="",TRIM(H73)="All",TRIM(H73)="All Comp"),TRIM(J73),TRIM(H73)))</f>
        <v/>
      </c>
      <c r="D73">
        <f>IF($X73="","",INDEX('Per Line'!$B$2:$B$1501,$X73)&amp;"")</f>
        <v/>
      </c>
      <c r="E73">
        <f>IF($X73="","",INDEX('Per Line'!$C$2:$C$1501,$X73)&amp;"")</f>
        <v/>
      </c>
      <c r="F73">
        <f>IF($X73="","",INDEX('Per Line'!$D$2:$D$1501,$X73)&amp;"")</f>
        <v/>
      </c>
      <c r="G73" s="15" t="n"/>
      <c r="H73" s="15" t="n"/>
      <c r="I73" s="15" t="n"/>
      <c r="J73" s="15" t="n"/>
      <c r="K73" s="14">
        <f>IF($X73="","",INDEX('Per Line'!$R$2:$R$1501,$X73))</f>
        <v/>
      </c>
      <c r="L73">
        <f>IF($X73="","",INDEX('Per Line'!$E$2:$E$1501,$X73))</f>
        <v/>
      </c>
      <c r="M73" s="7">
        <f>IF($X73="","",L73*U73/100)</f>
        <v/>
      </c>
      <c r="N73">
        <f>IF($X73="","",IF(ISNUMBER(SEARCH("3&amp;12",SUBSTITUTE(J73," ",""))),Settings!$G$7,Settings!$C$7))</f>
        <v/>
      </c>
      <c r="O73" s="7">
        <f>IF($X73="","",SUMIFS('Per Line'!$N$2:$N$1501,'Per Line'!$A$2:$A$1501,$B73,'Per Line'!$X$2:$X$1501,0))</f>
        <v/>
      </c>
      <c r="P73" s="7">
        <f>IF($X73="","",O73*N73)</f>
        <v/>
      </c>
      <c r="Q73">
        <f>IF($X73="","",IF(ISNUMBER(SEARCH("3&amp;12",SUBSTITUTE(J73," ",""))),Settings!$G$6,Settings!$C$6))</f>
        <v/>
      </c>
      <c r="R73" s="7">
        <f>IF($X73="","",SUMIFS('Per Line'!$N$2:$N$1501,'Per Line'!$A$2:$A$1501,$B73,'Per Line'!$X$2:$X$1501,1))</f>
        <v/>
      </c>
      <c r="S73" s="7">
        <f>IF($X73="","",R73*Q73)</f>
        <v/>
      </c>
      <c r="T73" s="7">
        <f>IF($X73="","",S73+P73)</f>
        <v/>
      </c>
      <c r="U73" s="7">
        <f>IF($X73="","",V73-T73)</f>
        <v/>
      </c>
      <c r="V73" s="7">
        <f>IF($X73="","",O73+R73)</f>
        <v/>
      </c>
      <c r="W73" s="7">
        <f>IF($X73="","",V73-T73-M73)</f>
        <v/>
      </c>
      <c r="X73" s="16">
        <f>IF(ROWS($X$2:$X73)&lt;=MAX('Per Line'!$W$2:$W$1501),MATCH(ROWS($X$2:$X73),'Per Line'!$W$2:$W$1501,0),"")</f>
        <v/>
      </c>
      <c r="Y73">
        <f>IF($X73="","",C73&amp;"|"&amp;COUNTIF($C$2:$C73,C73))</f>
        <v/>
      </c>
    </row>
    <row r="74">
      <c r="A74" s="15" t="n"/>
      <c r="B74">
        <f>IF($X74="","",INDEX('Per Line'!$A$2:$A$1501,$X74)&amp;"")</f>
        <v/>
      </c>
      <c r="C74">
        <f>IF($X74="","",IF(OR(TRIM(H74)="",TRIM(H74)="All",TRIM(H74)="All Comp"),TRIM(J74),TRIM(H74)))</f>
        <v/>
      </c>
      <c r="D74">
        <f>IF($X74="","",INDEX('Per Line'!$B$2:$B$1501,$X74)&amp;"")</f>
        <v/>
      </c>
      <c r="E74">
        <f>IF($X74="","",INDEX('Per Line'!$C$2:$C$1501,$X74)&amp;"")</f>
        <v/>
      </c>
      <c r="F74">
        <f>IF($X74="","",INDEX('Per Line'!$D$2:$D$1501,$X74)&amp;"")</f>
        <v/>
      </c>
      <c r="G74" s="15" t="n"/>
      <c r="H74" s="15" t="n"/>
      <c r="I74" s="15" t="n"/>
      <c r="J74" s="15" t="n"/>
      <c r="K74" s="14">
        <f>IF($X74="","",INDEX('Per Line'!$R$2:$R$1501,$X74))</f>
        <v/>
      </c>
      <c r="L74">
        <f>IF($X74="","",INDEX('Per Line'!$E$2:$E$1501,$X74))</f>
        <v/>
      </c>
      <c r="M74" s="7">
        <f>IF($X74="","",L74*U74/100)</f>
        <v/>
      </c>
      <c r="N74">
        <f>IF($X74="","",IF(ISNUMBER(SEARCH("3&amp;12",SUBSTITUTE(J74," ",""))),Settings!$G$7,Settings!$C$7))</f>
        <v/>
      </c>
      <c r="O74" s="7">
        <f>IF($X74="","",SUMIFS('Per Line'!$N$2:$N$1501,'Per Line'!$A$2:$A$1501,$B74,'Per Line'!$X$2:$X$1501,0))</f>
        <v/>
      </c>
      <c r="P74" s="7">
        <f>IF($X74="","",O74*N74)</f>
        <v/>
      </c>
      <c r="Q74">
        <f>IF($X74="","",IF(ISNUMBER(SEARCH("3&amp;12",SUBSTITUTE(J74," ",""))),Settings!$G$6,Settings!$C$6))</f>
        <v/>
      </c>
      <c r="R74" s="7">
        <f>IF($X74="","",SUMIFS('Per Line'!$N$2:$N$1501,'Per Line'!$A$2:$A$1501,$B74,'Per Line'!$X$2:$X$1501,1))</f>
        <v/>
      </c>
      <c r="S74" s="7">
        <f>IF($X74="","",R74*Q74)</f>
        <v/>
      </c>
      <c r="T74" s="7">
        <f>IF($X74="","",S74+P74)</f>
        <v/>
      </c>
      <c r="U74" s="7">
        <f>IF($X74="","",V74-T74)</f>
        <v/>
      </c>
      <c r="V74" s="7">
        <f>IF($X74="","",O74+R74)</f>
        <v/>
      </c>
      <c r="W74" s="7">
        <f>IF($X74="","",V74-T74-M74)</f>
        <v/>
      </c>
      <c r="X74" s="16">
        <f>IF(ROWS($X$2:$X74)&lt;=MAX('Per Line'!$W$2:$W$1501),MATCH(ROWS($X$2:$X74),'Per Line'!$W$2:$W$1501,0),"")</f>
        <v/>
      </c>
      <c r="Y74">
        <f>IF($X74="","",C74&amp;"|"&amp;COUNTIF($C$2:$C74,C74))</f>
        <v/>
      </c>
    </row>
    <row r="75">
      <c r="A75" s="15" t="n"/>
      <c r="B75">
        <f>IF($X75="","",INDEX('Per Line'!$A$2:$A$1501,$X75)&amp;"")</f>
        <v/>
      </c>
      <c r="C75">
        <f>IF($X75="","",IF(OR(TRIM(H75)="",TRIM(H75)="All",TRIM(H75)="All Comp"),TRIM(J75),TRIM(H75)))</f>
        <v/>
      </c>
      <c r="D75">
        <f>IF($X75="","",INDEX('Per Line'!$B$2:$B$1501,$X75)&amp;"")</f>
        <v/>
      </c>
      <c r="E75">
        <f>IF($X75="","",INDEX('Per Line'!$C$2:$C$1501,$X75)&amp;"")</f>
        <v/>
      </c>
      <c r="F75">
        <f>IF($X75="","",INDEX('Per Line'!$D$2:$D$1501,$X75)&amp;"")</f>
        <v/>
      </c>
      <c r="G75" s="15" t="n"/>
      <c r="H75" s="15" t="n"/>
      <c r="I75" s="15" t="n"/>
      <c r="J75" s="15" t="n"/>
      <c r="K75" s="14">
        <f>IF($X75="","",INDEX('Per Line'!$R$2:$R$1501,$X75))</f>
        <v/>
      </c>
      <c r="L75">
        <f>IF($X75="","",INDEX('Per Line'!$E$2:$E$1501,$X75))</f>
        <v/>
      </c>
      <c r="M75" s="7">
        <f>IF($X75="","",L75*U75/100)</f>
        <v/>
      </c>
      <c r="N75">
        <f>IF($X75="","",IF(ISNUMBER(SEARCH("3&amp;12",SUBSTITUTE(J75," ",""))),Settings!$G$7,Settings!$C$7))</f>
        <v/>
      </c>
      <c r="O75" s="7">
        <f>IF($X75="","",SUMIFS('Per Line'!$N$2:$N$1501,'Per Line'!$A$2:$A$1501,$B75,'Per Line'!$X$2:$X$1501,0))</f>
        <v/>
      </c>
      <c r="P75" s="7">
        <f>IF($X75="","",O75*N75)</f>
        <v/>
      </c>
      <c r="Q75">
        <f>IF($X75="","",IF(ISNUMBER(SEARCH("3&amp;12",SUBSTITUTE(J75," ",""))),Settings!$G$6,Settings!$C$6))</f>
        <v/>
      </c>
      <c r="R75" s="7">
        <f>IF($X75="","",SUMIFS('Per Line'!$N$2:$N$1501,'Per Line'!$A$2:$A$1501,$B75,'Per Line'!$X$2:$X$1501,1))</f>
        <v/>
      </c>
      <c r="S75" s="7">
        <f>IF($X75="","",R75*Q75)</f>
        <v/>
      </c>
      <c r="T75" s="7">
        <f>IF($X75="","",S75+P75)</f>
        <v/>
      </c>
      <c r="U75" s="7">
        <f>IF($X75="","",V75-T75)</f>
        <v/>
      </c>
      <c r="V75" s="7">
        <f>IF($X75="","",O75+R75)</f>
        <v/>
      </c>
      <c r="W75" s="7">
        <f>IF($X75="","",V75-T75-M75)</f>
        <v/>
      </c>
      <c r="X75" s="16">
        <f>IF(ROWS($X$2:$X75)&lt;=MAX('Per Line'!$W$2:$W$1501),MATCH(ROWS($X$2:$X75),'Per Line'!$W$2:$W$1501,0),"")</f>
        <v/>
      </c>
      <c r="Y75">
        <f>IF($X75="","",C75&amp;"|"&amp;COUNTIF($C$2:$C75,C75))</f>
        <v/>
      </c>
    </row>
    <row r="76">
      <c r="A76" s="15" t="n"/>
      <c r="B76">
        <f>IF($X76="","",INDEX('Per Line'!$A$2:$A$1501,$X76)&amp;"")</f>
        <v/>
      </c>
      <c r="C76">
        <f>IF($X76="","",IF(OR(TRIM(H76)="",TRIM(H76)="All",TRIM(H76)="All Comp"),TRIM(J76),TRIM(H76)))</f>
        <v/>
      </c>
      <c r="D76">
        <f>IF($X76="","",INDEX('Per Line'!$B$2:$B$1501,$X76)&amp;"")</f>
        <v/>
      </c>
      <c r="E76">
        <f>IF($X76="","",INDEX('Per Line'!$C$2:$C$1501,$X76)&amp;"")</f>
        <v/>
      </c>
      <c r="F76">
        <f>IF($X76="","",INDEX('Per Line'!$D$2:$D$1501,$X76)&amp;"")</f>
        <v/>
      </c>
      <c r="G76" s="15" t="n"/>
      <c r="H76" s="15" t="n"/>
      <c r="I76" s="15" t="n"/>
      <c r="J76" s="15" t="n"/>
      <c r="K76" s="14">
        <f>IF($X76="","",INDEX('Per Line'!$R$2:$R$1501,$X76))</f>
        <v/>
      </c>
      <c r="L76">
        <f>IF($X76="","",INDEX('Per Line'!$E$2:$E$1501,$X76))</f>
        <v/>
      </c>
      <c r="M76" s="7">
        <f>IF($X76="","",L76*U76/100)</f>
        <v/>
      </c>
      <c r="N76">
        <f>IF($X76="","",IF(ISNUMBER(SEARCH("3&amp;12",SUBSTITUTE(J76," ",""))),Settings!$G$7,Settings!$C$7))</f>
        <v/>
      </c>
      <c r="O76" s="7">
        <f>IF($X76="","",SUMIFS('Per Line'!$N$2:$N$1501,'Per Line'!$A$2:$A$1501,$B76,'Per Line'!$X$2:$X$1501,0))</f>
        <v/>
      </c>
      <c r="P76" s="7">
        <f>IF($X76="","",O76*N76)</f>
        <v/>
      </c>
      <c r="Q76">
        <f>IF($X76="","",IF(ISNUMBER(SEARCH("3&amp;12",SUBSTITUTE(J76," ",""))),Settings!$G$6,Settings!$C$6))</f>
        <v/>
      </c>
      <c r="R76" s="7">
        <f>IF($X76="","",SUMIFS('Per Line'!$N$2:$N$1501,'Per Line'!$A$2:$A$1501,$B76,'Per Line'!$X$2:$X$1501,1))</f>
        <v/>
      </c>
      <c r="S76" s="7">
        <f>IF($X76="","",R76*Q76)</f>
        <v/>
      </c>
      <c r="T76" s="7">
        <f>IF($X76="","",S76+P76)</f>
        <v/>
      </c>
      <c r="U76" s="7">
        <f>IF($X76="","",V76-T76)</f>
        <v/>
      </c>
      <c r="V76" s="7">
        <f>IF($X76="","",O76+R76)</f>
        <v/>
      </c>
      <c r="W76" s="7">
        <f>IF($X76="","",V76-T76-M76)</f>
        <v/>
      </c>
      <c r="X76" s="16">
        <f>IF(ROWS($X$2:$X76)&lt;=MAX('Per Line'!$W$2:$W$1501),MATCH(ROWS($X$2:$X76),'Per Line'!$W$2:$W$1501,0),"")</f>
        <v/>
      </c>
      <c r="Y76">
        <f>IF($X76="","",C76&amp;"|"&amp;COUNTIF($C$2:$C76,C76))</f>
        <v/>
      </c>
    </row>
    <row r="77">
      <c r="A77" s="15" t="n"/>
      <c r="B77">
        <f>IF($X77="","",INDEX('Per Line'!$A$2:$A$1501,$X77)&amp;"")</f>
        <v/>
      </c>
      <c r="C77">
        <f>IF($X77="","",IF(OR(TRIM(H77)="",TRIM(H77)="All",TRIM(H77)="All Comp"),TRIM(J77),TRIM(H77)))</f>
        <v/>
      </c>
      <c r="D77">
        <f>IF($X77="","",INDEX('Per Line'!$B$2:$B$1501,$X77)&amp;"")</f>
        <v/>
      </c>
      <c r="E77">
        <f>IF($X77="","",INDEX('Per Line'!$C$2:$C$1501,$X77)&amp;"")</f>
        <v/>
      </c>
      <c r="F77">
        <f>IF($X77="","",INDEX('Per Line'!$D$2:$D$1501,$X77)&amp;"")</f>
        <v/>
      </c>
      <c r="G77" s="15" t="n"/>
      <c r="H77" s="15" t="n"/>
      <c r="I77" s="15" t="n"/>
      <c r="J77" s="15" t="n"/>
      <c r="K77" s="14">
        <f>IF($X77="","",INDEX('Per Line'!$R$2:$R$1501,$X77))</f>
        <v/>
      </c>
      <c r="L77">
        <f>IF($X77="","",INDEX('Per Line'!$E$2:$E$1501,$X77))</f>
        <v/>
      </c>
      <c r="M77" s="7">
        <f>IF($X77="","",L77*U77/100)</f>
        <v/>
      </c>
      <c r="N77">
        <f>IF($X77="","",IF(ISNUMBER(SEARCH("3&amp;12",SUBSTITUTE(J77," ",""))),Settings!$G$7,Settings!$C$7))</f>
        <v/>
      </c>
      <c r="O77" s="7">
        <f>IF($X77="","",SUMIFS('Per Line'!$N$2:$N$1501,'Per Line'!$A$2:$A$1501,$B77,'Per Line'!$X$2:$X$1501,0))</f>
        <v/>
      </c>
      <c r="P77" s="7">
        <f>IF($X77="","",O77*N77)</f>
        <v/>
      </c>
      <c r="Q77">
        <f>IF($X77="","",IF(ISNUMBER(SEARCH("3&amp;12",SUBSTITUTE(J77," ",""))),Settings!$G$6,Settings!$C$6))</f>
        <v/>
      </c>
      <c r="R77" s="7">
        <f>IF($X77="","",SUMIFS('Per Line'!$N$2:$N$1501,'Per Line'!$A$2:$A$1501,$B77,'Per Line'!$X$2:$X$1501,1))</f>
        <v/>
      </c>
      <c r="S77" s="7">
        <f>IF($X77="","",R77*Q77)</f>
        <v/>
      </c>
      <c r="T77" s="7">
        <f>IF($X77="","",S77+P77)</f>
        <v/>
      </c>
      <c r="U77" s="7">
        <f>IF($X77="","",V77-T77)</f>
        <v/>
      </c>
      <c r="V77" s="7">
        <f>IF($X77="","",O77+R77)</f>
        <v/>
      </c>
      <c r="W77" s="7">
        <f>IF($X77="","",V77-T77-M77)</f>
        <v/>
      </c>
      <c r="X77" s="16">
        <f>IF(ROWS($X$2:$X77)&lt;=MAX('Per Line'!$W$2:$W$1501),MATCH(ROWS($X$2:$X77),'Per Line'!$W$2:$W$1501,0),"")</f>
        <v/>
      </c>
      <c r="Y77">
        <f>IF($X77="","",C77&amp;"|"&amp;COUNTIF($C$2:$C77,C77))</f>
        <v/>
      </c>
    </row>
    <row r="78">
      <c r="A78" s="15" t="n"/>
      <c r="B78">
        <f>IF($X78="","",INDEX('Per Line'!$A$2:$A$1501,$X78)&amp;"")</f>
        <v/>
      </c>
      <c r="C78">
        <f>IF($X78="","",IF(OR(TRIM(H78)="",TRIM(H78)="All",TRIM(H78)="All Comp"),TRIM(J78),TRIM(H78)))</f>
        <v/>
      </c>
      <c r="D78">
        <f>IF($X78="","",INDEX('Per Line'!$B$2:$B$1501,$X78)&amp;"")</f>
        <v/>
      </c>
      <c r="E78">
        <f>IF($X78="","",INDEX('Per Line'!$C$2:$C$1501,$X78)&amp;"")</f>
        <v/>
      </c>
      <c r="F78">
        <f>IF($X78="","",INDEX('Per Line'!$D$2:$D$1501,$X78)&amp;"")</f>
        <v/>
      </c>
      <c r="G78" s="15" t="n"/>
      <c r="H78" s="15" t="n"/>
      <c r="I78" s="15" t="n"/>
      <c r="J78" s="15" t="n"/>
      <c r="K78" s="14">
        <f>IF($X78="","",INDEX('Per Line'!$R$2:$R$1501,$X78))</f>
        <v/>
      </c>
      <c r="L78">
        <f>IF($X78="","",INDEX('Per Line'!$E$2:$E$1501,$X78))</f>
        <v/>
      </c>
      <c r="M78" s="7">
        <f>IF($X78="","",L78*U78/100)</f>
        <v/>
      </c>
      <c r="N78">
        <f>IF($X78="","",IF(ISNUMBER(SEARCH("3&amp;12",SUBSTITUTE(J78," ",""))),Settings!$G$7,Settings!$C$7))</f>
        <v/>
      </c>
      <c r="O78" s="7">
        <f>IF($X78="","",SUMIFS('Per Line'!$N$2:$N$1501,'Per Line'!$A$2:$A$1501,$B78,'Per Line'!$X$2:$X$1501,0))</f>
        <v/>
      </c>
      <c r="P78" s="7">
        <f>IF($X78="","",O78*N78)</f>
        <v/>
      </c>
      <c r="Q78">
        <f>IF($X78="","",IF(ISNUMBER(SEARCH("3&amp;12",SUBSTITUTE(J78," ",""))),Settings!$G$6,Settings!$C$6))</f>
        <v/>
      </c>
      <c r="R78" s="7">
        <f>IF($X78="","",SUMIFS('Per Line'!$N$2:$N$1501,'Per Line'!$A$2:$A$1501,$B78,'Per Line'!$X$2:$X$1501,1))</f>
        <v/>
      </c>
      <c r="S78" s="7">
        <f>IF($X78="","",R78*Q78)</f>
        <v/>
      </c>
      <c r="T78" s="7">
        <f>IF($X78="","",S78+P78)</f>
        <v/>
      </c>
      <c r="U78" s="7">
        <f>IF($X78="","",V78-T78)</f>
        <v/>
      </c>
      <c r="V78" s="7">
        <f>IF($X78="","",O78+R78)</f>
        <v/>
      </c>
      <c r="W78" s="7">
        <f>IF($X78="","",V78-T78-M78)</f>
        <v/>
      </c>
      <c r="X78" s="16">
        <f>IF(ROWS($X$2:$X78)&lt;=MAX('Per Line'!$W$2:$W$1501),MATCH(ROWS($X$2:$X78),'Per Line'!$W$2:$W$1501,0),"")</f>
        <v/>
      </c>
      <c r="Y78">
        <f>IF($X78="","",C78&amp;"|"&amp;COUNTIF($C$2:$C78,C78))</f>
        <v/>
      </c>
    </row>
    <row r="79">
      <c r="A79" s="15" t="n"/>
      <c r="B79">
        <f>IF($X79="","",INDEX('Per Line'!$A$2:$A$1501,$X79)&amp;"")</f>
        <v/>
      </c>
      <c r="C79">
        <f>IF($X79="","",IF(OR(TRIM(H79)="",TRIM(H79)="All",TRIM(H79)="All Comp"),TRIM(J79),TRIM(H79)))</f>
        <v/>
      </c>
      <c r="D79">
        <f>IF($X79="","",INDEX('Per Line'!$B$2:$B$1501,$X79)&amp;"")</f>
        <v/>
      </c>
      <c r="E79">
        <f>IF($X79="","",INDEX('Per Line'!$C$2:$C$1501,$X79)&amp;"")</f>
        <v/>
      </c>
      <c r="F79">
        <f>IF($X79="","",INDEX('Per Line'!$D$2:$D$1501,$X79)&amp;"")</f>
        <v/>
      </c>
      <c r="G79" s="15" t="n"/>
      <c r="H79" s="15" t="n"/>
      <c r="I79" s="15" t="n"/>
      <c r="J79" s="15" t="n"/>
      <c r="K79" s="14">
        <f>IF($X79="","",INDEX('Per Line'!$R$2:$R$1501,$X79))</f>
        <v/>
      </c>
      <c r="L79">
        <f>IF($X79="","",INDEX('Per Line'!$E$2:$E$1501,$X79))</f>
        <v/>
      </c>
      <c r="M79" s="7">
        <f>IF($X79="","",L79*U79/100)</f>
        <v/>
      </c>
      <c r="N79">
        <f>IF($X79="","",IF(ISNUMBER(SEARCH("3&amp;12",SUBSTITUTE(J79," ",""))),Settings!$G$7,Settings!$C$7))</f>
        <v/>
      </c>
      <c r="O79" s="7">
        <f>IF($X79="","",SUMIFS('Per Line'!$N$2:$N$1501,'Per Line'!$A$2:$A$1501,$B79,'Per Line'!$X$2:$X$1501,0))</f>
        <v/>
      </c>
      <c r="P79" s="7">
        <f>IF($X79="","",O79*N79)</f>
        <v/>
      </c>
      <c r="Q79">
        <f>IF($X79="","",IF(ISNUMBER(SEARCH("3&amp;12",SUBSTITUTE(J79," ",""))),Settings!$G$6,Settings!$C$6))</f>
        <v/>
      </c>
      <c r="R79" s="7">
        <f>IF($X79="","",SUMIFS('Per Line'!$N$2:$N$1501,'Per Line'!$A$2:$A$1501,$B79,'Per Line'!$X$2:$X$1501,1))</f>
        <v/>
      </c>
      <c r="S79" s="7">
        <f>IF($X79="","",R79*Q79)</f>
        <v/>
      </c>
      <c r="T79" s="7">
        <f>IF($X79="","",S79+P79)</f>
        <v/>
      </c>
      <c r="U79" s="7">
        <f>IF($X79="","",V79-T79)</f>
        <v/>
      </c>
      <c r="V79" s="7">
        <f>IF($X79="","",O79+R79)</f>
        <v/>
      </c>
      <c r="W79" s="7">
        <f>IF($X79="","",V79-T79-M79)</f>
        <v/>
      </c>
      <c r="X79" s="16">
        <f>IF(ROWS($X$2:$X79)&lt;=MAX('Per Line'!$W$2:$W$1501),MATCH(ROWS($X$2:$X79),'Per Line'!$W$2:$W$1501,0),"")</f>
        <v/>
      </c>
      <c r="Y79">
        <f>IF($X79="","",C79&amp;"|"&amp;COUNTIF($C$2:$C79,C79))</f>
        <v/>
      </c>
    </row>
    <row r="80">
      <c r="A80" s="15" t="n"/>
      <c r="B80">
        <f>IF($X80="","",INDEX('Per Line'!$A$2:$A$1501,$X80)&amp;"")</f>
        <v/>
      </c>
      <c r="C80">
        <f>IF($X80="","",IF(OR(TRIM(H80)="",TRIM(H80)="All",TRIM(H80)="All Comp"),TRIM(J80),TRIM(H80)))</f>
        <v/>
      </c>
      <c r="D80">
        <f>IF($X80="","",INDEX('Per Line'!$B$2:$B$1501,$X80)&amp;"")</f>
        <v/>
      </c>
      <c r="E80">
        <f>IF($X80="","",INDEX('Per Line'!$C$2:$C$1501,$X80)&amp;"")</f>
        <v/>
      </c>
      <c r="F80">
        <f>IF($X80="","",INDEX('Per Line'!$D$2:$D$1501,$X80)&amp;"")</f>
        <v/>
      </c>
      <c r="G80" s="15" t="n"/>
      <c r="H80" s="15" t="n"/>
      <c r="I80" s="15" t="n"/>
      <c r="J80" s="15" t="n"/>
      <c r="K80" s="14">
        <f>IF($X80="","",INDEX('Per Line'!$R$2:$R$1501,$X80))</f>
        <v/>
      </c>
      <c r="L80">
        <f>IF($X80="","",INDEX('Per Line'!$E$2:$E$1501,$X80))</f>
        <v/>
      </c>
      <c r="M80" s="7">
        <f>IF($X80="","",L80*U80/100)</f>
        <v/>
      </c>
      <c r="N80">
        <f>IF($X80="","",IF(ISNUMBER(SEARCH("3&amp;12",SUBSTITUTE(J80," ",""))),Settings!$G$7,Settings!$C$7))</f>
        <v/>
      </c>
      <c r="O80" s="7">
        <f>IF($X80="","",SUMIFS('Per Line'!$N$2:$N$1501,'Per Line'!$A$2:$A$1501,$B80,'Per Line'!$X$2:$X$1501,0))</f>
        <v/>
      </c>
      <c r="P80" s="7">
        <f>IF($X80="","",O80*N80)</f>
        <v/>
      </c>
      <c r="Q80">
        <f>IF($X80="","",IF(ISNUMBER(SEARCH("3&amp;12",SUBSTITUTE(J80," ",""))),Settings!$G$6,Settings!$C$6))</f>
        <v/>
      </c>
      <c r="R80" s="7">
        <f>IF($X80="","",SUMIFS('Per Line'!$N$2:$N$1501,'Per Line'!$A$2:$A$1501,$B80,'Per Line'!$X$2:$X$1501,1))</f>
        <v/>
      </c>
      <c r="S80" s="7">
        <f>IF($X80="","",R80*Q80)</f>
        <v/>
      </c>
      <c r="T80" s="7">
        <f>IF($X80="","",S80+P80)</f>
        <v/>
      </c>
      <c r="U80" s="7">
        <f>IF($X80="","",V80-T80)</f>
        <v/>
      </c>
      <c r="V80" s="7">
        <f>IF($X80="","",O80+R80)</f>
        <v/>
      </c>
      <c r="W80" s="7">
        <f>IF($X80="","",V80-T80-M80)</f>
        <v/>
      </c>
      <c r="X80" s="16">
        <f>IF(ROWS($X$2:$X80)&lt;=MAX('Per Line'!$W$2:$W$1501),MATCH(ROWS($X$2:$X80),'Per Line'!$W$2:$W$1501,0),"")</f>
        <v/>
      </c>
      <c r="Y80">
        <f>IF($X80="","",C80&amp;"|"&amp;COUNTIF($C$2:$C80,C80))</f>
        <v/>
      </c>
    </row>
    <row r="81">
      <c r="A81" s="15" t="n"/>
      <c r="B81">
        <f>IF($X81="","",INDEX('Per Line'!$A$2:$A$1501,$X81)&amp;"")</f>
        <v/>
      </c>
      <c r="C81">
        <f>IF($X81="","",IF(OR(TRIM(H81)="",TRIM(H81)="All",TRIM(H81)="All Comp"),TRIM(J81),TRIM(H81)))</f>
        <v/>
      </c>
      <c r="D81">
        <f>IF($X81="","",INDEX('Per Line'!$B$2:$B$1501,$X81)&amp;"")</f>
        <v/>
      </c>
      <c r="E81">
        <f>IF($X81="","",INDEX('Per Line'!$C$2:$C$1501,$X81)&amp;"")</f>
        <v/>
      </c>
      <c r="F81">
        <f>IF($X81="","",INDEX('Per Line'!$D$2:$D$1501,$X81)&amp;"")</f>
        <v/>
      </c>
      <c r="G81" s="15" t="n"/>
      <c r="H81" s="15" t="n"/>
      <c r="I81" s="15" t="n"/>
      <c r="J81" s="15" t="n"/>
      <c r="K81" s="14">
        <f>IF($X81="","",INDEX('Per Line'!$R$2:$R$1501,$X81))</f>
        <v/>
      </c>
      <c r="L81">
        <f>IF($X81="","",INDEX('Per Line'!$E$2:$E$1501,$X81))</f>
        <v/>
      </c>
      <c r="M81" s="7">
        <f>IF($X81="","",L81*U81/100)</f>
        <v/>
      </c>
      <c r="N81">
        <f>IF($X81="","",IF(ISNUMBER(SEARCH("3&amp;12",SUBSTITUTE(J81," ",""))),Settings!$G$7,Settings!$C$7))</f>
        <v/>
      </c>
      <c r="O81" s="7">
        <f>IF($X81="","",SUMIFS('Per Line'!$N$2:$N$1501,'Per Line'!$A$2:$A$1501,$B81,'Per Line'!$X$2:$X$1501,0))</f>
        <v/>
      </c>
      <c r="P81" s="7">
        <f>IF($X81="","",O81*N81)</f>
        <v/>
      </c>
      <c r="Q81">
        <f>IF($X81="","",IF(ISNUMBER(SEARCH("3&amp;12",SUBSTITUTE(J81," ",""))),Settings!$G$6,Settings!$C$6))</f>
        <v/>
      </c>
      <c r="R81" s="7">
        <f>IF($X81="","",SUMIFS('Per Line'!$N$2:$N$1501,'Per Line'!$A$2:$A$1501,$B81,'Per Line'!$X$2:$X$1501,1))</f>
        <v/>
      </c>
      <c r="S81" s="7">
        <f>IF($X81="","",R81*Q81)</f>
        <v/>
      </c>
      <c r="T81" s="7">
        <f>IF($X81="","",S81+P81)</f>
        <v/>
      </c>
      <c r="U81" s="7">
        <f>IF($X81="","",V81-T81)</f>
        <v/>
      </c>
      <c r="V81" s="7">
        <f>IF($X81="","",O81+R81)</f>
        <v/>
      </c>
      <c r="W81" s="7">
        <f>IF($X81="","",V81-T81-M81)</f>
        <v/>
      </c>
      <c r="X81" s="16">
        <f>IF(ROWS($X$2:$X81)&lt;=MAX('Per Line'!$W$2:$W$1501),MATCH(ROWS($X$2:$X81),'Per Line'!$W$2:$W$1501,0),"")</f>
        <v/>
      </c>
      <c r="Y81">
        <f>IF($X81="","",C81&amp;"|"&amp;COUNTIF($C$2:$C81,C81))</f>
        <v/>
      </c>
    </row>
    <row r="82">
      <c r="A82" s="15" t="n"/>
      <c r="B82">
        <f>IF($X82="","",INDEX('Per Line'!$A$2:$A$1501,$X82)&amp;"")</f>
        <v/>
      </c>
      <c r="C82">
        <f>IF($X82="","",IF(OR(TRIM(H82)="",TRIM(H82)="All",TRIM(H82)="All Comp"),TRIM(J82),TRIM(H82)))</f>
        <v/>
      </c>
      <c r="D82">
        <f>IF($X82="","",INDEX('Per Line'!$B$2:$B$1501,$X82)&amp;"")</f>
        <v/>
      </c>
      <c r="E82">
        <f>IF($X82="","",INDEX('Per Line'!$C$2:$C$1501,$X82)&amp;"")</f>
        <v/>
      </c>
      <c r="F82">
        <f>IF($X82="","",INDEX('Per Line'!$D$2:$D$1501,$X82)&amp;"")</f>
        <v/>
      </c>
      <c r="G82" s="15" t="n"/>
      <c r="H82" s="15" t="n"/>
      <c r="I82" s="15" t="n"/>
      <c r="J82" s="15" t="n"/>
      <c r="K82" s="14">
        <f>IF($X82="","",INDEX('Per Line'!$R$2:$R$1501,$X82))</f>
        <v/>
      </c>
      <c r="L82">
        <f>IF($X82="","",INDEX('Per Line'!$E$2:$E$1501,$X82))</f>
        <v/>
      </c>
      <c r="M82" s="7">
        <f>IF($X82="","",L82*U82/100)</f>
        <v/>
      </c>
      <c r="N82">
        <f>IF($X82="","",IF(ISNUMBER(SEARCH("3&amp;12",SUBSTITUTE(J82," ",""))),Settings!$G$7,Settings!$C$7))</f>
        <v/>
      </c>
      <c r="O82" s="7">
        <f>IF($X82="","",SUMIFS('Per Line'!$N$2:$N$1501,'Per Line'!$A$2:$A$1501,$B82,'Per Line'!$X$2:$X$1501,0))</f>
        <v/>
      </c>
      <c r="P82" s="7">
        <f>IF($X82="","",O82*N82)</f>
        <v/>
      </c>
      <c r="Q82">
        <f>IF($X82="","",IF(ISNUMBER(SEARCH("3&amp;12",SUBSTITUTE(J82," ",""))),Settings!$G$6,Settings!$C$6))</f>
        <v/>
      </c>
      <c r="R82" s="7">
        <f>IF($X82="","",SUMIFS('Per Line'!$N$2:$N$1501,'Per Line'!$A$2:$A$1501,$B82,'Per Line'!$X$2:$X$1501,1))</f>
        <v/>
      </c>
      <c r="S82" s="7">
        <f>IF($X82="","",R82*Q82)</f>
        <v/>
      </c>
      <c r="T82" s="7">
        <f>IF($X82="","",S82+P82)</f>
        <v/>
      </c>
      <c r="U82" s="7">
        <f>IF($X82="","",V82-T82)</f>
        <v/>
      </c>
      <c r="V82" s="7">
        <f>IF($X82="","",O82+R82)</f>
        <v/>
      </c>
      <c r="W82" s="7">
        <f>IF($X82="","",V82-T82-M82)</f>
        <v/>
      </c>
      <c r="X82" s="16">
        <f>IF(ROWS($X$2:$X82)&lt;=MAX('Per Line'!$W$2:$W$1501),MATCH(ROWS($X$2:$X82),'Per Line'!$W$2:$W$1501,0),"")</f>
        <v/>
      </c>
      <c r="Y82">
        <f>IF($X82="","",C82&amp;"|"&amp;COUNTIF($C$2:$C82,C82))</f>
        <v/>
      </c>
    </row>
    <row r="83">
      <c r="A83" s="15" t="n"/>
      <c r="B83">
        <f>IF($X83="","",INDEX('Per Line'!$A$2:$A$1501,$X83)&amp;"")</f>
        <v/>
      </c>
      <c r="C83">
        <f>IF($X83="","",IF(OR(TRIM(H83)="",TRIM(H83)="All",TRIM(H83)="All Comp"),TRIM(J83),TRIM(H83)))</f>
        <v/>
      </c>
      <c r="D83">
        <f>IF($X83="","",INDEX('Per Line'!$B$2:$B$1501,$X83)&amp;"")</f>
        <v/>
      </c>
      <c r="E83">
        <f>IF($X83="","",INDEX('Per Line'!$C$2:$C$1501,$X83)&amp;"")</f>
        <v/>
      </c>
      <c r="F83">
        <f>IF($X83="","",INDEX('Per Line'!$D$2:$D$1501,$X83)&amp;"")</f>
        <v/>
      </c>
      <c r="G83" s="15" t="n"/>
      <c r="H83" s="15" t="n"/>
      <c r="I83" s="15" t="n"/>
      <c r="J83" s="15" t="n"/>
      <c r="K83" s="14">
        <f>IF($X83="","",INDEX('Per Line'!$R$2:$R$1501,$X83))</f>
        <v/>
      </c>
      <c r="L83">
        <f>IF($X83="","",INDEX('Per Line'!$E$2:$E$1501,$X83))</f>
        <v/>
      </c>
      <c r="M83" s="7">
        <f>IF($X83="","",L83*U83/100)</f>
        <v/>
      </c>
      <c r="N83">
        <f>IF($X83="","",IF(ISNUMBER(SEARCH("3&amp;12",SUBSTITUTE(J83," ",""))),Settings!$G$7,Settings!$C$7))</f>
        <v/>
      </c>
      <c r="O83" s="7">
        <f>IF($X83="","",SUMIFS('Per Line'!$N$2:$N$1501,'Per Line'!$A$2:$A$1501,$B83,'Per Line'!$X$2:$X$1501,0))</f>
        <v/>
      </c>
      <c r="P83" s="7">
        <f>IF($X83="","",O83*N83)</f>
        <v/>
      </c>
      <c r="Q83">
        <f>IF($X83="","",IF(ISNUMBER(SEARCH("3&amp;12",SUBSTITUTE(J83," ",""))),Settings!$G$6,Settings!$C$6))</f>
        <v/>
      </c>
      <c r="R83" s="7">
        <f>IF($X83="","",SUMIFS('Per Line'!$N$2:$N$1501,'Per Line'!$A$2:$A$1501,$B83,'Per Line'!$X$2:$X$1501,1))</f>
        <v/>
      </c>
      <c r="S83" s="7">
        <f>IF($X83="","",R83*Q83)</f>
        <v/>
      </c>
      <c r="T83" s="7">
        <f>IF($X83="","",S83+P83)</f>
        <v/>
      </c>
      <c r="U83" s="7">
        <f>IF($X83="","",V83-T83)</f>
        <v/>
      </c>
      <c r="V83" s="7">
        <f>IF($X83="","",O83+R83)</f>
        <v/>
      </c>
      <c r="W83" s="7">
        <f>IF($X83="","",V83-T83-M83)</f>
        <v/>
      </c>
      <c r="X83" s="16">
        <f>IF(ROWS($X$2:$X83)&lt;=MAX('Per Line'!$W$2:$W$1501),MATCH(ROWS($X$2:$X83),'Per Line'!$W$2:$W$1501,0),"")</f>
        <v/>
      </c>
      <c r="Y83">
        <f>IF($X83="","",C83&amp;"|"&amp;COUNTIF($C$2:$C83,C83))</f>
        <v/>
      </c>
    </row>
    <row r="84">
      <c r="A84" s="15" t="n"/>
      <c r="B84">
        <f>IF($X84="","",INDEX('Per Line'!$A$2:$A$1501,$X84)&amp;"")</f>
        <v/>
      </c>
      <c r="C84">
        <f>IF($X84="","",IF(OR(TRIM(H84)="",TRIM(H84)="All",TRIM(H84)="All Comp"),TRIM(J84),TRIM(H84)))</f>
        <v/>
      </c>
      <c r="D84">
        <f>IF($X84="","",INDEX('Per Line'!$B$2:$B$1501,$X84)&amp;"")</f>
        <v/>
      </c>
      <c r="E84">
        <f>IF($X84="","",INDEX('Per Line'!$C$2:$C$1501,$X84)&amp;"")</f>
        <v/>
      </c>
      <c r="F84">
        <f>IF($X84="","",INDEX('Per Line'!$D$2:$D$1501,$X84)&amp;"")</f>
        <v/>
      </c>
      <c r="G84" s="15" t="n"/>
      <c r="H84" s="15" t="n"/>
      <c r="I84" s="15" t="n"/>
      <c r="J84" s="15" t="n"/>
      <c r="K84" s="14">
        <f>IF($X84="","",INDEX('Per Line'!$R$2:$R$1501,$X84))</f>
        <v/>
      </c>
      <c r="L84">
        <f>IF($X84="","",INDEX('Per Line'!$E$2:$E$1501,$X84))</f>
        <v/>
      </c>
      <c r="M84" s="7">
        <f>IF($X84="","",L84*U84/100)</f>
        <v/>
      </c>
      <c r="N84">
        <f>IF($X84="","",IF(ISNUMBER(SEARCH("3&amp;12",SUBSTITUTE(J84," ",""))),Settings!$G$7,Settings!$C$7))</f>
        <v/>
      </c>
      <c r="O84" s="7">
        <f>IF($X84="","",SUMIFS('Per Line'!$N$2:$N$1501,'Per Line'!$A$2:$A$1501,$B84,'Per Line'!$X$2:$X$1501,0))</f>
        <v/>
      </c>
      <c r="P84" s="7">
        <f>IF($X84="","",O84*N84)</f>
        <v/>
      </c>
      <c r="Q84">
        <f>IF($X84="","",IF(ISNUMBER(SEARCH("3&amp;12",SUBSTITUTE(J84," ",""))),Settings!$G$6,Settings!$C$6))</f>
        <v/>
      </c>
      <c r="R84" s="7">
        <f>IF($X84="","",SUMIFS('Per Line'!$N$2:$N$1501,'Per Line'!$A$2:$A$1501,$B84,'Per Line'!$X$2:$X$1501,1))</f>
        <v/>
      </c>
      <c r="S84" s="7">
        <f>IF($X84="","",R84*Q84)</f>
        <v/>
      </c>
      <c r="T84" s="7">
        <f>IF($X84="","",S84+P84)</f>
        <v/>
      </c>
      <c r="U84" s="7">
        <f>IF($X84="","",V84-T84)</f>
        <v/>
      </c>
      <c r="V84" s="7">
        <f>IF($X84="","",O84+R84)</f>
        <v/>
      </c>
      <c r="W84" s="7">
        <f>IF($X84="","",V84-T84-M84)</f>
        <v/>
      </c>
      <c r="X84" s="16">
        <f>IF(ROWS($X$2:$X84)&lt;=MAX('Per Line'!$W$2:$W$1501),MATCH(ROWS($X$2:$X84),'Per Line'!$W$2:$W$1501,0),"")</f>
        <v/>
      </c>
      <c r="Y84">
        <f>IF($X84="","",C84&amp;"|"&amp;COUNTIF($C$2:$C84,C84))</f>
        <v/>
      </c>
    </row>
    <row r="85">
      <c r="A85" s="15" t="n"/>
      <c r="B85">
        <f>IF($X85="","",INDEX('Per Line'!$A$2:$A$1501,$X85)&amp;"")</f>
        <v/>
      </c>
      <c r="C85">
        <f>IF($X85="","",IF(OR(TRIM(H85)="",TRIM(H85)="All",TRIM(H85)="All Comp"),TRIM(J85),TRIM(H85)))</f>
        <v/>
      </c>
      <c r="D85">
        <f>IF($X85="","",INDEX('Per Line'!$B$2:$B$1501,$X85)&amp;"")</f>
        <v/>
      </c>
      <c r="E85">
        <f>IF($X85="","",INDEX('Per Line'!$C$2:$C$1501,$X85)&amp;"")</f>
        <v/>
      </c>
      <c r="F85">
        <f>IF($X85="","",INDEX('Per Line'!$D$2:$D$1501,$X85)&amp;"")</f>
        <v/>
      </c>
      <c r="G85" s="15" t="n"/>
      <c r="H85" s="15" t="n"/>
      <c r="I85" s="15" t="n"/>
      <c r="J85" s="15" t="n"/>
      <c r="K85" s="14">
        <f>IF($X85="","",INDEX('Per Line'!$R$2:$R$1501,$X85))</f>
        <v/>
      </c>
      <c r="L85">
        <f>IF($X85="","",INDEX('Per Line'!$E$2:$E$1501,$X85))</f>
        <v/>
      </c>
      <c r="M85" s="7">
        <f>IF($X85="","",L85*U85/100)</f>
        <v/>
      </c>
      <c r="N85">
        <f>IF($X85="","",IF(ISNUMBER(SEARCH("3&amp;12",SUBSTITUTE(J85," ",""))),Settings!$G$7,Settings!$C$7))</f>
        <v/>
      </c>
      <c r="O85" s="7">
        <f>IF($X85="","",SUMIFS('Per Line'!$N$2:$N$1501,'Per Line'!$A$2:$A$1501,$B85,'Per Line'!$X$2:$X$1501,0))</f>
        <v/>
      </c>
      <c r="P85" s="7">
        <f>IF($X85="","",O85*N85)</f>
        <v/>
      </c>
      <c r="Q85">
        <f>IF($X85="","",IF(ISNUMBER(SEARCH("3&amp;12",SUBSTITUTE(J85," ",""))),Settings!$G$6,Settings!$C$6))</f>
        <v/>
      </c>
      <c r="R85" s="7">
        <f>IF($X85="","",SUMIFS('Per Line'!$N$2:$N$1501,'Per Line'!$A$2:$A$1501,$B85,'Per Line'!$X$2:$X$1501,1))</f>
        <v/>
      </c>
      <c r="S85" s="7">
        <f>IF($X85="","",R85*Q85)</f>
        <v/>
      </c>
      <c r="T85" s="7">
        <f>IF($X85="","",S85+P85)</f>
        <v/>
      </c>
      <c r="U85" s="7">
        <f>IF($X85="","",V85-T85)</f>
        <v/>
      </c>
      <c r="V85" s="7">
        <f>IF($X85="","",O85+R85)</f>
        <v/>
      </c>
      <c r="W85" s="7">
        <f>IF($X85="","",V85-T85-M85)</f>
        <v/>
      </c>
      <c r="X85" s="16">
        <f>IF(ROWS($X$2:$X85)&lt;=MAX('Per Line'!$W$2:$W$1501),MATCH(ROWS($X$2:$X85),'Per Line'!$W$2:$W$1501,0),"")</f>
        <v/>
      </c>
      <c r="Y85">
        <f>IF($X85="","",C85&amp;"|"&amp;COUNTIF($C$2:$C85,C85))</f>
        <v/>
      </c>
    </row>
    <row r="86">
      <c r="A86" s="15" t="n"/>
      <c r="B86">
        <f>IF($X86="","",INDEX('Per Line'!$A$2:$A$1501,$X86)&amp;"")</f>
        <v/>
      </c>
      <c r="C86">
        <f>IF($X86="","",IF(OR(TRIM(H86)="",TRIM(H86)="All",TRIM(H86)="All Comp"),TRIM(J86),TRIM(H86)))</f>
        <v/>
      </c>
      <c r="D86">
        <f>IF($X86="","",INDEX('Per Line'!$B$2:$B$1501,$X86)&amp;"")</f>
        <v/>
      </c>
      <c r="E86">
        <f>IF($X86="","",INDEX('Per Line'!$C$2:$C$1501,$X86)&amp;"")</f>
        <v/>
      </c>
      <c r="F86">
        <f>IF($X86="","",INDEX('Per Line'!$D$2:$D$1501,$X86)&amp;"")</f>
        <v/>
      </c>
      <c r="G86" s="15" t="n"/>
      <c r="H86" s="15" t="n"/>
      <c r="I86" s="15" t="n"/>
      <c r="J86" s="15" t="n"/>
      <c r="K86" s="14">
        <f>IF($X86="","",INDEX('Per Line'!$R$2:$R$1501,$X86))</f>
        <v/>
      </c>
      <c r="L86">
        <f>IF($X86="","",INDEX('Per Line'!$E$2:$E$1501,$X86))</f>
        <v/>
      </c>
      <c r="M86" s="7">
        <f>IF($X86="","",L86*U86/100)</f>
        <v/>
      </c>
      <c r="N86">
        <f>IF($X86="","",IF(ISNUMBER(SEARCH("3&amp;12",SUBSTITUTE(J86," ",""))),Settings!$G$7,Settings!$C$7))</f>
        <v/>
      </c>
      <c r="O86" s="7">
        <f>IF($X86="","",SUMIFS('Per Line'!$N$2:$N$1501,'Per Line'!$A$2:$A$1501,$B86,'Per Line'!$X$2:$X$1501,0))</f>
        <v/>
      </c>
      <c r="P86" s="7">
        <f>IF($X86="","",O86*N86)</f>
        <v/>
      </c>
      <c r="Q86">
        <f>IF($X86="","",IF(ISNUMBER(SEARCH("3&amp;12",SUBSTITUTE(J86," ",""))),Settings!$G$6,Settings!$C$6))</f>
        <v/>
      </c>
      <c r="R86" s="7">
        <f>IF($X86="","",SUMIFS('Per Line'!$N$2:$N$1501,'Per Line'!$A$2:$A$1501,$B86,'Per Line'!$X$2:$X$1501,1))</f>
        <v/>
      </c>
      <c r="S86" s="7">
        <f>IF($X86="","",R86*Q86)</f>
        <v/>
      </c>
      <c r="T86" s="7">
        <f>IF($X86="","",S86+P86)</f>
        <v/>
      </c>
      <c r="U86" s="7">
        <f>IF($X86="","",V86-T86)</f>
        <v/>
      </c>
      <c r="V86" s="7">
        <f>IF($X86="","",O86+R86)</f>
        <v/>
      </c>
      <c r="W86" s="7">
        <f>IF($X86="","",V86-T86-M86)</f>
        <v/>
      </c>
      <c r="X86" s="16">
        <f>IF(ROWS($X$2:$X86)&lt;=MAX('Per Line'!$W$2:$W$1501),MATCH(ROWS($X$2:$X86),'Per Line'!$W$2:$W$1501,0),"")</f>
        <v/>
      </c>
      <c r="Y86">
        <f>IF($X86="","",C86&amp;"|"&amp;COUNTIF($C$2:$C86,C86))</f>
        <v/>
      </c>
    </row>
    <row r="87">
      <c r="A87" s="15" t="n"/>
      <c r="B87">
        <f>IF($X87="","",INDEX('Per Line'!$A$2:$A$1501,$X87)&amp;"")</f>
        <v/>
      </c>
      <c r="C87">
        <f>IF($X87="","",IF(OR(TRIM(H87)="",TRIM(H87)="All",TRIM(H87)="All Comp"),TRIM(J87),TRIM(H87)))</f>
        <v/>
      </c>
      <c r="D87">
        <f>IF($X87="","",INDEX('Per Line'!$B$2:$B$1501,$X87)&amp;"")</f>
        <v/>
      </c>
      <c r="E87">
        <f>IF($X87="","",INDEX('Per Line'!$C$2:$C$1501,$X87)&amp;"")</f>
        <v/>
      </c>
      <c r="F87">
        <f>IF($X87="","",INDEX('Per Line'!$D$2:$D$1501,$X87)&amp;"")</f>
        <v/>
      </c>
      <c r="G87" s="15" t="n"/>
      <c r="H87" s="15" t="n"/>
      <c r="I87" s="15" t="n"/>
      <c r="J87" s="15" t="n"/>
      <c r="K87" s="14">
        <f>IF($X87="","",INDEX('Per Line'!$R$2:$R$1501,$X87))</f>
        <v/>
      </c>
      <c r="L87">
        <f>IF($X87="","",INDEX('Per Line'!$E$2:$E$1501,$X87))</f>
        <v/>
      </c>
      <c r="M87" s="7">
        <f>IF($X87="","",L87*U87/100)</f>
        <v/>
      </c>
      <c r="N87">
        <f>IF($X87="","",IF(ISNUMBER(SEARCH("3&amp;12",SUBSTITUTE(J87," ",""))),Settings!$G$7,Settings!$C$7))</f>
        <v/>
      </c>
      <c r="O87" s="7">
        <f>IF($X87="","",SUMIFS('Per Line'!$N$2:$N$1501,'Per Line'!$A$2:$A$1501,$B87,'Per Line'!$X$2:$X$1501,0))</f>
        <v/>
      </c>
      <c r="P87" s="7">
        <f>IF($X87="","",O87*N87)</f>
        <v/>
      </c>
      <c r="Q87">
        <f>IF($X87="","",IF(ISNUMBER(SEARCH("3&amp;12",SUBSTITUTE(J87," ",""))),Settings!$G$6,Settings!$C$6))</f>
        <v/>
      </c>
      <c r="R87" s="7">
        <f>IF($X87="","",SUMIFS('Per Line'!$N$2:$N$1501,'Per Line'!$A$2:$A$1501,$B87,'Per Line'!$X$2:$X$1501,1))</f>
        <v/>
      </c>
      <c r="S87" s="7">
        <f>IF($X87="","",R87*Q87)</f>
        <v/>
      </c>
      <c r="T87" s="7">
        <f>IF($X87="","",S87+P87)</f>
        <v/>
      </c>
      <c r="U87" s="7">
        <f>IF($X87="","",V87-T87)</f>
        <v/>
      </c>
      <c r="V87" s="7">
        <f>IF($X87="","",O87+R87)</f>
        <v/>
      </c>
      <c r="W87" s="7">
        <f>IF($X87="","",V87-T87-M87)</f>
        <v/>
      </c>
      <c r="X87" s="16">
        <f>IF(ROWS($X$2:$X87)&lt;=MAX('Per Line'!$W$2:$W$1501),MATCH(ROWS($X$2:$X87),'Per Line'!$W$2:$W$1501,0),"")</f>
        <v/>
      </c>
      <c r="Y87">
        <f>IF($X87="","",C87&amp;"|"&amp;COUNTIF($C$2:$C87,C87))</f>
        <v/>
      </c>
    </row>
    <row r="88">
      <c r="A88" s="15" t="n"/>
      <c r="B88">
        <f>IF($X88="","",INDEX('Per Line'!$A$2:$A$1501,$X88)&amp;"")</f>
        <v/>
      </c>
      <c r="C88">
        <f>IF($X88="","",IF(OR(TRIM(H88)="",TRIM(H88)="All",TRIM(H88)="All Comp"),TRIM(J88),TRIM(H88)))</f>
        <v/>
      </c>
      <c r="D88">
        <f>IF($X88="","",INDEX('Per Line'!$B$2:$B$1501,$X88)&amp;"")</f>
        <v/>
      </c>
      <c r="E88">
        <f>IF($X88="","",INDEX('Per Line'!$C$2:$C$1501,$X88)&amp;"")</f>
        <v/>
      </c>
      <c r="F88">
        <f>IF($X88="","",INDEX('Per Line'!$D$2:$D$1501,$X88)&amp;"")</f>
        <v/>
      </c>
      <c r="G88" s="15" t="n"/>
      <c r="H88" s="15" t="n"/>
      <c r="I88" s="15" t="n"/>
      <c r="J88" s="15" t="n"/>
      <c r="K88" s="14">
        <f>IF($X88="","",INDEX('Per Line'!$R$2:$R$1501,$X88))</f>
        <v/>
      </c>
      <c r="L88">
        <f>IF($X88="","",INDEX('Per Line'!$E$2:$E$1501,$X88))</f>
        <v/>
      </c>
      <c r="M88" s="7">
        <f>IF($X88="","",L88*U88/100)</f>
        <v/>
      </c>
      <c r="N88">
        <f>IF($X88="","",IF(ISNUMBER(SEARCH("3&amp;12",SUBSTITUTE(J88," ",""))),Settings!$G$7,Settings!$C$7))</f>
        <v/>
      </c>
      <c r="O88" s="7">
        <f>IF($X88="","",SUMIFS('Per Line'!$N$2:$N$1501,'Per Line'!$A$2:$A$1501,$B88,'Per Line'!$X$2:$X$1501,0))</f>
        <v/>
      </c>
      <c r="P88" s="7">
        <f>IF($X88="","",O88*N88)</f>
        <v/>
      </c>
      <c r="Q88">
        <f>IF($X88="","",IF(ISNUMBER(SEARCH("3&amp;12",SUBSTITUTE(J88," ",""))),Settings!$G$6,Settings!$C$6))</f>
        <v/>
      </c>
      <c r="R88" s="7">
        <f>IF($X88="","",SUMIFS('Per Line'!$N$2:$N$1501,'Per Line'!$A$2:$A$1501,$B88,'Per Line'!$X$2:$X$1501,1))</f>
        <v/>
      </c>
      <c r="S88" s="7">
        <f>IF($X88="","",R88*Q88)</f>
        <v/>
      </c>
      <c r="T88" s="7">
        <f>IF($X88="","",S88+P88)</f>
        <v/>
      </c>
      <c r="U88" s="7">
        <f>IF($X88="","",V88-T88)</f>
        <v/>
      </c>
      <c r="V88" s="7">
        <f>IF($X88="","",O88+R88)</f>
        <v/>
      </c>
      <c r="W88" s="7">
        <f>IF($X88="","",V88-T88-M88)</f>
        <v/>
      </c>
      <c r="X88" s="16">
        <f>IF(ROWS($X$2:$X88)&lt;=MAX('Per Line'!$W$2:$W$1501),MATCH(ROWS($X$2:$X88),'Per Line'!$W$2:$W$1501,0),"")</f>
        <v/>
      </c>
      <c r="Y88">
        <f>IF($X88="","",C88&amp;"|"&amp;COUNTIF($C$2:$C88,C88))</f>
        <v/>
      </c>
    </row>
    <row r="89">
      <c r="A89" s="15" t="n"/>
      <c r="B89">
        <f>IF($X89="","",INDEX('Per Line'!$A$2:$A$1501,$X89)&amp;"")</f>
        <v/>
      </c>
      <c r="C89">
        <f>IF($X89="","",IF(OR(TRIM(H89)="",TRIM(H89)="All",TRIM(H89)="All Comp"),TRIM(J89),TRIM(H89)))</f>
        <v/>
      </c>
      <c r="D89">
        <f>IF($X89="","",INDEX('Per Line'!$B$2:$B$1501,$X89)&amp;"")</f>
        <v/>
      </c>
      <c r="E89">
        <f>IF($X89="","",INDEX('Per Line'!$C$2:$C$1501,$X89)&amp;"")</f>
        <v/>
      </c>
      <c r="F89">
        <f>IF($X89="","",INDEX('Per Line'!$D$2:$D$1501,$X89)&amp;"")</f>
        <v/>
      </c>
      <c r="G89" s="15" t="n"/>
      <c r="H89" s="15" t="n"/>
      <c r="I89" s="15" t="n"/>
      <c r="J89" s="15" t="n"/>
      <c r="K89" s="14">
        <f>IF($X89="","",INDEX('Per Line'!$R$2:$R$1501,$X89))</f>
        <v/>
      </c>
      <c r="L89">
        <f>IF($X89="","",INDEX('Per Line'!$E$2:$E$1501,$X89))</f>
        <v/>
      </c>
      <c r="M89" s="7">
        <f>IF($X89="","",L89*U89/100)</f>
        <v/>
      </c>
      <c r="N89">
        <f>IF($X89="","",IF(ISNUMBER(SEARCH("3&amp;12",SUBSTITUTE(J89," ",""))),Settings!$G$7,Settings!$C$7))</f>
        <v/>
      </c>
      <c r="O89" s="7">
        <f>IF($X89="","",SUMIFS('Per Line'!$N$2:$N$1501,'Per Line'!$A$2:$A$1501,$B89,'Per Line'!$X$2:$X$1501,0))</f>
        <v/>
      </c>
      <c r="P89" s="7">
        <f>IF($X89="","",O89*N89)</f>
        <v/>
      </c>
      <c r="Q89">
        <f>IF($X89="","",IF(ISNUMBER(SEARCH("3&amp;12",SUBSTITUTE(J89," ",""))),Settings!$G$6,Settings!$C$6))</f>
        <v/>
      </c>
      <c r="R89" s="7">
        <f>IF($X89="","",SUMIFS('Per Line'!$N$2:$N$1501,'Per Line'!$A$2:$A$1501,$B89,'Per Line'!$X$2:$X$1501,1))</f>
        <v/>
      </c>
      <c r="S89" s="7">
        <f>IF($X89="","",R89*Q89)</f>
        <v/>
      </c>
      <c r="T89" s="7">
        <f>IF($X89="","",S89+P89)</f>
        <v/>
      </c>
      <c r="U89" s="7">
        <f>IF($X89="","",V89-T89)</f>
        <v/>
      </c>
      <c r="V89" s="7">
        <f>IF($X89="","",O89+R89)</f>
        <v/>
      </c>
      <c r="W89" s="7">
        <f>IF($X89="","",V89-T89-M89)</f>
        <v/>
      </c>
      <c r="X89" s="16">
        <f>IF(ROWS($X$2:$X89)&lt;=MAX('Per Line'!$W$2:$W$1501),MATCH(ROWS($X$2:$X89),'Per Line'!$W$2:$W$1501,0),"")</f>
        <v/>
      </c>
      <c r="Y89">
        <f>IF($X89="","",C89&amp;"|"&amp;COUNTIF($C$2:$C89,C89))</f>
        <v/>
      </c>
    </row>
    <row r="90">
      <c r="A90" s="15" t="n"/>
      <c r="B90">
        <f>IF($X90="","",INDEX('Per Line'!$A$2:$A$1501,$X90)&amp;"")</f>
        <v/>
      </c>
      <c r="C90">
        <f>IF($X90="","",IF(OR(TRIM(H90)="",TRIM(H90)="All",TRIM(H90)="All Comp"),TRIM(J90),TRIM(H90)))</f>
        <v/>
      </c>
      <c r="D90">
        <f>IF($X90="","",INDEX('Per Line'!$B$2:$B$1501,$X90)&amp;"")</f>
        <v/>
      </c>
      <c r="E90">
        <f>IF($X90="","",INDEX('Per Line'!$C$2:$C$1501,$X90)&amp;"")</f>
        <v/>
      </c>
      <c r="F90">
        <f>IF($X90="","",INDEX('Per Line'!$D$2:$D$1501,$X90)&amp;"")</f>
        <v/>
      </c>
      <c r="G90" s="15" t="n"/>
      <c r="H90" s="15" t="n"/>
      <c r="I90" s="15" t="n"/>
      <c r="J90" s="15" t="n"/>
      <c r="K90" s="14">
        <f>IF($X90="","",INDEX('Per Line'!$R$2:$R$1501,$X90))</f>
        <v/>
      </c>
      <c r="L90">
        <f>IF($X90="","",INDEX('Per Line'!$E$2:$E$1501,$X90))</f>
        <v/>
      </c>
      <c r="M90" s="7">
        <f>IF($X90="","",L90*U90/100)</f>
        <v/>
      </c>
      <c r="N90">
        <f>IF($X90="","",IF(ISNUMBER(SEARCH("3&amp;12",SUBSTITUTE(J90," ",""))),Settings!$G$7,Settings!$C$7))</f>
        <v/>
      </c>
      <c r="O90" s="7">
        <f>IF($X90="","",SUMIFS('Per Line'!$N$2:$N$1501,'Per Line'!$A$2:$A$1501,$B90,'Per Line'!$X$2:$X$1501,0))</f>
        <v/>
      </c>
      <c r="P90" s="7">
        <f>IF($X90="","",O90*N90)</f>
        <v/>
      </c>
      <c r="Q90">
        <f>IF($X90="","",IF(ISNUMBER(SEARCH("3&amp;12",SUBSTITUTE(J90," ",""))),Settings!$G$6,Settings!$C$6))</f>
        <v/>
      </c>
      <c r="R90" s="7">
        <f>IF($X90="","",SUMIFS('Per Line'!$N$2:$N$1501,'Per Line'!$A$2:$A$1501,$B90,'Per Line'!$X$2:$X$1501,1))</f>
        <v/>
      </c>
      <c r="S90" s="7">
        <f>IF($X90="","",R90*Q90)</f>
        <v/>
      </c>
      <c r="T90" s="7">
        <f>IF($X90="","",S90+P90)</f>
        <v/>
      </c>
      <c r="U90" s="7">
        <f>IF($X90="","",V90-T90)</f>
        <v/>
      </c>
      <c r="V90" s="7">
        <f>IF($X90="","",O90+R90)</f>
        <v/>
      </c>
      <c r="W90" s="7">
        <f>IF($X90="","",V90-T90-M90)</f>
        <v/>
      </c>
      <c r="X90" s="16">
        <f>IF(ROWS($X$2:$X90)&lt;=MAX('Per Line'!$W$2:$W$1501),MATCH(ROWS($X$2:$X90),'Per Line'!$W$2:$W$1501,0),"")</f>
        <v/>
      </c>
      <c r="Y90">
        <f>IF($X90="","",C90&amp;"|"&amp;COUNTIF($C$2:$C90,C90))</f>
        <v/>
      </c>
    </row>
    <row r="91">
      <c r="A91" s="15" t="n"/>
      <c r="B91">
        <f>IF($X91="","",INDEX('Per Line'!$A$2:$A$1501,$X91)&amp;"")</f>
        <v/>
      </c>
      <c r="C91">
        <f>IF($X91="","",IF(OR(TRIM(H91)="",TRIM(H91)="All",TRIM(H91)="All Comp"),TRIM(J91),TRIM(H91)))</f>
        <v/>
      </c>
      <c r="D91">
        <f>IF($X91="","",INDEX('Per Line'!$B$2:$B$1501,$X91)&amp;"")</f>
        <v/>
      </c>
      <c r="E91">
        <f>IF($X91="","",INDEX('Per Line'!$C$2:$C$1501,$X91)&amp;"")</f>
        <v/>
      </c>
      <c r="F91">
        <f>IF($X91="","",INDEX('Per Line'!$D$2:$D$1501,$X91)&amp;"")</f>
        <v/>
      </c>
      <c r="G91" s="15" t="n"/>
      <c r="H91" s="15" t="n"/>
      <c r="I91" s="15" t="n"/>
      <c r="J91" s="15" t="n"/>
      <c r="K91" s="14">
        <f>IF($X91="","",INDEX('Per Line'!$R$2:$R$1501,$X91))</f>
        <v/>
      </c>
      <c r="L91">
        <f>IF($X91="","",INDEX('Per Line'!$E$2:$E$1501,$X91))</f>
        <v/>
      </c>
      <c r="M91" s="7">
        <f>IF($X91="","",L91*U91/100)</f>
        <v/>
      </c>
      <c r="N91">
        <f>IF($X91="","",IF(ISNUMBER(SEARCH("3&amp;12",SUBSTITUTE(J91," ",""))),Settings!$G$7,Settings!$C$7))</f>
        <v/>
      </c>
      <c r="O91" s="7">
        <f>IF($X91="","",SUMIFS('Per Line'!$N$2:$N$1501,'Per Line'!$A$2:$A$1501,$B91,'Per Line'!$X$2:$X$1501,0))</f>
        <v/>
      </c>
      <c r="P91" s="7">
        <f>IF($X91="","",O91*N91)</f>
        <v/>
      </c>
      <c r="Q91">
        <f>IF($X91="","",IF(ISNUMBER(SEARCH("3&amp;12",SUBSTITUTE(J91," ",""))),Settings!$G$6,Settings!$C$6))</f>
        <v/>
      </c>
      <c r="R91" s="7">
        <f>IF($X91="","",SUMIFS('Per Line'!$N$2:$N$1501,'Per Line'!$A$2:$A$1501,$B91,'Per Line'!$X$2:$X$1501,1))</f>
        <v/>
      </c>
      <c r="S91" s="7">
        <f>IF($X91="","",R91*Q91)</f>
        <v/>
      </c>
      <c r="T91" s="7">
        <f>IF($X91="","",S91+P91)</f>
        <v/>
      </c>
      <c r="U91" s="7">
        <f>IF($X91="","",V91-T91)</f>
        <v/>
      </c>
      <c r="V91" s="7">
        <f>IF($X91="","",O91+R91)</f>
        <v/>
      </c>
      <c r="W91" s="7">
        <f>IF($X91="","",V91-T91-M91)</f>
        <v/>
      </c>
      <c r="X91" s="16">
        <f>IF(ROWS($X$2:$X91)&lt;=MAX('Per Line'!$W$2:$W$1501),MATCH(ROWS($X$2:$X91),'Per Line'!$W$2:$W$1501,0),"")</f>
        <v/>
      </c>
      <c r="Y91">
        <f>IF($X91="","",C91&amp;"|"&amp;COUNTIF($C$2:$C91,C91))</f>
        <v/>
      </c>
    </row>
    <row r="92">
      <c r="A92" s="15" t="n"/>
      <c r="B92">
        <f>IF($X92="","",INDEX('Per Line'!$A$2:$A$1501,$X92)&amp;"")</f>
        <v/>
      </c>
      <c r="C92">
        <f>IF($X92="","",IF(OR(TRIM(H92)="",TRIM(H92)="All",TRIM(H92)="All Comp"),TRIM(J92),TRIM(H92)))</f>
        <v/>
      </c>
      <c r="D92">
        <f>IF($X92="","",INDEX('Per Line'!$B$2:$B$1501,$X92)&amp;"")</f>
        <v/>
      </c>
      <c r="E92">
        <f>IF($X92="","",INDEX('Per Line'!$C$2:$C$1501,$X92)&amp;"")</f>
        <v/>
      </c>
      <c r="F92">
        <f>IF($X92="","",INDEX('Per Line'!$D$2:$D$1501,$X92)&amp;"")</f>
        <v/>
      </c>
      <c r="G92" s="15" t="n"/>
      <c r="H92" s="15" t="n"/>
      <c r="I92" s="15" t="n"/>
      <c r="J92" s="15" t="n"/>
      <c r="K92" s="14">
        <f>IF($X92="","",INDEX('Per Line'!$R$2:$R$1501,$X92))</f>
        <v/>
      </c>
      <c r="L92">
        <f>IF($X92="","",INDEX('Per Line'!$E$2:$E$1501,$X92))</f>
        <v/>
      </c>
      <c r="M92" s="7">
        <f>IF($X92="","",L92*U92/100)</f>
        <v/>
      </c>
      <c r="N92">
        <f>IF($X92="","",IF(ISNUMBER(SEARCH("3&amp;12",SUBSTITUTE(J92," ",""))),Settings!$G$7,Settings!$C$7))</f>
        <v/>
      </c>
      <c r="O92" s="7">
        <f>IF($X92="","",SUMIFS('Per Line'!$N$2:$N$1501,'Per Line'!$A$2:$A$1501,$B92,'Per Line'!$X$2:$X$1501,0))</f>
        <v/>
      </c>
      <c r="P92" s="7">
        <f>IF($X92="","",O92*N92)</f>
        <v/>
      </c>
      <c r="Q92">
        <f>IF($X92="","",IF(ISNUMBER(SEARCH("3&amp;12",SUBSTITUTE(J92," ",""))),Settings!$G$6,Settings!$C$6))</f>
        <v/>
      </c>
      <c r="R92" s="7">
        <f>IF($X92="","",SUMIFS('Per Line'!$N$2:$N$1501,'Per Line'!$A$2:$A$1501,$B92,'Per Line'!$X$2:$X$1501,1))</f>
        <v/>
      </c>
      <c r="S92" s="7">
        <f>IF($X92="","",R92*Q92)</f>
        <v/>
      </c>
      <c r="T92" s="7">
        <f>IF($X92="","",S92+P92)</f>
        <v/>
      </c>
      <c r="U92" s="7">
        <f>IF($X92="","",V92-T92)</f>
        <v/>
      </c>
      <c r="V92" s="7">
        <f>IF($X92="","",O92+R92)</f>
        <v/>
      </c>
      <c r="W92" s="7">
        <f>IF($X92="","",V92-T92-M92)</f>
        <v/>
      </c>
      <c r="X92" s="16">
        <f>IF(ROWS($X$2:$X92)&lt;=MAX('Per Line'!$W$2:$W$1501),MATCH(ROWS($X$2:$X92),'Per Line'!$W$2:$W$1501,0),"")</f>
        <v/>
      </c>
      <c r="Y92">
        <f>IF($X92="","",C92&amp;"|"&amp;COUNTIF($C$2:$C92,C92))</f>
        <v/>
      </c>
    </row>
    <row r="93">
      <c r="A93" s="15" t="n"/>
      <c r="B93">
        <f>IF($X93="","",INDEX('Per Line'!$A$2:$A$1501,$X93)&amp;"")</f>
        <v/>
      </c>
      <c r="C93">
        <f>IF($X93="","",IF(OR(TRIM(H93)="",TRIM(H93)="All",TRIM(H93)="All Comp"),TRIM(J93),TRIM(H93)))</f>
        <v/>
      </c>
      <c r="D93">
        <f>IF($X93="","",INDEX('Per Line'!$B$2:$B$1501,$X93)&amp;"")</f>
        <v/>
      </c>
      <c r="E93">
        <f>IF($X93="","",INDEX('Per Line'!$C$2:$C$1501,$X93)&amp;"")</f>
        <v/>
      </c>
      <c r="F93">
        <f>IF($X93="","",INDEX('Per Line'!$D$2:$D$1501,$X93)&amp;"")</f>
        <v/>
      </c>
      <c r="G93" s="15" t="n"/>
      <c r="H93" s="15" t="n"/>
      <c r="I93" s="15" t="n"/>
      <c r="J93" s="15" t="n"/>
      <c r="K93" s="14">
        <f>IF($X93="","",INDEX('Per Line'!$R$2:$R$1501,$X93))</f>
        <v/>
      </c>
      <c r="L93">
        <f>IF($X93="","",INDEX('Per Line'!$E$2:$E$1501,$X93))</f>
        <v/>
      </c>
      <c r="M93" s="7">
        <f>IF($X93="","",L93*U93/100)</f>
        <v/>
      </c>
      <c r="N93">
        <f>IF($X93="","",IF(ISNUMBER(SEARCH("3&amp;12",SUBSTITUTE(J93," ",""))),Settings!$G$7,Settings!$C$7))</f>
        <v/>
      </c>
      <c r="O93" s="7">
        <f>IF($X93="","",SUMIFS('Per Line'!$N$2:$N$1501,'Per Line'!$A$2:$A$1501,$B93,'Per Line'!$X$2:$X$1501,0))</f>
        <v/>
      </c>
      <c r="P93" s="7">
        <f>IF($X93="","",O93*N93)</f>
        <v/>
      </c>
      <c r="Q93">
        <f>IF($X93="","",IF(ISNUMBER(SEARCH("3&amp;12",SUBSTITUTE(J93," ",""))),Settings!$G$6,Settings!$C$6))</f>
        <v/>
      </c>
      <c r="R93" s="7">
        <f>IF($X93="","",SUMIFS('Per Line'!$N$2:$N$1501,'Per Line'!$A$2:$A$1501,$B93,'Per Line'!$X$2:$X$1501,1))</f>
        <v/>
      </c>
      <c r="S93" s="7">
        <f>IF($X93="","",R93*Q93)</f>
        <v/>
      </c>
      <c r="T93" s="7">
        <f>IF($X93="","",S93+P93)</f>
        <v/>
      </c>
      <c r="U93" s="7">
        <f>IF($X93="","",V93-T93)</f>
        <v/>
      </c>
      <c r="V93" s="7">
        <f>IF($X93="","",O93+R93)</f>
        <v/>
      </c>
      <c r="W93" s="7">
        <f>IF($X93="","",V93-T93-M93)</f>
        <v/>
      </c>
      <c r="X93" s="16">
        <f>IF(ROWS($X$2:$X93)&lt;=MAX('Per Line'!$W$2:$W$1501),MATCH(ROWS($X$2:$X93),'Per Line'!$W$2:$W$1501,0),"")</f>
        <v/>
      </c>
      <c r="Y93">
        <f>IF($X93="","",C93&amp;"|"&amp;COUNTIF($C$2:$C93,C93))</f>
        <v/>
      </c>
    </row>
    <row r="94">
      <c r="A94" s="15" t="n"/>
      <c r="B94">
        <f>IF($X94="","",INDEX('Per Line'!$A$2:$A$1501,$X94)&amp;"")</f>
        <v/>
      </c>
      <c r="C94">
        <f>IF($X94="","",IF(OR(TRIM(H94)="",TRIM(H94)="All",TRIM(H94)="All Comp"),TRIM(J94),TRIM(H94)))</f>
        <v/>
      </c>
      <c r="D94">
        <f>IF($X94="","",INDEX('Per Line'!$B$2:$B$1501,$X94)&amp;"")</f>
        <v/>
      </c>
      <c r="E94">
        <f>IF($X94="","",INDEX('Per Line'!$C$2:$C$1501,$X94)&amp;"")</f>
        <v/>
      </c>
      <c r="F94">
        <f>IF($X94="","",INDEX('Per Line'!$D$2:$D$1501,$X94)&amp;"")</f>
        <v/>
      </c>
      <c r="G94" s="15" t="n"/>
      <c r="H94" s="15" t="n"/>
      <c r="I94" s="15" t="n"/>
      <c r="J94" s="15" t="n"/>
      <c r="K94" s="14">
        <f>IF($X94="","",INDEX('Per Line'!$R$2:$R$1501,$X94))</f>
        <v/>
      </c>
      <c r="L94">
        <f>IF($X94="","",INDEX('Per Line'!$E$2:$E$1501,$X94))</f>
        <v/>
      </c>
      <c r="M94" s="7">
        <f>IF($X94="","",L94*U94/100)</f>
        <v/>
      </c>
      <c r="N94">
        <f>IF($X94="","",IF(ISNUMBER(SEARCH("3&amp;12",SUBSTITUTE(J94," ",""))),Settings!$G$7,Settings!$C$7))</f>
        <v/>
      </c>
      <c r="O94" s="7">
        <f>IF($X94="","",SUMIFS('Per Line'!$N$2:$N$1501,'Per Line'!$A$2:$A$1501,$B94,'Per Line'!$X$2:$X$1501,0))</f>
        <v/>
      </c>
      <c r="P94" s="7">
        <f>IF($X94="","",O94*N94)</f>
        <v/>
      </c>
      <c r="Q94">
        <f>IF($X94="","",IF(ISNUMBER(SEARCH("3&amp;12",SUBSTITUTE(J94," ",""))),Settings!$G$6,Settings!$C$6))</f>
        <v/>
      </c>
      <c r="R94" s="7">
        <f>IF($X94="","",SUMIFS('Per Line'!$N$2:$N$1501,'Per Line'!$A$2:$A$1501,$B94,'Per Line'!$X$2:$X$1501,1))</f>
        <v/>
      </c>
      <c r="S94" s="7">
        <f>IF($X94="","",R94*Q94)</f>
        <v/>
      </c>
      <c r="T94" s="7">
        <f>IF($X94="","",S94+P94)</f>
        <v/>
      </c>
      <c r="U94" s="7">
        <f>IF($X94="","",V94-T94)</f>
        <v/>
      </c>
      <c r="V94" s="7">
        <f>IF($X94="","",O94+R94)</f>
        <v/>
      </c>
      <c r="W94" s="7">
        <f>IF($X94="","",V94-T94-M94)</f>
        <v/>
      </c>
      <c r="X94" s="16">
        <f>IF(ROWS($X$2:$X94)&lt;=MAX('Per Line'!$W$2:$W$1501),MATCH(ROWS($X$2:$X94),'Per Line'!$W$2:$W$1501,0),"")</f>
        <v/>
      </c>
      <c r="Y94">
        <f>IF($X94="","",C94&amp;"|"&amp;COUNTIF($C$2:$C94,C94))</f>
        <v/>
      </c>
    </row>
    <row r="95">
      <c r="A95" s="15" t="n"/>
      <c r="B95">
        <f>IF($X95="","",INDEX('Per Line'!$A$2:$A$1501,$X95)&amp;"")</f>
        <v/>
      </c>
      <c r="C95">
        <f>IF($X95="","",IF(OR(TRIM(H95)="",TRIM(H95)="All",TRIM(H95)="All Comp"),TRIM(J95),TRIM(H95)))</f>
        <v/>
      </c>
      <c r="D95">
        <f>IF($X95="","",INDEX('Per Line'!$B$2:$B$1501,$X95)&amp;"")</f>
        <v/>
      </c>
      <c r="E95">
        <f>IF($X95="","",INDEX('Per Line'!$C$2:$C$1501,$X95)&amp;"")</f>
        <v/>
      </c>
      <c r="F95">
        <f>IF($X95="","",INDEX('Per Line'!$D$2:$D$1501,$X95)&amp;"")</f>
        <v/>
      </c>
      <c r="G95" s="15" t="n"/>
      <c r="H95" s="15" t="n"/>
      <c r="I95" s="15" t="n"/>
      <c r="J95" s="15" t="n"/>
      <c r="K95" s="14">
        <f>IF($X95="","",INDEX('Per Line'!$R$2:$R$1501,$X95))</f>
        <v/>
      </c>
      <c r="L95">
        <f>IF($X95="","",INDEX('Per Line'!$E$2:$E$1501,$X95))</f>
        <v/>
      </c>
      <c r="M95" s="7">
        <f>IF($X95="","",L95*U95/100)</f>
        <v/>
      </c>
      <c r="N95">
        <f>IF($X95="","",IF(ISNUMBER(SEARCH("3&amp;12",SUBSTITUTE(J95," ",""))),Settings!$G$7,Settings!$C$7))</f>
        <v/>
      </c>
      <c r="O95" s="7">
        <f>IF($X95="","",SUMIFS('Per Line'!$N$2:$N$1501,'Per Line'!$A$2:$A$1501,$B95,'Per Line'!$X$2:$X$1501,0))</f>
        <v/>
      </c>
      <c r="P95" s="7">
        <f>IF($X95="","",O95*N95)</f>
        <v/>
      </c>
      <c r="Q95">
        <f>IF($X95="","",IF(ISNUMBER(SEARCH("3&amp;12",SUBSTITUTE(J95," ",""))),Settings!$G$6,Settings!$C$6))</f>
        <v/>
      </c>
      <c r="R95" s="7">
        <f>IF($X95="","",SUMIFS('Per Line'!$N$2:$N$1501,'Per Line'!$A$2:$A$1501,$B95,'Per Line'!$X$2:$X$1501,1))</f>
        <v/>
      </c>
      <c r="S95" s="7">
        <f>IF($X95="","",R95*Q95)</f>
        <v/>
      </c>
      <c r="T95" s="7">
        <f>IF($X95="","",S95+P95)</f>
        <v/>
      </c>
      <c r="U95" s="7">
        <f>IF($X95="","",V95-T95)</f>
        <v/>
      </c>
      <c r="V95" s="7">
        <f>IF($X95="","",O95+R95)</f>
        <v/>
      </c>
      <c r="W95" s="7">
        <f>IF($X95="","",V95-T95-M95)</f>
        <v/>
      </c>
      <c r="X95" s="16">
        <f>IF(ROWS($X$2:$X95)&lt;=MAX('Per Line'!$W$2:$W$1501),MATCH(ROWS($X$2:$X95),'Per Line'!$W$2:$W$1501,0),"")</f>
        <v/>
      </c>
      <c r="Y95">
        <f>IF($X95="","",C95&amp;"|"&amp;COUNTIF($C$2:$C95,C95))</f>
        <v/>
      </c>
    </row>
    <row r="96">
      <c r="A96" s="15" t="n"/>
      <c r="B96">
        <f>IF($X96="","",INDEX('Per Line'!$A$2:$A$1501,$X96)&amp;"")</f>
        <v/>
      </c>
      <c r="C96">
        <f>IF($X96="","",IF(OR(TRIM(H96)="",TRIM(H96)="All",TRIM(H96)="All Comp"),TRIM(J96),TRIM(H96)))</f>
        <v/>
      </c>
      <c r="D96">
        <f>IF($X96="","",INDEX('Per Line'!$B$2:$B$1501,$X96)&amp;"")</f>
        <v/>
      </c>
      <c r="E96">
        <f>IF($X96="","",INDEX('Per Line'!$C$2:$C$1501,$X96)&amp;"")</f>
        <v/>
      </c>
      <c r="F96">
        <f>IF($X96="","",INDEX('Per Line'!$D$2:$D$1501,$X96)&amp;"")</f>
        <v/>
      </c>
      <c r="G96" s="15" t="n"/>
      <c r="H96" s="15" t="n"/>
      <c r="I96" s="15" t="n"/>
      <c r="J96" s="15" t="n"/>
      <c r="K96" s="14">
        <f>IF($X96="","",INDEX('Per Line'!$R$2:$R$1501,$X96))</f>
        <v/>
      </c>
      <c r="L96">
        <f>IF($X96="","",INDEX('Per Line'!$E$2:$E$1501,$X96))</f>
        <v/>
      </c>
      <c r="M96" s="7">
        <f>IF($X96="","",L96*U96/100)</f>
        <v/>
      </c>
      <c r="N96">
        <f>IF($X96="","",IF(ISNUMBER(SEARCH("3&amp;12",SUBSTITUTE(J96," ",""))),Settings!$G$7,Settings!$C$7))</f>
        <v/>
      </c>
      <c r="O96" s="7">
        <f>IF($X96="","",SUMIFS('Per Line'!$N$2:$N$1501,'Per Line'!$A$2:$A$1501,$B96,'Per Line'!$X$2:$X$1501,0))</f>
        <v/>
      </c>
      <c r="P96" s="7">
        <f>IF($X96="","",O96*N96)</f>
        <v/>
      </c>
      <c r="Q96">
        <f>IF($X96="","",IF(ISNUMBER(SEARCH("3&amp;12",SUBSTITUTE(J96," ",""))),Settings!$G$6,Settings!$C$6))</f>
        <v/>
      </c>
      <c r="R96" s="7">
        <f>IF($X96="","",SUMIFS('Per Line'!$N$2:$N$1501,'Per Line'!$A$2:$A$1501,$B96,'Per Line'!$X$2:$X$1501,1))</f>
        <v/>
      </c>
      <c r="S96" s="7">
        <f>IF($X96="","",R96*Q96)</f>
        <v/>
      </c>
      <c r="T96" s="7">
        <f>IF($X96="","",S96+P96)</f>
        <v/>
      </c>
      <c r="U96" s="7">
        <f>IF($X96="","",V96-T96)</f>
        <v/>
      </c>
      <c r="V96" s="7">
        <f>IF($X96="","",O96+R96)</f>
        <v/>
      </c>
      <c r="W96" s="7">
        <f>IF($X96="","",V96-T96-M96)</f>
        <v/>
      </c>
      <c r="X96" s="16">
        <f>IF(ROWS($X$2:$X96)&lt;=MAX('Per Line'!$W$2:$W$1501),MATCH(ROWS($X$2:$X96),'Per Line'!$W$2:$W$1501,0),"")</f>
        <v/>
      </c>
      <c r="Y96">
        <f>IF($X96="","",C96&amp;"|"&amp;COUNTIF($C$2:$C96,C96))</f>
        <v/>
      </c>
    </row>
    <row r="97">
      <c r="A97" s="15" t="n"/>
      <c r="B97">
        <f>IF($X97="","",INDEX('Per Line'!$A$2:$A$1501,$X97)&amp;"")</f>
        <v/>
      </c>
      <c r="C97">
        <f>IF($X97="","",IF(OR(TRIM(H97)="",TRIM(H97)="All",TRIM(H97)="All Comp"),TRIM(J97),TRIM(H97)))</f>
        <v/>
      </c>
      <c r="D97">
        <f>IF($X97="","",INDEX('Per Line'!$B$2:$B$1501,$X97)&amp;"")</f>
        <v/>
      </c>
      <c r="E97">
        <f>IF($X97="","",INDEX('Per Line'!$C$2:$C$1501,$X97)&amp;"")</f>
        <v/>
      </c>
      <c r="F97">
        <f>IF($X97="","",INDEX('Per Line'!$D$2:$D$1501,$X97)&amp;"")</f>
        <v/>
      </c>
      <c r="G97" s="15" t="n"/>
      <c r="H97" s="15" t="n"/>
      <c r="I97" s="15" t="n"/>
      <c r="J97" s="15" t="n"/>
      <c r="K97" s="14">
        <f>IF($X97="","",INDEX('Per Line'!$R$2:$R$1501,$X97))</f>
        <v/>
      </c>
      <c r="L97">
        <f>IF($X97="","",INDEX('Per Line'!$E$2:$E$1501,$X97))</f>
        <v/>
      </c>
      <c r="M97" s="7">
        <f>IF($X97="","",L97*U97/100)</f>
        <v/>
      </c>
      <c r="N97">
        <f>IF($X97="","",IF(ISNUMBER(SEARCH("3&amp;12",SUBSTITUTE(J97," ",""))),Settings!$G$7,Settings!$C$7))</f>
        <v/>
      </c>
      <c r="O97" s="7">
        <f>IF($X97="","",SUMIFS('Per Line'!$N$2:$N$1501,'Per Line'!$A$2:$A$1501,$B97,'Per Line'!$X$2:$X$1501,0))</f>
        <v/>
      </c>
      <c r="P97" s="7">
        <f>IF($X97="","",O97*N97)</f>
        <v/>
      </c>
      <c r="Q97">
        <f>IF($X97="","",IF(ISNUMBER(SEARCH("3&amp;12",SUBSTITUTE(J97," ",""))),Settings!$G$6,Settings!$C$6))</f>
        <v/>
      </c>
      <c r="R97" s="7">
        <f>IF($X97="","",SUMIFS('Per Line'!$N$2:$N$1501,'Per Line'!$A$2:$A$1501,$B97,'Per Line'!$X$2:$X$1501,1))</f>
        <v/>
      </c>
      <c r="S97" s="7">
        <f>IF($X97="","",R97*Q97)</f>
        <v/>
      </c>
      <c r="T97" s="7">
        <f>IF($X97="","",S97+P97)</f>
        <v/>
      </c>
      <c r="U97" s="7">
        <f>IF($X97="","",V97-T97)</f>
        <v/>
      </c>
      <c r="V97" s="7">
        <f>IF($X97="","",O97+R97)</f>
        <v/>
      </c>
      <c r="W97" s="7">
        <f>IF($X97="","",V97-T97-M97)</f>
        <v/>
      </c>
      <c r="X97" s="16">
        <f>IF(ROWS($X$2:$X97)&lt;=MAX('Per Line'!$W$2:$W$1501),MATCH(ROWS($X$2:$X97),'Per Line'!$W$2:$W$1501,0),"")</f>
        <v/>
      </c>
      <c r="Y97">
        <f>IF($X97="","",C97&amp;"|"&amp;COUNTIF($C$2:$C97,C97))</f>
        <v/>
      </c>
    </row>
    <row r="98">
      <c r="A98" s="15" t="n"/>
      <c r="B98">
        <f>IF($X98="","",INDEX('Per Line'!$A$2:$A$1501,$X98)&amp;"")</f>
        <v/>
      </c>
      <c r="C98">
        <f>IF($X98="","",IF(OR(TRIM(H98)="",TRIM(H98)="All",TRIM(H98)="All Comp"),TRIM(J98),TRIM(H98)))</f>
        <v/>
      </c>
      <c r="D98">
        <f>IF($X98="","",INDEX('Per Line'!$B$2:$B$1501,$X98)&amp;"")</f>
        <v/>
      </c>
      <c r="E98">
        <f>IF($X98="","",INDEX('Per Line'!$C$2:$C$1501,$X98)&amp;"")</f>
        <v/>
      </c>
      <c r="F98">
        <f>IF($X98="","",INDEX('Per Line'!$D$2:$D$1501,$X98)&amp;"")</f>
        <v/>
      </c>
      <c r="G98" s="15" t="n"/>
      <c r="H98" s="15" t="n"/>
      <c r="I98" s="15" t="n"/>
      <c r="J98" s="15" t="n"/>
      <c r="K98" s="14">
        <f>IF($X98="","",INDEX('Per Line'!$R$2:$R$1501,$X98))</f>
        <v/>
      </c>
      <c r="L98">
        <f>IF($X98="","",INDEX('Per Line'!$E$2:$E$1501,$X98))</f>
        <v/>
      </c>
      <c r="M98" s="7">
        <f>IF($X98="","",L98*U98/100)</f>
        <v/>
      </c>
      <c r="N98">
        <f>IF($X98="","",IF(ISNUMBER(SEARCH("3&amp;12",SUBSTITUTE(J98," ",""))),Settings!$G$7,Settings!$C$7))</f>
        <v/>
      </c>
      <c r="O98" s="7">
        <f>IF($X98="","",SUMIFS('Per Line'!$N$2:$N$1501,'Per Line'!$A$2:$A$1501,$B98,'Per Line'!$X$2:$X$1501,0))</f>
        <v/>
      </c>
      <c r="P98" s="7">
        <f>IF($X98="","",O98*N98)</f>
        <v/>
      </c>
      <c r="Q98">
        <f>IF($X98="","",IF(ISNUMBER(SEARCH("3&amp;12",SUBSTITUTE(J98," ",""))),Settings!$G$6,Settings!$C$6))</f>
        <v/>
      </c>
      <c r="R98" s="7">
        <f>IF($X98="","",SUMIFS('Per Line'!$N$2:$N$1501,'Per Line'!$A$2:$A$1501,$B98,'Per Line'!$X$2:$X$1501,1))</f>
        <v/>
      </c>
      <c r="S98" s="7">
        <f>IF($X98="","",R98*Q98)</f>
        <v/>
      </c>
      <c r="T98" s="7">
        <f>IF($X98="","",S98+P98)</f>
        <v/>
      </c>
      <c r="U98" s="7">
        <f>IF($X98="","",V98-T98)</f>
        <v/>
      </c>
      <c r="V98" s="7">
        <f>IF($X98="","",O98+R98)</f>
        <v/>
      </c>
      <c r="W98" s="7">
        <f>IF($X98="","",V98-T98-M98)</f>
        <v/>
      </c>
      <c r="X98" s="16">
        <f>IF(ROWS($X$2:$X98)&lt;=MAX('Per Line'!$W$2:$W$1501),MATCH(ROWS($X$2:$X98),'Per Line'!$W$2:$W$1501,0),"")</f>
        <v/>
      </c>
      <c r="Y98">
        <f>IF($X98="","",C98&amp;"|"&amp;COUNTIF($C$2:$C98,C98))</f>
        <v/>
      </c>
    </row>
    <row r="99">
      <c r="A99" s="15" t="n"/>
      <c r="B99">
        <f>IF($X99="","",INDEX('Per Line'!$A$2:$A$1501,$X99)&amp;"")</f>
        <v/>
      </c>
      <c r="C99">
        <f>IF($X99="","",IF(OR(TRIM(H99)="",TRIM(H99)="All",TRIM(H99)="All Comp"),TRIM(J99),TRIM(H99)))</f>
        <v/>
      </c>
      <c r="D99">
        <f>IF($X99="","",INDEX('Per Line'!$B$2:$B$1501,$X99)&amp;"")</f>
        <v/>
      </c>
      <c r="E99">
        <f>IF($X99="","",INDEX('Per Line'!$C$2:$C$1501,$X99)&amp;"")</f>
        <v/>
      </c>
      <c r="F99">
        <f>IF($X99="","",INDEX('Per Line'!$D$2:$D$1501,$X99)&amp;"")</f>
        <v/>
      </c>
      <c r="G99" s="15" t="n"/>
      <c r="H99" s="15" t="n"/>
      <c r="I99" s="15" t="n"/>
      <c r="J99" s="15" t="n"/>
      <c r="K99" s="14">
        <f>IF($X99="","",INDEX('Per Line'!$R$2:$R$1501,$X99))</f>
        <v/>
      </c>
      <c r="L99">
        <f>IF($X99="","",INDEX('Per Line'!$E$2:$E$1501,$X99))</f>
        <v/>
      </c>
      <c r="M99" s="7">
        <f>IF($X99="","",L99*U99/100)</f>
        <v/>
      </c>
      <c r="N99">
        <f>IF($X99="","",IF(ISNUMBER(SEARCH("3&amp;12",SUBSTITUTE(J99," ",""))),Settings!$G$7,Settings!$C$7))</f>
        <v/>
      </c>
      <c r="O99" s="7">
        <f>IF($X99="","",SUMIFS('Per Line'!$N$2:$N$1501,'Per Line'!$A$2:$A$1501,$B99,'Per Line'!$X$2:$X$1501,0))</f>
        <v/>
      </c>
      <c r="P99" s="7">
        <f>IF($X99="","",O99*N99)</f>
        <v/>
      </c>
      <c r="Q99">
        <f>IF($X99="","",IF(ISNUMBER(SEARCH("3&amp;12",SUBSTITUTE(J99," ",""))),Settings!$G$6,Settings!$C$6))</f>
        <v/>
      </c>
      <c r="R99" s="7">
        <f>IF($X99="","",SUMIFS('Per Line'!$N$2:$N$1501,'Per Line'!$A$2:$A$1501,$B99,'Per Line'!$X$2:$X$1501,1))</f>
        <v/>
      </c>
      <c r="S99" s="7">
        <f>IF($X99="","",R99*Q99)</f>
        <v/>
      </c>
      <c r="T99" s="7">
        <f>IF($X99="","",S99+P99)</f>
        <v/>
      </c>
      <c r="U99" s="7">
        <f>IF($X99="","",V99-T99)</f>
        <v/>
      </c>
      <c r="V99" s="7">
        <f>IF($X99="","",O99+R99)</f>
        <v/>
      </c>
      <c r="W99" s="7">
        <f>IF($X99="","",V99-T99-M99)</f>
        <v/>
      </c>
      <c r="X99" s="16">
        <f>IF(ROWS($X$2:$X99)&lt;=MAX('Per Line'!$W$2:$W$1501),MATCH(ROWS($X$2:$X99),'Per Line'!$W$2:$W$1501,0),"")</f>
        <v/>
      </c>
      <c r="Y99">
        <f>IF($X99="","",C99&amp;"|"&amp;COUNTIF($C$2:$C99,C99))</f>
        <v/>
      </c>
    </row>
    <row r="100">
      <c r="A100" s="15" t="n"/>
      <c r="B100">
        <f>IF($X100="","",INDEX('Per Line'!$A$2:$A$1501,$X100)&amp;"")</f>
        <v/>
      </c>
      <c r="C100">
        <f>IF($X100="","",IF(OR(TRIM(H100)="",TRIM(H100)="All",TRIM(H100)="All Comp"),TRIM(J100),TRIM(H100)))</f>
        <v/>
      </c>
      <c r="D100">
        <f>IF($X100="","",INDEX('Per Line'!$B$2:$B$1501,$X100)&amp;"")</f>
        <v/>
      </c>
      <c r="E100">
        <f>IF($X100="","",INDEX('Per Line'!$C$2:$C$1501,$X100)&amp;"")</f>
        <v/>
      </c>
      <c r="F100">
        <f>IF($X100="","",INDEX('Per Line'!$D$2:$D$1501,$X100)&amp;"")</f>
        <v/>
      </c>
      <c r="G100" s="15" t="n"/>
      <c r="H100" s="15" t="n"/>
      <c r="I100" s="15" t="n"/>
      <c r="J100" s="15" t="n"/>
      <c r="K100" s="14">
        <f>IF($X100="","",INDEX('Per Line'!$R$2:$R$1501,$X100))</f>
        <v/>
      </c>
      <c r="L100">
        <f>IF($X100="","",INDEX('Per Line'!$E$2:$E$1501,$X100))</f>
        <v/>
      </c>
      <c r="M100" s="7">
        <f>IF($X100="","",L100*U100/100)</f>
        <v/>
      </c>
      <c r="N100">
        <f>IF($X100="","",IF(ISNUMBER(SEARCH("3&amp;12",SUBSTITUTE(J100," ",""))),Settings!$G$7,Settings!$C$7))</f>
        <v/>
      </c>
      <c r="O100" s="7">
        <f>IF($X100="","",SUMIFS('Per Line'!$N$2:$N$1501,'Per Line'!$A$2:$A$1501,$B100,'Per Line'!$X$2:$X$1501,0))</f>
        <v/>
      </c>
      <c r="P100" s="7">
        <f>IF($X100="","",O100*N100)</f>
        <v/>
      </c>
      <c r="Q100">
        <f>IF($X100="","",IF(ISNUMBER(SEARCH("3&amp;12",SUBSTITUTE(J100," ",""))),Settings!$G$6,Settings!$C$6))</f>
        <v/>
      </c>
      <c r="R100" s="7">
        <f>IF($X100="","",SUMIFS('Per Line'!$N$2:$N$1501,'Per Line'!$A$2:$A$1501,$B100,'Per Line'!$X$2:$X$1501,1))</f>
        <v/>
      </c>
      <c r="S100" s="7">
        <f>IF($X100="","",R100*Q100)</f>
        <v/>
      </c>
      <c r="T100" s="7">
        <f>IF($X100="","",S100+P100)</f>
        <v/>
      </c>
      <c r="U100" s="7">
        <f>IF($X100="","",V100-T100)</f>
        <v/>
      </c>
      <c r="V100" s="7">
        <f>IF($X100="","",O100+R100)</f>
        <v/>
      </c>
      <c r="W100" s="7">
        <f>IF($X100="","",V100-T100-M100)</f>
        <v/>
      </c>
      <c r="X100" s="16">
        <f>IF(ROWS($X$2:$X100)&lt;=MAX('Per Line'!$W$2:$W$1501),MATCH(ROWS($X$2:$X100),'Per Line'!$W$2:$W$1501,0),"")</f>
        <v/>
      </c>
      <c r="Y100">
        <f>IF($X100="","",C100&amp;"|"&amp;COUNTIF($C$2:$C100,C100))</f>
        <v/>
      </c>
    </row>
    <row r="101">
      <c r="A101" s="15" t="n"/>
      <c r="B101">
        <f>IF($X101="","",INDEX('Per Line'!$A$2:$A$1501,$X101)&amp;"")</f>
        <v/>
      </c>
      <c r="C101">
        <f>IF($X101="","",IF(OR(TRIM(H101)="",TRIM(H101)="All",TRIM(H101)="All Comp"),TRIM(J101),TRIM(H101)))</f>
        <v/>
      </c>
      <c r="D101">
        <f>IF($X101="","",INDEX('Per Line'!$B$2:$B$1501,$X101)&amp;"")</f>
        <v/>
      </c>
      <c r="E101">
        <f>IF($X101="","",INDEX('Per Line'!$C$2:$C$1501,$X101)&amp;"")</f>
        <v/>
      </c>
      <c r="F101">
        <f>IF($X101="","",INDEX('Per Line'!$D$2:$D$1501,$X101)&amp;"")</f>
        <v/>
      </c>
      <c r="G101" s="15" t="n"/>
      <c r="H101" s="15" t="n"/>
      <c r="I101" s="15" t="n"/>
      <c r="J101" s="15" t="n"/>
      <c r="K101" s="14">
        <f>IF($X101="","",INDEX('Per Line'!$R$2:$R$1501,$X101))</f>
        <v/>
      </c>
      <c r="L101">
        <f>IF($X101="","",INDEX('Per Line'!$E$2:$E$1501,$X101))</f>
        <v/>
      </c>
      <c r="M101" s="7">
        <f>IF($X101="","",L101*U101/100)</f>
        <v/>
      </c>
      <c r="N101">
        <f>IF($X101="","",IF(ISNUMBER(SEARCH("3&amp;12",SUBSTITUTE(J101," ",""))),Settings!$G$7,Settings!$C$7))</f>
        <v/>
      </c>
      <c r="O101" s="7">
        <f>IF($X101="","",SUMIFS('Per Line'!$N$2:$N$1501,'Per Line'!$A$2:$A$1501,$B101,'Per Line'!$X$2:$X$1501,0))</f>
        <v/>
      </c>
      <c r="P101" s="7">
        <f>IF($X101="","",O101*N101)</f>
        <v/>
      </c>
      <c r="Q101">
        <f>IF($X101="","",IF(ISNUMBER(SEARCH("3&amp;12",SUBSTITUTE(J101," ",""))),Settings!$G$6,Settings!$C$6))</f>
        <v/>
      </c>
      <c r="R101" s="7">
        <f>IF($X101="","",SUMIFS('Per Line'!$N$2:$N$1501,'Per Line'!$A$2:$A$1501,$B101,'Per Line'!$X$2:$X$1501,1))</f>
        <v/>
      </c>
      <c r="S101" s="7">
        <f>IF($X101="","",R101*Q101)</f>
        <v/>
      </c>
      <c r="T101" s="7">
        <f>IF($X101="","",S101+P101)</f>
        <v/>
      </c>
      <c r="U101" s="7">
        <f>IF($X101="","",V101-T101)</f>
        <v/>
      </c>
      <c r="V101" s="7">
        <f>IF($X101="","",O101+R101)</f>
        <v/>
      </c>
      <c r="W101" s="7">
        <f>IF($X101="","",V101-T101-M101)</f>
        <v/>
      </c>
      <c r="X101" s="16">
        <f>IF(ROWS($X$2:$X101)&lt;=MAX('Per Line'!$W$2:$W$1501),MATCH(ROWS($X$2:$X101),'Per Line'!$W$2:$W$1501,0),"")</f>
        <v/>
      </c>
      <c r="Y101">
        <f>IF($X101="","",C101&amp;"|"&amp;COUNTIF($C$2:$C101,C101))</f>
        <v/>
      </c>
    </row>
    <row r="102">
      <c r="A102" s="15" t="n"/>
      <c r="B102">
        <f>IF($X102="","",INDEX('Per Line'!$A$2:$A$1501,$X102)&amp;"")</f>
        <v/>
      </c>
      <c r="C102">
        <f>IF($X102="","",IF(OR(TRIM(H102)="",TRIM(H102)="All",TRIM(H102)="All Comp"),TRIM(J102),TRIM(H102)))</f>
        <v/>
      </c>
      <c r="D102">
        <f>IF($X102="","",INDEX('Per Line'!$B$2:$B$1501,$X102)&amp;"")</f>
        <v/>
      </c>
      <c r="E102">
        <f>IF($X102="","",INDEX('Per Line'!$C$2:$C$1501,$X102)&amp;"")</f>
        <v/>
      </c>
      <c r="F102">
        <f>IF($X102="","",INDEX('Per Line'!$D$2:$D$1501,$X102)&amp;"")</f>
        <v/>
      </c>
      <c r="G102" s="15" t="n"/>
      <c r="H102" s="15" t="n"/>
      <c r="I102" s="15" t="n"/>
      <c r="J102" s="15" t="n"/>
      <c r="K102" s="14">
        <f>IF($X102="","",INDEX('Per Line'!$R$2:$R$1501,$X102))</f>
        <v/>
      </c>
      <c r="L102">
        <f>IF($X102="","",INDEX('Per Line'!$E$2:$E$1501,$X102))</f>
        <v/>
      </c>
      <c r="M102" s="7">
        <f>IF($X102="","",L102*U102/100)</f>
        <v/>
      </c>
      <c r="N102">
        <f>IF($X102="","",IF(ISNUMBER(SEARCH("3&amp;12",SUBSTITUTE(J102," ",""))),Settings!$G$7,Settings!$C$7))</f>
        <v/>
      </c>
      <c r="O102" s="7">
        <f>IF($X102="","",SUMIFS('Per Line'!$N$2:$N$1501,'Per Line'!$A$2:$A$1501,$B102,'Per Line'!$X$2:$X$1501,0))</f>
        <v/>
      </c>
      <c r="P102" s="7">
        <f>IF($X102="","",O102*N102)</f>
        <v/>
      </c>
      <c r="Q102">
        <f>IF($X102="","",IF(ISNUMBER(SEARCH("3&amp;12",SUBSTITUTE(J102," ",""))),Settings!$G$6,Settings!$C$6))</f>
        <v/>
      </c>
      <c r="R102" s="7">
        <f>IF($X102="","",SUMIFS('Per Line'!$N$2:$N$1501,'Per Line'!$A$2:$A$1501,$B102,'Per Line'!$X$2:$X$1501,1))</f>
        <v/>
      </c>
      <c r="S102" s="7">
        <f>IF($X102="","",R102*Q102)</f>
        <v/>
      </c>
      <c r="T102" s="7">
        <f>IF($X102="","",S102+P102)</f>
        <v/>
      </c>
      <c r="U102" s="7">
        <f>IF($X102="","",V102-T102)</f>
        <v/>
      </c>
      <c r="V102" s="7">
        <f>IF($X102="","",O102+R102)</f>
        <v/>
      </c>
      <c r="W102" s="7">
        <f>IF($X102="","",V102-T102-M102)</f>
        <v/>
      </c>
      <c r="X102" s="16">
        <f>IF(ROWS($X$2:$X102)&lt;=MAX('Per Line'!$W$2:$W$1501),MATCH(ROWS($X$2:$X102),'Per Line'!$W$2:$W$1501,0),"")</f>
        <v/>
      </c>
      <c r="Y102">
        <f>IF($X102="","",C102&amp;"|"&amp;COUNTIF($C$2:$C102,C102))</f>
        <v/>
      </c>
    </row>
    <row r="103">
      <c r="A103" s="15" t="n"/>
      <c r="B103">
        <f>IF($X103="","",INDEX('Per Line'!$A$2:$A$1501,$X103)&amp;"")</f>
        <v/>
      </c>
      <c r="C103">
        <f>IF($X103="","",IF(OR(TRIM(H103)="",TRIM(H103)="All",TRIM(H103)="All Comp"),TRIM(J103),TRIM(H103)))</f>
        <v/>
      </c>
      <c r="D103">
        <f>IF($X103="","",INDEX('Per Line'!$B$2:$B$1501,$X103)&amp;"")</f>
        <v/>
      </c>
      <c r="E103">
        <f>IF($X103="","",INDEX('Per Line'!$C$2:$C$1501,$X103)&amp;"")</f>
        <v/>
      </c>
      <c r="F103">
        <f>IF($X103="","",INDEX('Per Line'!$D$2:$D$1501,$X103)&amp;"")</f>
        <v/>
      </c>
      <c r="G103" s="15" t="n"/>
      <c r="H103" s="15" t="n"/>
      <c r="I103" s="15" t="n"/>
      <c r="J103" s="15" t="n"/>
      <c r="K103" s="14">
        <f>IF($X103="","",INDEX('Per Line'!$R$2:$R$1501,$X103))</f>
        <v/>
      </c>
      <c r="L103">
        <f>IF($X103="","",INDEX('Per Line'!$E$2:$E$1501,$X103))</f>
        <v/>
      </c>
      <c r="M103" s="7">
        <f>IF($X103="","",L103*U103/100)</f>
        <v/>
      </c>
      <c r="N103">
        <f>IF($X103="","",IF(ISNUMBER(SEARCH("3&amp;12",SUBSTITUTE(J103," ",""))),Settings!$G$7,Settings!$C$7))</f>
        <v/>
      </c>
      <c r="O103" s="7">
        <f>IF($X103="","",SUMIFS('Per Line'!$N$2:$N$1501,'Per Line'!$A$2:$A$1501,$B103,'Per Line'!$X$2:$X$1501,0))</f>
        <v/>
      </c>
      <c r="P103" s="7">
        <f>IF($X103="","",O103*N103)</f>
        <v/>
      </c>
      <c r="Q103">
        <f>IF($X103="","",IF(ISNUMBER(SEARCH("3&amp;12",SUBSTITUTE(J103," ",""))),Settings!$G$6,Settings!$C$6))</f>
        <v/>
      </c>
      <c r="R103" s="7">
        <f>IF($X103="","",SUMIFS('Per Line'!$N$2:$N$1501,'Per Line'!$A$2:$A$1501,$B103,'Per Line'!$X$2:$X$1501,1))</f>
        <v/>
      </c>
      <c r="S103" s="7">
        <f>IF($X103="","",R103*Q103)</f>
        <v/>
      </c>
      <c r="T103" s="7">
        <f>IF($X103="","",S103+P103)</f>
        <v/>
      </c>
      <c r="U103" s="7">
        <f>IF($X103="","",V103-T103)</f>
        <v/>
      </c>
      <c r="V103" s="7">
        <f>IF($X103="","",O103+R103)</f>
        <v/>
      </c>
      <c r="W103" s="7">
        <f>IF($X103="","",V103-T103-M103)</f>
        <v/>
      </c>
      <c r="X103" s="16">
        <f>IF(ROWS($X$2:$X103)&lt;=MAX('Per Line'!$W$2:$W$1501),MATCH(ROWS($X$2:$X103),'Per Line'!$W$2:$W$1501,0),"")</f>
        <v/>
      </c>
      <c r="Y103">
        <f>IF($X103="","",C103&amp;"|"&amp;COUNTIF($C$2:$C103,C103))</f>
        <v/>
      </c>
    </row>
    <row r="104">
      <c r="A104" s="15" t="n"/>
      <c r="B104">
        <f>IF($X104="","",INDEX('Per Line'!$A$2:$A$1501,$X104)&amp;"")</f>
        <v/>
      </c>
      <c r="C104">
        <f>IF($X104="","",IF(OR(TRIM(H104)="",TRIM(H104)="All",TRIM(H104)="All Comp"),TRIM(J104),TRIM(H104)))</f>
        <v/>
      </c>
      <c r="D104">
        <f>IF($X104="","",INDEX('Per Line'!$B$2:$B$1501,$X104)&amp;"")</f>
        <v/>
      </c>
      <c r="E104">
        <f>IF($X104="","",INDEX('Per Line'!$C$2:$C$1501,$X104)&amp;"")</f>
        <v/>
      </c>
      <c r="F104">
        <f>IF($X104="","",INDEX('Per Line'!$D$2:$D$1501,$X104)&amp;"")</f>
        <v/>
      </c>
      <c r="G104" s="15" t="n"/>
      <c r="H104" s="15" t="n"/>
      <c r="I104" s="15" t="n"/>
      <c r="J104" s="15" t="n"/>
      <c r="K104" s="14">
        <f>IF($X104="","",INDEX('Per Line'!$R$2:$R$1501,$X104))</f>
        <v/>
      </c>
      <c r="L104">
        <f>IF($X104="","",INDEX('Per Line'!$E$2:$E$1501,$X104))</f>
        <v/>
      </c>
      <c r="M104" s="7">
        <f>IF($X104="","",L104*U104/100)</f>
        <v/>
      </c>
      <c r="N104">
        <f>IF($X104="","",IF(ISNUMBER(SEARCH("3&amp;12",SUBSTITUTE(J104," ",""))),Settings!$G$7,Settings!$C$7))</f>
        <v/>
      </c>
      <c r="O104" s="7">
        <f>IF($X104="","",SUMIFS('Per Line'!$N$2:$N$1501,'Per Line'!$A$2:$A$1501,$B104,'Per Line'!$X$2:$X$1501,0))</f>
        <v/>
      </c>
      <c r="P104" s="7">
        <f>IF($X104="","",O104*N104)</f>
        <v/>
      </c>
      <c r="Q104">
        <f>IF($X104="","",IF(ISNUMBER(SEARCH("3&amp;12",SUBSTITUTE(J104," ",""))),Settings!$G$6,Settings!$C$6))</f>
        <v/>
      </c>
      <c r="R104" s="7">
        <f>IF($X104="","",SUMIFS('Per Line'!$N$2:$N$1501,'Per Line'!$A$2:$A$1501,$B104,'Per Line'!$X$2:$X$1501,1))</f>
        <v/>
      </c>
      <c r="S104" s="7">
        <f>IF($X104="","",R104*Q104)</f>
        <v/>
      </c>
      <c r="T104" s="7">
        <f>IF($X104="","",S104+P104)</f>
        <v/>
      </c>
      <c r="U104" s="7">
        <f>IF($X104="","",V104-T104)</f>
        <v/>
      </c>
      <c r="V104" s="7">
        <f>IF($X104="","",O104+R104)</f>
        <v/>
      </c>
      <c r="W104" s="7">
        <f>IF($X104="","",V104-T104-M104)</f>
        <v/>
      </c>
      <c r="X104" s="16">
        <f>IF(ROWS($X$2:$X104)&lt;=MAX('Per Line'!$W$2:$W$1501),MATCH(ROWS($X$2:$X104),'Per Line'!$W$2:$W$1501,0),"")</f>
        <v/>
      </c>
      <c r="Y104">
        <f>IF($X104="","",C104&amp;"|"&amp;COUNTIF($C$2:$C104,C104))</f>
        <v/>
      </c>
    </row>
    <row r="105">
      <c r="A105" s="15" t="n"/>
      <c r="B105">
        <f>IF($X105="","",INDEX('Per Line'!$A$2:$A$1501,$X105)&amp;"")</f>
        <v/>
      </c>
      <c r="C105">
        <f>IF($X105="","",IF(OR(TRIM(H105)="",TRIM(H105)="All",TRIM(H105)="All Comp"),TRIM(J105),TRIM(H105)))</f>
        <v/>
      </c>
      <c r="D105">
        <f>IF($X105="","",INDEX('Per Line'!$B$2:$B$1501,$X105)&amp;"")</f>
        <v/>
      </c>
      <c r="E105">
        <f>IF($X105="","",INDEX('Per Line'!$C$2:$C$1501,$X105)&amp;"")</f>
        <v/>
      </c>
      <c r="F105">
        <f>IF($X105="","",INDEX('Per Line'!$D$2:$D$1501,$X105)&amp;"")</f>
        <v/>
      </c>
      <c r="G105" s="15" t="n"/>
      <c r="H105" s="15" t="n"/>
      <c r="I105" s="15" t="n"/>
      <c r="J105" s="15" t="n"/>
      <c r="K105" s="14">
        <f>IF($X105="","",INDEX('Per Line'!$R$2:$R$1501,$X105))</f>
        <v/>
      </c>
      <c r="L105">
        <f>IF($X105="","",INDEX('Per Line'!$E$2:$E$1501,$X105))</f>
        <v/>
      </c>
      <c r="M105" s="7">
        <f>IF($X105="","",L105*U105/100)</f>
        <v/>
      </c>
      <c r="N105">
        <f>IF($X105="","",IF(ISNUMBER(SEARCH("3&amp;12",SUBSTITUTE(J105," ",""))),Settings!$G$7,Settings!$C$7))</f>
        <v/>
      </c>
      <c r="O105" s="7">
        <f>IF($X105="","",SUMIFS('Per Line'!$N$2:$N$1501,'Per Line'!$A$2:$A$1501,$B105,'Per Line'!$X$2:$X$1501,0))</f>
        <v/>
      </c>
      <c r="P105" s="7">
        <f>IF($X105="","",O105*N105)</f>
        <v/>
      </c>
      <c r="Q105">
        <f>IF($X105="","",IF(ISNUMBER(SEARCH("3&amp;12",SUBSTITUTE(J105," ",""))),Settings!$G$6,Settings!$C$6))</f>
        <v/>
      </c>
      <c r="R105" s="7">
        <f>IF($X105="","",SUMIFS('Per Line'!$N$2:$N$1501,'Per Line'!$A$2:$A$1501,$B105,'Per Line'!$X$2:$X$1501,1))</f>
        <v/>
      </c>
      <c r="S105" s="7">
        <f>IF($X105="","",R105*Q105)</f>
        <v/>
      </c>
      <c r="T105" s="7">
        <f>IF($X105="","",S105+P105)</f>
        <v/>
      </c>
      <c r="U105" s="7">
        <f>IF($X105="","",V105-T105)</f>
        <v/>
      </c>
      <c r="V105" s="7">
        <f>IF($X105="","",O105+R105)</f>
        <v/>
      </c>
      <c r="W105" s="7">
        <f>IF($X105="","",V105-T105-M105)</f>
        <v/>
      </c>
      <c r="X105" s="16">
        <f>IF(ROWS($X$2:$X105)&lt;=MAX('Per Line'!$W$2:$W$1501),MATCH(ROWS($X$2:$X105),'Per Line'!$W$2:$W$1501,0),"")</f>
        <v/>
      </c>
      <c r="Y105">
        <f>IF($X105="","",C105&amp;"|"&amp;COUNTIF($C$2:$C105,C105))</f>
        <v/>
      </c>
    </row>
    <row r="106">
      <c r="A106" s="15" t="n"/>
      <c r="B106">
        <f>IF($X106="","",INDEX('Per Line'!$A$2:$A$1501,$X106)&amp;"")</f>
        <v/>
      </c>
      <c r="C106">
        <f>IF($X106="","",IF(OR(TRIM(H106)="",TRIM(H106)="All",TRIM(H106)="All Comp"),TRIM(J106),TRIM(H106)))</f>
        <v/>
      </c>
      <c r="D106">
        <f>IF($X106="","",INDEX('Per Line'!$B$2:$B$1501,$X106)&amp;"")</f>
        <v/>
      </c>
      <c r="E106">
        <f>IF($X106="","",INDEX('Per Line'!$C$2:$C$1501,$X106)&amp;"")</f>
        <v/>
      </c>
      <c r="F106">
        <f>IF($X106="","",INDEX('Per Line'!$D$2:$D$1501,$X106)&amp;"")</f>
        <v/>
      </c>
      <c r="G106" s="15" t="n"/>
      <c r="H106" s="15" t="n"/>
      <c r="I106" s="15" t="n"/>
      <c r="J106" s="15" t="n"/>
      <c r="K106" s="14">
        <f>IF($X106="","",INDEX('Per Line'!$R$2:$R$1501,$X106))</f>
        <v/>
      </c>
      <c r="L106">
        <f>IF($X106="","",INDEX('Per Line'!$E$2:$E$1501,$X106))</f>
        <v/>
      </c>
      <c r="M106" s="7">
        <f>IF($X106="","",L106*U106/100)</f>
        <v/>
      </c>
      <c r="N106">
        <f>IF($X106="","",IF(ISNUMBER(SEARCH("3&amp;12",SUBSTITUTE(J106," ",""))),Settings!$G$7,Settings!$C$7))</f>
        <v/>
      </c>
      <c r="O106" s="7">
        <f>IF($X106="","",SUMIFS('Per Line'!$N$2:$N$1501,'Per Line'!$A$2:$A$1501,$B106,'Per Line'!$X$2:$X$1501,0))</f>
        <v/>
      </c>
      <c r="P106" s="7">
        <f>IF($X106="","",O106*N106)</f>
        <v/>
      </c>
      <c r="Q106">
        <f>IF($X106="","",IF(ISNUMBER(SEARCH("3&amp;12",SUBSTITUTE(J106," ",""))),Settings!$G$6,Settings!$C$6))</f>
        <v/>
      </c>
      <c r="R106" s="7">
        <f>IF($X106="","",SUMIFS('Per Line'!$N$2:$N$1501,'Per Line'!$A$2:$A$1501,$B106,'Per Line'!$X$2:$X$1501,1))</f>
        <v/>
      </c>
      <c r="S106" s="7">
        <f>IF($X106="","",R106*Q106)</f>
        <v/>
      </c>
      <c r="T106" s="7">
        <f>IF($X106="","",S106+P106)</f>
        <v/>
      </c>
      <c r="U106" s="7">
        <f>IF($X106="","",V106-T106)</f>
        <v/>
      </c>
      <c r="V106" s="7">
        <f>IF($X106="","",O106+R106)</f>
        <v/>
      </c>
      <c r="W106" s="7">
        <f>IF($X106="","",V106-T106-M106)</f>
        <v/>
      </c>
      <c r="X106" s="16">
        <f>IF(ROWS($X$2:$X106)&lt;=MAX('Per Line'!$W$2:$W$1501),MATCH(ROWS($X$2:$X106),'Per Line'!$W$2:$W$1501,0),"")</f>
        <v/>
      </c>
      <c r="Y106">
        <f>IF($X106="","",C106&amp;"|"&amp;COUNTIF($C$2:$C106,C106))</f>
        <v/>
      </c>
    </row>
    <row r="107">
      <c r="A107" s="15" t="n"/>
      <c r="B107">
        <f>IF($X107="","",INDEX('Per Line'!$A$2:$A$1501,$X107)&amp;"")</f>
        <v/>
      </c>
      <c r="C107">
        <f>IF($X107="","",IF(OR(TRIM(H107)="",TRIM(H107)="All",TRIM(H107)="All Comp"),TRIM(J107),TRIM(H107)))</f>
        <v/>
      </c>
      <c r="D107">
        <f>IF($X107="","",INDEX('Per Line'!$B$2:$B$1501,$X107)&amp;"")</f>
        <v/>
      </c>
      <c r="E107">
        <f>IF($X107="","",INDEX('Per Line'!$C$2:$C$1501,$X107)&amp;"")</f>
        <v/>
      </c>
      <c r="F107">
        <f>IF($X107="","",INDEX('Per Line'!$D$2:$D$1501,$X107)&amp;"")</f>
        <v/>
      </c>
      <c r="G107" s="15" t="n"/>
      <c r="H107" s="15" t="n"/>
      <c r="I107" s="15" t="n"/>
      <c r="J107" s="15" t="n"/>
      <c r="K107" s="14">
        <f>IF($X107="","",INDEX('Per Line'!$R$2:$R$1501,$X107))</f>
        <v/>
      </c>
      <c r="L107">
        <f>IF($X107="","",INDEX('Per Line'!$E$2:$E$1501,$X107))</f>
        <v/>
      </c>
      <c r="M107" s="7">
        <f>IF($X107="","",L107*U107/100)</f>
        <v/>
      </c>
      <c r="N107">
        <f>IF($X107="","",IF(ISNUMBER(SEARCH("3&amp;12",SUBSTITUTE(J107," ",""))),Settings!$G$7,Settings!$C$7))</f>
        <v/>
      </c>
      <c r="O107" s="7">
        <f>IF($X107="","",SUMIFS('Per Line'!$N$2:$N$1501,'Per Line'!$A$2:$A$1501,$B107,'Per Line'!$X$2:$X$1501,0))</f>
        <v/>
      </c>
      <c r="P107" s="7">
        <f>IF($X107="","",O107*N107)</f>
        <v/>
      </c>
      <c r="Q107">
        <f>IF($X107="","",IF(ISNUMBER(SEARCH("3&amp;12",SUBSTITUTE(J107," ",""))),Settings!$G$6,Settings!$C$6))</f>
        <v/>
      </c>
      <c r="R107" s="7">
        <f>IF($X107="","",SUMIFS('Per Line'!$N$2:$N$1501,'Per Line'!$A$2:$A$1501,$B107,'Per Line'!$X$2:$X$1501,1))</f>
        <v/>
      </c>
      <c r="S107" s="7">
        <f>IF($X107="","",R107*Q107)</f>
        <v/>
      </c>
      <c r="T107" s="7">
        <f>IF($X107="","",S107+P107)</f>
        <v/>
      </c>
      <c r="U107" s="7">
        <f>IF($X107="","",V107-T107)</f>
        <v/>
      </c>
      <c r="V107" s="7">
        <f>IF($X107="","",O107+R107)</f>
        <v/>
      </c>
      <c r="W107" s="7">
        <f>IF($X107="","",V107-T107-M107)</f>
        <v/>
      </c>
      <c r="X107" s="16">
        <f>IF(ROWS($X$2:$X107)&lt;=MAX('Per Line'!$W$2:$W$1501),MATCH(ROWS($X$2:$X107),'Per Line'!$W$2:$W$1501,0),"")</f>
        <v/>
      </c>
      <c r="Y107">
        <f>IF($X107="","",C107&amp;"|"&amp;COUNTIF($C$2:$C107,C107))</f>
        <v/>
      </c>
    </row>
    <row r="108">
      <c r="A108" s="15" t="n"/>
      <c r="B108">
        <f>IF($X108="","",INDEX('Per Line'!$A$2:$A$1501,$X108)&amp;"")</f>
        <v/>
      </c>
      <c r="C108">
        <f>IF($X108="","",IF(OR(TRIM(H108)="",TRIM(H108)="All",TRIM(H108)="All Comp"),TRIM(J108),TRIM(H108)))</f>
        <v/>
      </c>
      <c r="D108">
        <f>IF($X108="","",INDEX('Per Line'!$B$2:$B$1501,$X108)&amp;"")</f>
        <v/>
      </c>
      <c r="E108">
        <f>IF($X108="","",INDEX('Per Line'!$C$2:$C$1501,$X108)&amp;"")</f>
        <v/>
      </c>
      <c r="F108">
        <f>IF($X108="","",INDEX('Per Line'!$D$2:$D$1501,$X108)&amp;"")</f>
        <v/>
      </c>
      <c r="G108" s="15" t="n"/>
      <c r="H108" s="15" t="n"/>
      <c r="I108" s="15" t="n"/>
      <c r="J108" s="15" t="n"/>
      <c r="K108" s="14">
        <f>IF($X108="","",INDEX('Per Line'!$R$2:$R$1501,$X108))</f>
        <v/>
      </c>
      <c r="L108">
        <f>IF($X108="","",INDEX('Per Line'!$E$2:$E$1501,$X108))</f>
        <v/>
      </c>
      <c r="M108" s="7">
        <f>IF($X108="","",L108*U108/100)</f>
        <v/>
      </c>
      <c r="N108">
        <f>IF($X108="","",IF(ISNUMBER(SEARCH("3&amp;12",SUBSTITUTE(J108," ",""))),Settings!$G$7,Settings!$C$7))</f>
        <v/>
      </c>
      <c r="O108" s="7">
        <f>IF($X108="","",SUMIFS('Per Line'!$N$2:$N$1501,'Per Line'!$A$2:$A$1501,$B108,'Per Line'!$X$2:$X$1501,0))</f>
        <v/>
      </c>
      <c r="P108" s="7">
        <f>IF($X108="","",O108*N108)</f>
        <v/>
      </c>
      <c r="Q108">
        <f>IF($X108="","",IF(ISNUMBER(SEARCH("3&amp;12",SUBSTITUTE(J108," ",""))),Settings!$G$6,Settings!$C$6))</f>
        <v/>
      </c>
      <c r="R108" s="7">
        <f>IF($X108="","",SUMIFS('Per Line'!$N$2:$N$1501,'Per Line'!$A$2:$A$1501,$B108,'Per Line'!$X$2:$X$1501,1))</f>
        <v/>
      </c>
      <c r="S108" s="7">
        <f>IF($X108="","",R108*Q108)</f>
        <v/>
      </c>
      <c r="T108" s="7">
        <f>IF($X108="","",S108+P108)</f>
        <v/>
      </c>
      <c r="U108" s="7">
        <f>IF($X108="","",V108-T108)</f>
        <v/>
      </c>
      <c r="V108" s="7">
        <f>IF($X108="","",O108+R108)</f>
        <v/>
      </c>
      <c r="W108" s="7">
        <f>IF($X108="","",V108-T108-M108)</f>
        <v/>
      </c>
      <c r="X108" s="16">
        <f>IF(ROWS($X$2:$X108)&lt;=MAX('Per Line'!$W$2:$W$1501),MATCH(ROWS($X$2:$X108),'Per Line'!$W$2:$W$1501,0),"")</f>
        <v/>
      </c>
      <c r="Y108">
        <f>IF($X108="","",C108&amp;"|"&amp;COUNTIF($C$2:$C108,C108))</f>
        <v/>
      </c>
    </row>
    <row r="109">
      <c r="A109" s="15" t="n"/>
      <c r="B109">
        <f>IF($X109="","",INDEX('Per Line'!$A$2:$A$1501,$X109)&amp;"")</f>
        <v/>
      </c>
      <c r="C109">
        <f>IF($X109="","",IF(OR(TRIM(H109)="",TRIM(H109)="All",TRIM(H109)="All Comp"),TRIM(J109),TRIM(H109)))</f>
        <v/>
      </c>
      <c r="D109">
        <f>IF($X109="","",INDEX('Per Line'!$B$2:$B$1501,$X109)&amp;"")</f>
        <v/>
      </c>
      <c r="E109">
        <f>IF($X109="","",INDEX('Per Line'!$C$2:$C$1501,$X109)&amp;"")</f>
        <v/>
      </c>
      <c r="F109">
        <f>IF($X109="","",INDEX('Per Line'!$D$2:$D$1501,$X109)&amp;"")</f>
        <v/>
      </c>
      <c r="G109" s="15" t="n"/>
      <c r="H109" s="15" t="n"/>
      <c r="I109" s="15" t="n"/>
      <c r="J109" s="15" t="n"/>
      <c r="K109" s="14">
        <f>IF($X109="","",INDEX('Per Line'!$R$2:$R$1501,$X109))</f>
        <v/>
      </c>
      <c r="L109">
        <f>IF($X109="","",INDEX('Per Line'!$E$2:$E$1501,$X109))</f>
        <v/>
      </c>
      <c r="M109" s="7">
        <f>IF($X109="","",L109*U109/100)</f>
        <v/>
      </c>
      <c r="N109">
        <f>IF($X109="","",IF(ISNUMBER(SEARCH("3&amp;12",SUBSTITUTE(J109," ",""))),Settings!$G$7,Settings!$C$7))</f>
        <v/>
      </c>
      <c r="O109" s="7">
        <f>IF($X109="","",SUMIFS('Per Line'!$N$2:$N$1501,'Per Line'!$A$2:$A$1501,$B109,'Per Line'!$X$2:$X$1501,0))</f>
        <v/>
      </c>
      <c r="P109" s="7">
        <f>IF($X109="","",O109*N109)</f>
        <v/>
      </c>
      <c r="Q109">
        <f>IF($X109="","",IF(ISNUMBER(SEARCH("3&amp;12",SUBSTITUTE(J109," ",""))),Settings!$G$6,Settings!$C$6))</f>
        <v/>
      </c>
      <c r="R109" s="7">
        <f>IF($X109="","",SUMIFS('Per Line'!$N$2:$N$1501,'Per Line'!$A$2:$A$1501,$B109,'Per Line'!$X$2:$X$1501,1))</f>
        <v/>
      </c>
      <c r="S109" s="7">
        <f>IF($X109="","",R109*Q109)</f>
        <v/>
      </c>
      <c r="T109" s="7">
        <f>IF($X109="","",S109+P109)</f>
        <v/>
      </c>
      <c r="U109" s="7">
        <f>IF($X109="","",V109-T109)</f>
        <v/>
      </c>
      <c r="V109" s="7">
        <f>IF($X109="","",O109+R109)</f>
        <v/>
      </c>
      <c r="W109" s="7">
        <f>IF($X109="","",V109-T109-M109)</f>
        <v/>
      </c>
      <c r="X109" s="16">
        <f>IF(ROWS($X$2:$X109)&lt;=MAX('Per Line'!$W$2:$W$1501),MATCH(ROWS($X$2:$X109),'Per Line'!$W$2:$W$1501,0),"")</f>
        <v/>
      </c>
      <c r="Y109">
        <f>IF($X109="","",C109&amp;"|"&amp;COUNTIF($C$2:$C109,C109))</f>
        <v/>
      </c>
    </row>
    <row r="110">
      <c r="A110" s="15" t="n"/>
      <c r="B110">
        <f>IF($X110="","",INDEX('Per Line'!$A$2:$A$1501,$X110)&amp;"")</f>
        <v/>
      </c>
      <c r="C110">
        <f>IF($X110="","",IF(OR(TRIM(H110)="",TRIM(H110)="All",TRIM(H110)="All Comp"),TRIM(J110),TRIM(H110)))</f>
        <v/>
      </c>
      <c r="D110">
        <f>IF($X110="","",INDEX('Per Line'!$B$2:$B$1501,$X110)&amp;"")</f>
        <v/>
      </c>
      <c r="E110">
        <f>IF($X110="","",INDEX('Per Line'!$C$2:$C$1501,$X110)&amp;"")</f>
        <v/>
      </c>
      <c r="F110">
        <f>IF($X110="","",INDEX('Per Line'!$D$2:$D$1501,$X110)&amp;"")</f>
        <v/>
      </c>
      <c r="G110" s="15" t="n"/>
      <c r="H110" s="15" t="n"/>
      <c r="I110" s="15" t="n"/>
      <c r="J110" s="15" t="n"/>
      <c r="K110" s="14">
        <f>IF($X110="","",INDEX('Per Line'!$R$2:$R$1501,$X110))</f>
        <v/>
      </c>
      <c r="L110">
        <f>IF($X110="","",INDEX('Per Line'!$E$2:$E$1501,$X110))</f>
        <v/>
      </c>
      <c r="M110" s="7">
        <f>IF($X110="","",L110*U110/100)</f>
        <v/>
      </c>
      <c r="N110">
        <f>IF($X110="","",IF(ISNUMBER(SEARCH("3&amp;12",SUBSTITUTE(J110," ",""))),Settings!$G$7,Settings!$C$7))</f>
        <v/>
      </c>
      <c r="O110" s="7">
        <f>IF($X110="","",SUMIFS('Per Line'!$N$2:$N$1501,'Per Line'!$A$2:$A$1501,$B110,'Per Line'!$X$2:$X$1501,0))</f>
        <v/>
      </c>
      <c r="P110" s="7">
        <f>IF($X110="","",O110*N110)</f>
        <v/>
      </c>
      <c r="Q110">
        <f>IF($X110="","",IF(ISNUMBER(SEARCH("3&amp;12",SUBSTITUTE(J110," ",""))),Settings!$G$6,Settings!$C$6))</f>
        <v/>
      </c>
      <c r="R110" s="7">
        <f>IF($X110="","",SUMIFS('Per Line'!$N$2:$N$1501,'Per Line'!$A$2:$A$1501,$B110,'Per Line'!$X$2:$X$1501,1))</f>
        <v/>
      </c>
      <c r="S110" s="7">
        <f>IF($X110="","",R110*Q110)</f>
        <v/>
      </c>
      <c r="T110" s="7">
        <f>IF($X110="","",S110+P110)</f>
        <v/>
      </c>
      <c r="U110" s="7">
        <f>IF($X110="","",V110-T110)</f>
        <v/>
      </c>
      <c r="V110" s="7">
        <f>IF($X110="","",O110+R110)</f>
        <v/>
      </c>
      <c r="W110" s="7">
        <f>IF($X110="","",V110-T110-M110)</f>
        <v/>
      </c>
      <c r="X110" s="16">
        <f>IF(ROWS($X$2:$X110)&lt;=MAX('Per Line'!$W$2:$W$1501),MATCH(ROWS($X$2:$X110),'Per Line'!$W$2:$W$1501,0),"")</f>
        <v/>
      </c>
      <c r="Y110">
        <f>IF($X110="","",C110&amp;"|"&amp;COUNTIF($C$2:$C110,C110))</f>
        <v/>
      </c>
    </row>
    <row r="111">
      <c r="A111" s="15" t="n"/>
      <c r="B111">
        <f>IF($X111="","",INDEX('Per Line'!$A$2:$A$1501,$X111)&amp;"")</f>
        <v/>
      </c>
      <c r="C111">
        <f>IF($X111="","",IF(OR(TRIM(H111)="",TRIM(H111)="All",TRIM(H111)="All Comp"),TRIM(J111),TRIM(H111)))</f>
        <v/>
      </c>
      <c r="D111">
        <f>IF($X111="","",INDEX('Per Line'!$B$2:$B$1501,$X111)&amp;"")</f>
        <v/>
      </c>
      <c r="E111">
        <f>IF($X111="","",INDEX('Per Line'!$C$2:$C$1501,$X111)&amp;"")</f>
        <v/>
      </c>
      <c r="F111">
        <f>IF($X111="","",INDEX('Per Line'!$D$2:$D$1501,$X111)&amp;"")</f>
        <v/>
      </c>
      <c r="G111" s="15" t="n"/>
      <c r="H111" s="15" t="n"/>
      <c r="I111" s="15" t="n"/>
      <c r="J111" s="15" t="n"/>
      <c r="K111" s="14">
        <f>IF($X111="","",INDEX('Per Line'!$R$2:$R$1501,$X111))</f>
        <v/>
      </c>
      <c r="L111">
        <f>IF($X111="","",INDEX('Per Line'!$E$2:$E$1501,$X111))</f>
        <v/>
      </c>
      <c r="M111" s="7">
        <f>IF($X111="","",L111*U111/100)</f>
        <v/>
      </c>
      <c r="N111">
        <f>IF($X111="","",IF(ISNUMBER(SEARCH("3&amp;12",SUBSTITUTE(J111," ",""))),Settings!$G$7,Settings!$C$7))</f>
        <v/>
      </c>
      <c r="O111" s="7">
        <f>IF($X111="","",SUMIFS('Per Line'!$N$2:$N$1501,'Per Line'!$A$2:$A$1501,$B111,'Per Line'!$X$2:$X$1501,0))</f>
        <v/>
      </c>
      <c r="P111" s="7">
        <f>IF($X111="","",O111*N111)</f>
        <v/>
      </c>
      <c r="Q111">
        <f>IF($X111="","",IF(ISNUMBER(SEARCH("3&amp;12",SUBSTITUTE(J111," ",""))),Settings!$G$6,Settings!$C$6))</f>
        <v/>
      </c>
      <c r="R111" s="7">
        <f>IF($X111="","",SUMIFS('Per Line'!$N$2:$N$1501,'Per Line'!$A$2:$A$1501,$B111,'Per Line'!$X$2:$X$1501,1))</f>
        <v/>
      </c>
      <c r="S111" s="7">
        <f>IF($X111="","",R111*Q111)</f>
        <v/>
      </c>
      <c r="T111" s="7">
        <f>IF($X111="","",S111+P111)</f>
        <v/>
      </c>
      <c r="U111" s="7">
        <f>IF($X111="","",V111-T111)</f>
        <v/>
      </c>
      <c r="V111" s="7">
        <f>IF($X111="","",O111+R111)</f>
        <v/>
      </c>
      <c r="W111" s="7">
        <f>IF($X111="","",V111-T111-M111)</f>
        <v/>
      </c>
      <c r="X111" s="16">
        <f>IF(ROWS($X$2:$X111)&lt;=MAX('Per Line'!$W$2:$W$1501),MATCH(ROWS($X$2:$X111),'Per Line'!$W$2:$W$1501,0),"")</f>
        <v/>
      </c>
      <c r="Y111">
        <f>IF($X111="","",C111&amp;"|"&amp;COUNTIF($C$2:$C111,C111))</f>
        <v/>
      </c>
    </row>
    <row r="112">
      <c r="A112" s="15" t="n"/>
      <c r="B112">
        <f>IF($X112="","",INDEX('Per Line'!$A$2:$A$1501,$X112)&amp;"")</f>
        <v/>
      </c>
      <c r="C112">
        <f>IF($X112="","",IF(OR(TRIM(H112)="",TRIM(H112)="All",TRIM(H112)="All Comp"),TRIM(J112),TRIM(H112)))</f>
        <v/>
      </c>
      <c r="D112">
        <f>IF($X112="","",INDEX('Per Line'!$B$2:$B$1501,$X112)&amp;"")</f>
        <v/>
      </c>
      <c r="E112">
        <f>IF($X112="","",INDEX('Per Line'!$C$2:$C$1501,$X112)&amp;"")</f>
        <v/>
      </c>
      <c r="F112">
        <f>IF($X112="","",INDEX('Per Line'!$D$2:$D$1501,$X112)&amp;"")</f>
        <v/>
      </c>
      <c r="G112" s="15" t="n"/>
      <c r="H112" s="15" t="n"/>
      <c r="I112" s="15" t="n"/>
      <c r="J112" s="15" t="n"/>
      <c r="K112" s="14">
        <f>IF($X112="","",INDEX('Per Line'!$R$2:$R$1501,$X112))</f>
        <v/>
      </c>
      <c r="L112">
        <f>IF($X112="","",INDEX('Per Line'!$E$2:$E$1501,$X112))</f>
        <v/>
      </c>
      <c r="M112" s="7">
        <f>IF($X112="","",L112*U112/100)</f>
        <v/>
      </c>
      <c r="N112">
        <f>IF($X112="","",IF(ISNUMBER(SEARCH("3&amp;12",SUBSTITUTE(J112," ",""))),Settings!$G$7,Settings!$C$7))</f>
        <v/>
      </c>
      <c r="O112" s="7">
        <f>IF($X112="","",SUMIFS('Per Line'!$N$2:$N$1501,'Per Line'!$A$2:$A$1501,$B112,'Per Line'!$X$2:$X$1501,0))</f>
        <v/>
      </c>
      <c r="P112" s="7">
        <f>IF($X112="","",O112*N112)</f>
        <v/>
      </c>
      <c r="Q112">
        <f>IF($X112="","",IF(ISNUMBER(SEARCH("3&amp;12",SUBSTITUTE(J112," ",""))),Settings!$G$6,Settings!$C$6))</f>
        <v/>
      </c>
      <c r="R112" s="7">
        <f>IF($X112="","",SUMIFS('Per Line'!$N$2:$N$1501,'Per Line'!$A$2:$A$1501,$B112,'Per Line'!$X$2:$X$1501,1))</f>
        <v/>
      </c>
      <c r="S112" s="7">
        <f>IF($X112="","",R112*Q112)</f>
        <v/>
      </c>
      <c r="T112" s="7">
        <f>IF($X112="","",S112+P112)</f>
        <v/>
      </c>
      <c r="U112" s="7">
        <f>IF($X112="","",V112-T112)</f>
        <v/>
      </c>
      <c r="V112" s="7">
        <f>IF($X112="","",O112+R112)</f>
        <v/>
      </c>
      <c r="W112" s="7">
        <f>IF($X112="","",V112-T112-M112)</f>
        <v/>
      </c>
      <c r="X112" s="16">
        <f>IF(ROWS($X$2:$X112)&lt;=MAX('Per Line'!$W$2:$W$1501),MATCH(ROWS($X$2:$X112),'Per Line'!$W$2:$W$1501,0),"")</f>
        <v/>
      </c>
      <c r="Y112">
        <f>IF($X112="","",C112&amp;"|"&amp;COUNTIF($C$2:$C112,C112))</f>
        <v/>
      </c>
    </row>
    <row r="113">
      <c r="A113" s="15" t="n"/>
      <c r="B113">
        <f>IF($X113="","",INDEX('Per Line'!$A$2:$A$1501,$X113)&amp;"")</f>
        <v/>
      </c>
      <c r="C113">
        <f>IF($X113="","",IF(OR(TRIM(H113)="",TRIM(H113)="All",TRIM(H113)="All Comp"),TRIM(J113),TRIM(H113)))</f>
        <v/>
      </c>
      <c r="D113">
        <f>IF($X113="","",INDEX('Per Line'!$B$2:$B$1501,$X113)&amp;"")</f>
        <v/>
      </c>
      <c r="E113">
        <f>IF($X113="","",INDEX('Per Line'!$C$2:$C$1501,$X113)&amp;"")</f>
        <v/>
      </c>
      <c r="F113">
        <f>IF($X113="","",INDEX('Per Line'!$D$2:$D$1501,$X113)&amp;"")</f>
        <v/>
      </c>
      <c r="G113" s="15" t="n"/>
      <c r="H113" s="15" t="n"/>
      <c r="I113" s="15" t="n"/>
      <c r="J113" s="15" t="n"/>
      <c r="K113" s="14">
        <f>IF($X113="","",INDEX('Per Line'!$R$2:$R$1501,$X113))</f>
        <v/>
      </c>
      <c r="L113">
        <f>IF($X113="","",INDEX('Per Line'!$E$2:$E$1501,$X113))</f>
        <v/>
      </c>
      <c r="M113" s="7">
        <f>IF($X113="","",L113*U113/100)</f>
        <v/>
      </c>
      <c r="N113">
        <f>IF($X113="","",IF(ISNUMBER(SEARCH("3&amp;12",SUBSTITUTE(J113," ",""))),Settings!$G$7,Settings!$C$7))</f>
        <v/>
      </c>
      <c r="O113" s="7">
        <f>IF($X113="","",SUMIFS('Per Line'!$N$2:$N$1501,'Per Line'!$A$2:$A$1501,$B113,'Per Line'!$X$2:$X$1501,0))</f>
        <v/>
      </c>
      <c r="P113" s="7">
        <f>IF($X113="","",O113*N113)</f>
        <v/>
      </c>
      <c r="Q113">
        <f>IF($X113="","",IF(ISNUMBER(SEARCH("3&amp;12",SUBSTITUTE(J113," ",""))),Settings!$G$6,Settings!$C$6))</f>
        <v/>
      </c>
      <c r="R113" s="7">
        <f>IF($X113="","",SUMIFS('Per Line'!$N$2:$N$1501,'Per Line'!$A$2:$A$1501,$B113,'Per Line'!$X$2:$X$1501,1))</f>
        <v/>
      </c>
      <c r="S113" s="7">
        <f>IF($X113="","",R113*Q113)</f>
        <v/>
      </c>
      <c r="T113" s="7">
        <f>IF($X113="","",S113+P113)</f>
        <v/>
      </c>
      <c r="U113" s="7">
        <f>IF($X113="","",V113-T113)</f>
        <v/>
      </c>
      <c r="V113" s="7">
        <f>IF($X113="","",O113+R113)</f>
        <v/>
      </c>
      <c r="W113" s="7">
        <f>IF($X113="","",V113-T113-M113)</f>
        <v/>
      </c>
      <c r="X113" s="16">
        <f>IF(ROWS($X$2:$X113)&lt;=MAX('Per Line'!$W$2:$W$1501),MATCH(ROWS($X$2:$X113),'Per Line'!$W$2:$W$1501,0),"")</f>
        <v/>
      </c>
      <c r="Y113">
        <f>IF($X113="","",C113&amp;"|"&amp;COUNTIF($C$2:$C113,C113))</f>
        <v/>
      </c>
    </row>
    <row r="114">
      <c r="A114" s="15" t="n"/>
      <c r="B114">
        <f>IF($X114="","",INDEX('Per Line'!$A$2:$A$1501,$X114)&amp;"")</f>
        <v/>
      </c>
      <c r="C114">
        <f>IF($X114="","",IF(OR(TRIM(H114)="",TRIM(H114)="All",TRIM(H114)="All Comp"),TRIM(J114),TRIM(H114)))</f>
        <v/>
      </c>
      <c r="D114">
        <f>IF($X114="","",INDEX('Per Line'!$B$2:$B$1501,$X114)&amp;"")</f>
        <v/>
      </c>
      <c r="E114">
        <f>IF($X114="","",INDEX('Per Line'!$C$2:$C$1501,$X114)&amp;"")</f>
        <v/>
      </c>
      <c r="F114">
        <f>IF($X114="","",INDEX('Per Line'!$D$2:$D$1501,$X114)&amp;"")</f>
        <v/>
      </c>
      <c r="G114" s="15" t="n"/>
      <c r="H114" s="15" t="n"/>
      <c r="I114" s="15" t="n"/>
      <c r="J114" s="15" t="n"/>
      <c r="K114" s="14">
        <f>IF($X114="","",INDEX('Per Line'!$R$2:$R$1501,$X114))</f>
        <v/>
      </c>
      <c r="L114">
        <f>IF($X114="","",INDEX('Per Line'!$E$2:$E$1501,$X114))</f>
        <v/>
      </c>
      <c r="M114" s="7">
        <f>IF($X114="","",L114*U114/100)</f>
        <v/>
      </c>
      <c r="N114">
        <f>IF($X114="","",IF(ISNUMBER(SEARCH("3&amp;12",SUBSTITUTE(J114," ",""))),Settings!$G$7,Settings!$C$7))</f>
        <v/>
      </c>
      <c r="O114" s="7">
        <f>IF($X114="","",SUMIFS('Per Line'!$N$2:$N$1501,'Per Line'!$A$2:$A$1501,$B114,'Per Line'!$X$2:$X$1501,0))</f>
        <v/>
      </c>
      <c r="P114" s="7">
        <f>IF($X114="","",O114*N114)</f>
        <v/>
      </c>
      <c r="Q114">
        <f>IF($X114="","",IF(ISNUMBER(SEARCH("3&amp;12",SUBSTITUTE(J114," ",""))),Settings!$G$6,Settings!$C$6))</f>
        <v/>
      </c>
      <c r="R114" s="7">
        <f>IF($X114="","",SUMIFS('Per Line'!$N$2:$N$1501,'Per Line'!$A$2:$A$1501,$B114,'Per Line'!$X$2:$X$1501,1))</f>
        <v/>
      </c>
      <c r="S114" s="7">
        <f>IF($X114="","",R114*Q114)</f>
        <v/>
      </c>
      <c r="T114" s="7">
        <f>IF($X114="","",S114+P114)</f>
        <v/>
      </c>
      <c r="U114" s="7">
        <f>IF($X114="","",V114-T114)</f>
        <v/>
      </c>
      <c r="V114" s="7">
        <f>IF($X114="","",O114+R114)</f>
        <v/>
      </c>
      <c r="W114" s="7">
        <f>IF($X114="","",V114-T114-M114)</f>
        <v/>
      </c>
      <c r="X114" s="16">
        <f>IF(ROWS($X$2:$X114)&lt;=MAX('Per Line'!$W$2:$W$1501),MATCH(ROWS($X$2:$X114),'Per Line'!$W$2:$W$1501,0),"")</f>
        <v/>
      </c>
      <c r="Y114">
        <f>IF($X114="","",C114&amp;"|"&amp;COUNTIF($C$2:$C114,C114))</f>
        <v/>
      </c>
    </row>
    <row r="115">
      <c r="A115" s="15" t="n"/>
      <c r="B115">
        <f>IF($X115="","",INDEX('Per Line'!$A$2:$A$1501,$X115)&amp;"")</f>
        <v/>
      </c>
      <c r="C115">
        <f>IF($X115="","",IF(OR(TRIM(H115)="",TRIM(H115)="All",TRIM(H115)="All Comp"),TRIM(J115),TRIM(H115)))</f>
        <v/>
      </c>
      <c r="D115">
        <f>IF($X115="","",INDEX('Per Line'!$B$2:$B$1501,$X115)&amp;"")</f>
        <v/>
      </c>
      <c r="E115">
        <f>IF($X115="","",INDEX('Per Line'!$C$2:$C$1501,$X115)&amp;"")</f>
        <v/>
      </c>
      <c r="F115">
        <f>IF($X115="","",INDEX('Per Line'!$D$2:$D$1501,$X115)&amp;"")</f>
        <v/>
      </c>
      <c r="G115" s="15" t="n"/>
      <c r="H115" s="15" t="n"/>
      <c r="I115" s="15" t="n"/>
      <c r="J115" s="15" t="n"/>
      <c r="K115" s="14">
        <f>IF($X115="","",INDEX('Per Line'!$R$2:$R$1501,$X115))</f>
        <v/>
      </c>
      <c r="L115">
        <f>IF($X115="","",INDEX('Per Line'!$E$2:$E$1501,$X115))</f>
        <v/>
      </c>
      <c r="M115" s="7">
        <f>IF($X115="","",L115*U115/100)</f>
        <v/>
      </c>
      <c r="N115">
        <f>IF($X115="","",IF(ISNUMBER(SEARCH("3&amp;12",SUBSTITUTE(J115," ",""))),Settings!$G$7,Settings!$C$7))</f>
        <v/>
      </c>
      <c r="O115" s="7">
        <f>IF($X115="","",SUMIFS('Per Line'!$N$2:$N$1501,'Per Line'!$A$2:$A$1501,$B115,'Per Line'!$X$2:$X$1501,0))</f>
        <v/>
      </c>
      <c r="P115" s="7">
        <f>IF($X115="","",O115*N115)</f>
        <v/>
      </c>
      <c r="Q115">
        <f>IF($X115="","",IF(ISNUMBER(SEARCH("3&amp;12",SUBSTITUTE(J115," ",""))),Settings!$G$6,Settings!$C$6))</f>
        <v/>
      </c>
      <c r="R115" s="7">
        <f>IF($X115="","",SUMIFS('Per Line'!$N$2:$N$1501,'Per Line'!$A$2:$A$1501,$B115,'Per Line'!$X$2:$X$1501,1))</f>
        <v/>
      </c>
      <c r="S115" s="7">
        <f>IF($X115="","",R115*Q115)</f>
        <v/>
      </c>
      <c r="T115" s="7">
        <f>IF($X115="","",S115+P115)</f>
        <v/>
      </c>
      <c r="U115" s="7">
        <f>IF($X115="","",V115-T115)</f>
        <v/>
      </c>
      <c r="V115" s="7">
        <f>IF($X115="","",O115+R115)</f>
        <v/>
      </c>
      <c r="W115" s="7">
        <f>IF($X115="","",V115-T115-M115)</f>
        <v/>
      </c>
      <c r="X115" s="16">
        <f>IF(ROWS($X$2:$X115)&lt;=MAX('Per Line'!$W$2:$W$1501),MATCH(ROWS($X$2:$X115),'Per Line'!$W$2:$W$1501,0),"")</f>
        <v/>
      </c>
      <c r="Y115">
        <f>IF($X115="","",C115&amp;"|"&amp;COUNTIF($C$2:$C115,C115))</f>
        <v/>
      </c>
    </row>
    <row r="116">
      <c r="A116" s="15" t="n"/>
      <c r="B116">
        <f>IF($X116="","",INDEX('Per Line'!$A$2:$A$1501,$X116)&amp;"")</f>
        <v/>
      </c>
      <c r="C116">
        <f>IF($X116="","",IF(OR(TRIM(H116)="",TRIM(H116)="All",TRIM(H116)="All Comp"),TRIM(J116),TRIM(H116)))</f>
        <v/>
      </c>
      <c r="D116">
        <f>IF($X116="","",INDEX('Per Line'!$B$2:$B$1501,$X116)&amp;"")</f>
        <v/>
      </c>
      <c r="E116">
        <f>IF($X116="","",INDEX('Per Line'!$C$2:$C$1501,$X116)&amp;"")</f>
        <v/>
      </c>
      <c r="F116">
        <f>IF($X116="","",INDEX('Per Line'!$D$2:$D$1501,$X116)&amp;"")</f>
        <v/>
      </c>
      <c r="G116" s="15" t="n"/>
      <c r="H116" s="15" t="n"/>
      <c r="I116" s="15" t="n"/>
      <c r="J116" s="15" t="n"/>
      <c r="K116" s="14">
        <f>IF($X116="","",INDEX('Per Line'!$R$2:$R$1501,$X116))</f>
        <v/>
      </c>
      <c r="L116">
        <f>IF($X116="","",INDEX('Per Line'!$E$2:$E$1501,$X116))</f>
        <v/>
      </c>
      <c r="M116" s="7">
        <f>IF($X116="","",L116*U116/100)</f>
        <v/>
      </c>
      <c r="N116">
        <f>IF($X116="","",IF(ISNUMBER(SEARCH("3&amp;12",SUBSTITUTE(J116," ",""))),Settings!$G$7,Settings!$C$7))</f>
        <v/>
      </c>
      <c r="O116" s="7">
        <f>IF($X116="","",SUMIFS('Per Line'!$N$2:$N$1501,'Per Line'!$A$2:$A$1501,$B116,'Per Line'!$X$2:$X$1501,0))</f>
        <v/>
      </c>
      <c r="P116" s="7">
        <f>IF($X116="","",O116*N116)</f>
        <v/>
      </c>
      <c r="Q116">
        <f>IF($X116="","",IF(ISNUMBER(SEARCH("3&amp;12",SUBSTITUTE(J116," ",""))),Settings!$G$6,Settings!$C$6))</f>
        <v/>
      </c>
      <c r="R116" s="7">
        <f>IF($X116="","",SUMIFS('Per Line'!$N$2:$N$1501,'Per Line'!$A$2:$A$1501,$B116,'Per Line'!$X$2:$X$1501,1))</f>
        <v/>
      </c>
      <c r="S116" s="7">
        <f>IF($X116="","",R116*Q116)</f>
        <v/>
      </c>
      <c r="T116" s="7">
        <f>IF($X116="","",S116+P116)</f>
        <v/>
      </c>
      <c r="U116" s="7">
        <f>IF($X116="","",V116-T116)</f>
        <v/>
      </c>
      <c r="V116" s="7">
        <f>IF($X116="","",O116+R116)</f>
        <v/>
      </c>
      <c r="W116" s="7">
        <f>IF($X116="","",V116-T116-M116)</f>
        <v/>
      </c>
      <c r="X116" s="16">
        <f>IF(ROWS($X$2:$X116)&lt;=MAX('Per Line'!$W$2:$W$1501),MATCH(ROWS($X$2:$X116),'Per Line'!$W$2:$W$1501,0),"")</f>
        <v/>
      </c>
      <c r="Y116">
        <f>IF($X116="","",C116&amp;"|"&amp;COUNTIF($C$2:$C116,C116))</f>
        <v/>
      </c>
    </row>
    <row r="117">
      <c r="A117" s="15" t="n"/>
      <c r="B117">
        <f>IF($X117="","",INDEX('Per Line'!$A$2:$A$1501,$X117)&amp;"")</f>
        <v/>
      </c>
      <c r="C117">
        <f>IF($X117="","",IF(OR(TRIM(H117)="",TRIM(H117)="All",TRIM(H117)="All Comp"),TRIM(J117),TRIM(H117)))</f>
        <v/>
      </c>
      <c r="D117">
        <f>IF($X117="","",INDEX('Per Line'!$B$2:$B$1501,$X117)&amp;"")</f>
        <v/>
      </c>
      <c r="E117">
        <f>IF($X117="","",INDEX('Per Line'!$C$2:$C$1501,$X117)&amp;"")</f>
        <v/>
      </c>
      <c r="F117">
        <f>IF($X117="","",INDEX('Per Line'!$D$2:$D$1501,$X117)&amp;"")</f>
        <v/>
      </c>
      <c r="G117" s="15" t="n"/>
      <c r="H117" s="15" t="n"/>
      <c r="I117" s="15" t="n"/>
      <c r="J117" s="15" t="n"/>
      <c r="K117" s="14">
        <f>IF($X117="","",INDEX('Per Line'!$R$2:$R$1501,$X117))</f>
        <v/>
      </c>
      <c r="L117">
        <f>IF($X117="","",INDEX('Per Line'!$E$2:$E$1501,$X117))</f>
        <v/>
      </c>
      <c r="M117" s="7">
        <f>IF($X117="","",L117*U117/100)</f>
        <v/>
      </c>
      <c r="N117">
        <f>IF($X117="","",IF(ISNUMBER(SEARCH("3&amp;12",SUBSTITUTE(J117," ",""))),Settings!$G$7,Settings!$C$7))</f>
        <v/>
      </c>
      <c r="O117" s="7">
        <f>IF($X117="","",SUMIFS('Per Line'!$N$2:$N$1501,'Per Line'!$A$2:$A$1501,$B117,'Per Line'!$X$2:$X$1501,0))</f>
        <v/>
      </c>
      <c r="P117" s="7">
        <f>IF($X117="","",O117*N117)</f>
        <v/>
      </c>
      <c r="Q117">
        <f>IF($X117="","",IF(ISNUMBER(SEARCH("3&amp;12",SUBSTITUTE(J117," ",""))),Settings!$G$6,Settings!$C$6))</f>
        <v/>
      </c>
      <c r="R117" s="7">
        <f>IF($X117="","",SUMIFS('Per Line'!$N$2:$N$1501,'Per Line'!$A$2:$A$1501,$B117,'Per Line'!$X$2:$X$1501,1))</f>
        <v/>
      </c>
      <c r="S117" s="7">
        <f>IF($X117="","",R117*Q117)</f>
        <v/>
      </c>
      <c r="T117" s="7">
        <f>IF($X117="","",S117+P117)</f>
        <v/>
      </c>
      <c r="U117" s="7">
        <f>IF($X117="","",V117-T117)</f>
        <v/>
      </c>
      <c r="V117" s="7">
        <f>IF($X117="","",O117+R117)</f>
        <v/>
      </c>
      <c r="W117" s="7">
        <f>IF($X117="","",V117-T117-M117)</f>
        <v/>
      </c>
      <c r="X117" s="16">
        <f>IF(ROWS($X$2:$X117)&lt;=MAX('Per Line'!$W$2:$W$1501),MATCH(ROWS($X$2:$X117),'Per Line'!$W$2:$W$1501,0),"")</f>
        <v/>
      </c>
      <c r="Y117">
        <f>IF($X117="","",C117&amp;"|"&amp;COUNTIF($C$2:$C117,C117))</f>
        <v/>
      </c>
    </row>
    <row r="118">
      <c r="A118" s="15" t="n"/>
      <c r="B118">
        <f>IF($X118="","",INDEX('Per Line'!$A$2:$A$1501,$X118)&amp;"")</f>
        <v/>
      </c>
      <c r="C118">
        <f>IF($X118="","",IF(OR(TRIM(H118)="",TRIM(H118)="All",TRIM(H118)="All Comp"),TRIM(J118),TRIM(H118)))</f>
        <v/>
      </c>
      <c r="D118">
        <f>IF($X118="","",INDEX('Per Line'!$B$2:$B$1501,$X118)&amp;"")</f>
        <v/>
      </c>
      <c r="E118">
        <f>IF($X118="","",INDEX('Per Line'!$C$2:$C$1501,$X118)&amp;"")</f>
        <v/>
      </c>
      <c r="F118">
        <f>IF($X118="","",INDEX('Per Line'!$D$2:$D$1501,$X118)&amp;"")</f>
        <v/>
      </c>
      <c r="G118" s="15" t="n"/>
      <c r="H118" s="15" t="n"/>
      <c r="I118" s="15" t="n"/>
      <c r="J118" s="15" t="n"/>
      <c r="K118" s="14">
        <f>IF($X118="","",INDEX('Per Line'!$R$2:$R$1501,$X118))</f>
        <v/>
      </c>
      <c r="L118">
        <f>IF($X118="","",INDEX('Per Line'!$E$2:$E$1501,$X118))</f>
        <v/>
      </c>
      <c r="M118" s="7">
        <f>IF($X118="","",L118*U118/100)</f>
        <v/>
      </c>
      <c r="N118">
        <f>IF($X118="","",IF(ISNUMBER(SEARCH("3&amp;12",SUBSTITUTE(J118," ",""))),Settings!$G$7,Settings!$C$7))</f>
        <v/>
      </c>
      <c r="O118" s="7">
        <f>IF($X118="","",SUMIFS('Per Line'!$N$2:$N$1501,'Per Line'!$A$2:$A$1501,$B118,'Per Line'!$X$2:$X$1501,0))</f>
        <v/>
      </c>
      <c r="P118" s="7">
        <f>IF($X118="","",O118*N118)</f>
        <v/>
      </c>
      <c r="Q118">
        <f>IF($X118="","",IF(ISNUMBER(SEARCH("3&amp;12",SUBSTITUTE(J118," ",""))),Settings!$G$6,Settings!$C$6))</f>
        <v/>
      </c>
      <c r="R118" s="7">
        <f>IF($X118="","",SUMIFS('Per Line'!$N$2:$N$1501,'Per Line'!$A$2:$A$1501,$B118,'Per Line'!$X$2:$X$1501,1))</f>
        <v/>
      </c>
      <c r="S118" s="7">
        <f>IF($X118="","",R118*Q118)</f>
        <v/>
      </c>
      <c r="T118" s="7">
        <f>IF($X118="","",S118+P118)</f>
        <v/>
      </c>
      <c r="U118" s="7">
        <f>IF($X118="","",V118-T118)</f>
        <v/>
      </c>
      <c r="V118" s="7">
        <f>IF($X118="","",O118+R118)</f>
        <v/>
      </c>
      <c r="W118" s="7">
        <f>IF($X118="","",V118-T118-M118)</f>
        <v/>
      </c>
      <c r="X118" s="16">
        <f>IF(ROWS($X$2:$X118)&lt;=MAX('Per Line'!$W$2:$W$1501),MATCH(ROWS($X$2:$X118),'Per Line'!$W$2:$W$1501,0),"")</f>
        <v/>
      </c>
      <c r="Y118">
        <f>IF($X118="","",C118&amp;"|"&amp;COUNTIF($C$2:$C118,C118))</f>
        <v/>
      </c>
    </row>
    <row r="119">
      <c r="A119" s="15" t="n"/>
      <c r="B119">
        <f>IF($X119="","",INDEX('Per Line'!$A$2:$A$1501,$X119)&amp;"")</f>
        <v/>
      </c>
      <c r="C119">
        <f>IF($X119="","",IF(OR(TRIM(H119)="",TRIM(H119)="All",TRIM(H119)="All Comp"),TRIM(J119),TRIM(H119)))</f>
        <v/>
      </c>
      <c r="D119">
        <f>IF($X119="","",INDEX('Per Line'!$B$2:$B$1501,$X119)&amp;"")</f>
        <v/>
      </c>
      <c r="E119">
        <f>IF($X119="","",INDEX('Per Line'!$C$2:$C$1501,$X119)&amp;"")</f>
        <v/>
      </c>
      <c r="F119">
        <f>IF($X119="","",INDEX('Per Line'!$D$2:$D$1501,$X119)&amp;"")</f>
        <v/>
      </c>
      <c r="G119" s="15" t="n"/>
      <c r="H119" s="15" t="n"/>
      <c r="I119" s="15" t="n"/>
      <c r="J119" s="15" t="n"/>
      <c r="K119" s="14">
        <f>IF($X119="","",INDEX('Per Line'!$R$2:$R$1501,$X119))</f>
        <v/>
      </c>
      <c r="L119">
        <f>IF($X119="","",INDEX('Per Line'!$E$2:$E$1501,$X119))</f>
        <v/>
      </c>
      <c r="M119" s="7">
        <f>IF($X119="","",L119*U119/100)</f>
        <v/>
      </c>
      <c r="N119">
        <f>IF($X119="","",IF(ISNUMBER(SEARCH("3&amp;12",SUBSTITUTE(J119," ",""))),Settings!$G$7,Settings!$C$7))</f>
        <v/>
      </c>
      <c r="O119" s="7">
        <f>IF($X119="","",SUMIFS('Per Line'!$N$2:$N$1501,'Per Line'!$A$2:$A$1501,$B119,'Per Line'!$X$2:$X$1501,0))</f>
        <v/>
      </c>
      <c r="P119" s="7">
        <f>IF($X119="","",O119*N119)</f>
        <v/>
      </c>
      <c r="Q119">
        <f>IF($X119="","",IF(ISNUMBER(SEARCH("3&amp;12",SUBSTITUTE(J119," ",""))),Settings!$G$6,Settings!$C$6))</f>
        <v/>
      </c>
      <c r="R119" s="7">
        <f>IF($X119="","",SUMIFS('Per Line'!$N$2:$N$1501,'Per Line'!$A$2:$A$1501,$B119,'Per Line'!$X$2:$X$1501,1))</f>
        <v/>
      </c>
      <c r="S119" s="7">
        <f>IF($X119="","",R119*Q119)</f>
        <v/>
      </c>
      <c r="T119" s="7">
        <f>IF($X119="","",S119+P119)</f>
        <v/>
      </c>
      <c r="U119" s="7">
        <f>IF($X119="","",V119-T119)</f>
        <v/>
      </c>
      <c r="V119" s="7">
        <f>IF($X119="","",O119+R119)</f>
        <v/>
      </c>
      <c r="W119" s="7">
        <f>IF($X119="","",V119-T119-M119)</f>
        <v/>
      </c>
      <c r="X119" s="16">
        <f>IF(ROWS($X$2:$X119)&lt;=MAX('Per Line'!$W$2:$W$1501),MATCH(ROWS($X$2:$X119),'Per Line'!$W$2:$W$1501,0),"")</f>
        <v/>
      </c>
      <c r="Y119">
        <f>IF($X119="","",C119&amp;"|"&amp;COUNTIF($C$2:$C119,C119))</f>
        <v/>
      </c>
    </row>
    <row r="120">
      <c r="A120" s="15" t="n"/>
      <c r="B120">
        <f>IF($X120="","",INDEX('Per Line'!$A$2:$A$1501,$X120)&amp;"")</f>
        <v/>
      </c>
      <c r="C120">
        <f>IF($X120="","",IF(OR(TRIM(H120)="",TRIM(H120)="All",TRIM(H120)="All Comp"),TRIM(J120),TRIM(H120)))</f>
        <v/>
      </c>
      <c r="D120">
        <f>IF($X120="","",INDEX('Per Line'!$B$2:$B$1501,$X120)&amp;"")</f>
        <v/>
      </c>
      <c r="E120">
        <f>IF($X120="","",INDEX('Per Line'!$C$2:$C$1501,$X120)&amp;"")</f>
        <v/>
      </c>
      <c r="F120">
        <f>IF($X120="","",INDEX('Per Line'!$D$2:$D$1501,$X120)&amp;"")</f>
        <v/>
      </c>
      <c r="G120" s="15" t="n"/>
      <c r="H120" s="15" t="n"/>
      <c r="I120" s="15" t="n"/>
      <c r="J120" s="15" t="n"/>
      <c r="K120" s="14">
        <f>IF($X120="","",INDEX('Per Line'!$R$2:$R$1501,$X120))</f>
        <v/>
      </c>
      <c r="L120">
        <f>IF($X120="","",INDEX('Per Line'!$E$2:$E$1501,$X120))</f>
        <v/>
      </c>
      <c r="M120" s="7">
        <f>IF($X120="","",L120*U120/100)</f>
        <v/>
      </c>
      <c r="N120">
        <f>IF($X120="","",IF(ISNUMBER(SEARCH("3&amp;12",SUBSTITUTE(J120," ",""))),Settings!$G$7,Settings!$C$7))</f>
        <v/>
      </c>
      <c r="O120" s="7">
        <f>IF($X120="","",SUMIFS('Per Line'!$N$2:$N$1501,'Per Line'!$A$2:$A$1501,$B120,'Per Line'!$X$2:$X$1501,0))</f>
        <v/>
      </c>
      <c r="P120" s="7">
        <f>IF($X120="","",O120*N120)</f>
        <v/>
      </c>
      <c r="Q120">
        <f>IF($X120="","",IF(ISNUMBER(SEARCH("3&amp;12",SUBSTITUTE(J120," ",""))),Settings!$G$6,Settings!$C$6))</f>
        <v/>
      </c>
      <c r="R120" s="7">
        <f>IF($X120="","",SUMIFS('Per Line'!$N$2:$N$1501,'Per Line'!$A$2:$A$1501,$B120,'Per Line'!$X$2:$X$1501,1))</f>
        <v/>
      </c>
      <c r="S120" s="7">
        <f>IF($X120="","",R120*Q120)</f>
        <v/>
      </c>
      <c r="T120" s="7">
        <f>IF($X120="","",S120+P120)</f>
        <v/>
      </c>
      <c r="U120" s="7">
        <f>IF($X120="","",V120-T120)</f>
        <v/>
      </c>
      <c r="V120" s="7">
        <f>IF($X120="","",O120+R120)</f>
        <v/>
      </c>
      <c r="W120" s="7">
        <f>IF($X120="","",V120-T120-M120)</f>
        <v/>
      </c>
      <c r="X120" s="16">
        <f>IF(ROWS($X$2:$X120)&lt;=MAX('Per Line'!$W$2:$W$1501),MATCH(ROWS($X$2:$X120),'Per Line'!$W$2:$W$1501,0),"")</f>
        <v/>
      </c>
      <c r="Y120">
        <f>IF($X120="","",C120&amp;"|"&amp;COUNTIF($C$2:$C120,C120))</f>
        <v/>
      </c>
    </row>
    <row r="121">
      <c r="A121" s="15" t="n"/>
      <c r="B121">
        <f>IF($X121="","",INDEX('Per Line'!$A$2:$A$1501,$X121)&amp;"")</f>
        <v/>
      </c>
      <c r="C121">
        <f>IF($X121="","",IF(OR(TRIM(H121)="",TRIM(H121)="All",TRIM(H121)="All Comp"),TRIM(J121),TRIM(H121)))</f>
        <v/>
      </c>
      <c r="D121">
        <f>IF($X121="","",INDEX('Per Line'!$B$2:$B$1501,$X121)&amp;"")</f>
        <v/>
      </c>
      <c r="E121">
        <f>IF($X121="","",INDEX('Per Line'!$C$2:$C$1501,$X121)&amp;"")</f>
        <v/>
      </c>
      <c r="F121">
        <f>IF($X121="","",INDEX('Per Line'!$D$2:$D$1501,$X121)&amp;"")</f>
        <v/>
      </c>
      <c r="G121" s="15" t="n"/>
      <c r="H121" s="15" t="n"/>
      <c r="I121" s="15" t="n"/>
      <c r="J121" s="15" t="n"/>
      <c r="K121" s="14">
        <f>IF($X121="","",INDEX('Per Line'!$R$2:$R$1501,$X121))</f>
        <v/>
      </c>
      <c r="L121">
        <f>IF($X121="","",INDEX('Per Line'!$E$2:$E$1501,$X121))</f>
        <v/>
      </c>
      <c r="M121" s="7">
        <f>IF($X121="","",L121*U121/100)</f>
        <v/>
      </c>
      <c r="N121">
        <f>IF($X121="","",IF(ISNUMBER(SEARCH("3&amp;12",SUBSTITUTE(J121," ",""))),Settings!$G$7,Settings!$C$7))</f>
        <v/>
      </c>
      <c r="O121" s="7">
        <f>IF($X121="","",SUMIFS('Per Line'!$N$2:$N$1501,'Per Line'!$A$2:$A$1501,$B121,'Per Line'!$X$2:$X$1501,0))</f>
        <v/>
      </c>
      <c r="P121" s="7">
        <f>IF($X121="","",O121*N121)</f>
        <v/>
      </c>
      <c r="Q121">
        <f>IF($X121="","",IF(ISNUMBER(SEARCH("3&amp;12",SUBSTITUTE(J121," ",""))),Settings!$G$6,Settings!$C$6))</f>
        <v/>
      </c>
      <c r="R121" s="7">
        <f>IF($X121="","",SUMIFS('Per Line'!$N$2:$N$1501,'Per Line'!$A$2:$A$1501,$B121,'Per Line'!$X$2:$X$1501,1))</f>
        <v/>
      </c>
      <c r="S121" s="7">
        <f>IF($X121="","",R121*Q121)</f>
        <v/>
      </c>
      <c r="T121" s="7">
        <f>IF($X121="","",S121+P121)</f>
        <v/>
      </c>
      <c r="U121" s="7">
        <f>IF($X121="","",V121-T121)</f>
        <v/>
      </c>
      <c r="V121" s="7">
        <f>IF($X121="","",O121+R121)</f>
        <v/>
      </c>
      <c r="W121" s="7">
        <f>IF($X121="","",V121-T121-M121)</f>
        <v/>
      </c>
      <c r="X121" s="16">
        <f>IF(ROWS($X$2:$X121)&lt;=MAX('Per Line'!$W$2:$W$1501),MATCH(ROWS($X$2:$X121),'Per Line'!$W$2:$W$1501,0),"")</f>
        <v/>
      </c>
      <c r="Y121">
        <f>IF($X121="","",C121&amp;"|"&amp;COUNTIF($C$2:$C121,C121))</f>
        <v/>
      </c>
    </row>
    <row r="122">
      <c r="A122" s="15" t="n"/>
      <c r="B122">
        <f>IF($X122="","",INDEX('Per Line'!$A$2:$A$1501,$X122)&amp;"")</f>
        <v/>
      </c>
      <c r="C122">
        <f>IF($X122="","",IF(OR(TRIM(H122)="",TRIM(H122)="All",TRIM(H122)="All Comp"),TRIM(J122),TRIM(H122)))</f>
        <v/>
      </c>
      <c r="D122">
        <f>IF($X122="","",INDEX('Per Line'!$B$2:$B$1501,$X122)&amp;"")</f>
        <v/>
      </c>
      <c r="E122">
        <f>IF($X122="","",INDEX('Per Line'!$C$2:$C$1501,$X122)&amp;"")</f>
        <v/>
      </c>
      <c r="F122">
        <f>IF($X122="","",INDEX('Per Line'!$D$2:$D$1501,$X122)&amp;"")</f>
        <v/>
      </c>
      <c r="G122" s="15" t="n"/>
      <c r="H122" s="15" t="n"/>
      <c r="I122" s="15" t="n"/>
      <c r="J122" s="15" t="n"/>
      <c r="K122" s="14">
        <f>IF($X122="","",INDEX('Per Line'!$R$2:$R$1501,$X122))</f>
        <v/>
      </c>
      <c r="L122">
        <f>IF($X122="","",INDEX('Per Line'!$E$2:$E$1501,$X122))</f>
        <v/>
      </c>
      <c r="M122" s="7">
        <f>IF($X122="","",L122*U122/100)</f>
        <v/>
      </c>
      <c r="N122">
        <f>IF($X122="","",IF(ISNUMBER(SEARCH("3&amp;12",SUBSTITUTE(J122," ",""))),Settings!$G$7,Settings!$C$7))</f>
        <v/>
      </c>
      <c r="O122" s="7">
        <f>IF($X122="","",SUMIFS('Per Line'!$N$2:$N$1501,'Per Line'!$A$2:$A$1501,$B122,'Per Line'!$X$2:$X$1501,0))</f>
        <v/>
      </c>
      <c r="P122" s="7">
        <f>IF($X122="","",O122*N122)</f>
        <v/>
      </c>
      <c r="Q122">
        <f>IF($X122="","",IF(ISNUMBER(SEARCH("3&amp;12",SUBSTITUTE(J122," ",""))),Settings!$G$6,Settings!$C$6))</f>
        <v/>
      </c>
      <c r="R122" s="7">
        <f>IF($X122="","",SUMIFS('Per Line'!$N$2:$N$1501,'Per Line'!$A$2:$A$1501,$B122,'Per Line'!$X$2:$X$1501,1))</f>
        <v/>
      </c>
      <c r="S122" s="7">
        <f>IF($X122="","",R122*Q122)</f>
        <v/>
      </c>
      <c r="T122" s="7">
        <f>IF($X122="","",S122+P122)</f>
        <v/>
      </c>
      <c r="U122" s="7">
        <f>IF($X122="","",V122-T122)</f>
        <v/>
      </c>
      <c r="V122" s="7">
        <f>IF($X122="","",O122+R122)</f>
        <v/>
      </c>
      <c r="W122" s="7">
        <f>IF($X122="","",V122-T122-M122)</f>
        <v/>
      </c>
      <c r="X122" s="16">
        <f>IF(ROWS($X$2:$X122)&lt;=MAX('Per Line'!$W$2:$W$1501),MATCH(ROWS($X$2:$X122),'Per Line'!$W$2:$W$1501,0),"")</f>
        <v/>
      </c>
      <c r="Y122">
        <f>IF($X122="","",C122&amp;"|"&amp;COUNTIF($C$2:$C122,C122))</f>
        <v/>
      </c>
    </row>
    <row r="123">
      <c r="A123" s="15" t="n"/>
      <c r="B123">
        <f>IF($X123="","",INDEX('Per Line'!$A$2:$A$1501,$X123)&amp;"")</f>
        <v/>
      </c>
      <c r="C123">
        <f>IF($X123="","",IF(OR(TRIM(H123)="",TRIM(H123)="All",TRIM(H123)="All Comp"),TRIM(J123),TRIM(H123)))</f>
        <v/>
      </c>
      <c r="D123">
        <f>IF($X123="","",INDEX('Per Line'!$B$2:$B$1501,$X123)&amp;"")</f>
        <v/>
      </c>
      <c r="E123">
        <f>IF($X123="","",INDEX('Per Line'!$C$2:$C$1501,$X123)&amp;"")</f>
        <v/>
      </c>
      <c r="F123">
        <f>IF($X123="","",INDEX('Per Line'!$D$2:$D$1501,$X123)&amp;"")</f>
        <v/>
      </c>
      <c r="G123" s="15" t="n"/>
      <c r="H123" s="15" t="n"/>
      <c r="I123" s="15" t="n"/>
      <c r="J123" s="15" t="n"/>
      <c r="K123" s="14">
        <f>IF($X123="","",INDEX('Per Line'!$R$2:$R$1501,$X123))</f>
        <v/>
      </c>
      <c r="L123">
        <f>IF($X123="","",INDEX('Per Line'!$E$2:$E$1501,$X123))</f>
        <v/>
      </c>
      <c r="M123" s="7">
        <f>IF($X123="","",L123*U123/100)</f>
        <v/>
      </c>
      <c r="N123">
        <f>IF($X123="","",IF(ISNUMBER(SEARCH("3&amp;12",SUBSTITUTE(J123," ",""))),Settings!$G$7,Settings!$C$7))</f>
        <v/>
      </c>
      <c r="O123" s="7">
        <f>IF($X123="","",SUMIFS('Per Line'!$N$2:$N$1501,'Per Line'!$A$2:$A$1501,$B123,'Per Line'!$X$2:$X$1501,0))</f>
        <v/>
      </c>
      <c r="P123" s="7">
        <f>IF($X123="","",O123*N123)</f>
        <v/>
      </c>
      <c r="Q123">
        <f>IF($X123="","",IF(ISNUMBER(SEARCH("3&amp;12",SUBSTITUTE(J123," ",""))),Settings!$G$6,Settings!$C$6))</f>
        <v/>
      </c>
      <c r="R123" s="7">
        <f>IF($X123="","",SUMIFS('Per Line'!$N$2:$N$1501,'Per Line'!$A$2:$A$1501,$B123,'Per Line'!$X$2:$X$1501,1))</f>
        <v/>
      </c>
      <c r="S123" s="7">
        <f>IF($X123="","",R123*Q123)</f>
        <v/>
      </c>
      <c r="T123" s="7">
        <f>IF($X123="","",S123+P123)</f>
        <v/>
      </c>
      <c r="U123" s="7">
        <f>IF($X123="","",V123-T123)</f>
        <v/>
      </c>
      <c r="V123" s="7">
        <f>IF($X123="","",O123+R123)</f>
        <v/>
      </c>
      <c r="W123" s="7">
        <f>IF($X123="","",V123-T123-M123)</f>
        <v/>
      </c>
      <c r="X123" s="16">
        <f>IF(ROWS($X$2:$X123)&lt;=MAX('Per Line'!$W$2:$W$1501),MATCH(ROWS($X$2:$X123),'Per Line'!$W$2:$W$1501,0),"")</f>
        <v/>
      </c>
      <c r="Y123">
        <f>IF($X123="","",C123&amp;"|"&amp;COUNTIF($C$2:$C123,C123))</f>
        <v/>
      </c>
    </row>
    <row r="124">
      <c r="A124" s="15" t="n"/>
      <c r="B124">
        <f>IF($X124="","",INDEX('Per Line'!$A$2:$A$1501,$X124)&amp;"")</f>
        <v/>
      </c>
      <c r="C124">
        <f>IF($X124="","",IF(OR(TRIM(H124)="",TRIM(H124)="All",TRIM(H124)="All Comp"),TRIM(J124),TRIM(H124)))</f>
        <v/>
      </c>
      <c r="D124">
        <f>IF($X124="","",INDEX('Per Line'!$B$2:$B$1501,$X124)&amp;"")</f>
        <v/>
      </c>
      <c r="E124">
        <f>IF($X124="","",INDEX('Per Line'!$C$2:$C$1501,$X124)&amp;"")</f>
        <v/>
      </c>
      <c r="F124">
        <f>IF($X124="","",INDEX('Per Line'!$D$2:$D$1501,$X124)&amp;"")</f>
        <v/>
      </c>
      <c r="G124" s="15" t="n"/>
      <c r="H124" s="15" t="n"/>
      <c r="I124" s="15" t="n"/>
      <c r="J124" s="15" t="n"/>
      <c r="K124" s="14">
        <f>IF($X124="","",INDEX('Per Line'!$R$2:$R$1501,$X124))</f>
        <v/>
      </c>
      <c r="L124">
        <f>IF($X124="","",INDEX('Per Line'!$E$2:$E$1501,$X124))</f>
        <v/>
      </c>
      <c r="M124" s="7">
        <f>IF($X124="","",L124*U124/100)</f>
        <v/>
      </c>
      <c r="N124">
        <f>IF($X124="","",IF(ISNUMBER(SEARCH("3&amp;12",SUBSTITUTE(J124," ",""))),Settings!$G$7,Settings!$C$7))</f>
        <v/>
      </c>
      <c r="O124" s="7">
        <f>IF($X124="","",SUMIFS('Per Line'!$N$2:$N$1501,'Per Line'!$A$2:$A$1501,$B124,'Per Line'!$X$2:$X$1501,0))</f>
        <v/>
      </c>
      <c r="P124" s="7">
        <f>IF($X124="","",O124*N124)</f>
        <v/>
      </c>
      <c r="Q124">
        <f>IF($X124="","",IF(ISNUMBER(SEARCH("3&amp;12",SUBSTITUTE(J124," ",""))),Settings!$G$6,Settings!$C$6))</f>
        <v/>
      </c>
      <c r="R124" s="7">
        <f>IF($X124="","",SUMIFS('Per Line'!$N$2:$N$1501,'Per Line'!$A$2:$A$1501,$B124,'Per Line'!$X$2:$X$1501,1))</f>
        <v/>
      </c>
      <c r="S124" s="7">
        <f>IF($X124="","",R124*Q124)</f>
        <v/>
      </c>
      <c r="T124" s="7">
        <f>IF($X124="","",S124+P124)</f>
        <v/>
      </c>
      <c r="U124" s="7">
        <f>IF($X124="","",V124-T124)</f>
        <v/>
      </c>
      <c r="V124" s="7">
        <f>IF($X124="","",O124+R124)</f>
        <v/>
      </c>
      <c r="W124" s="7">
        <f>IF($X124="","",V124-T124-M124)</f>
        <v/>
      </c>
      <c r="X124" s="16">
        <f>IF(ROWS($X$2:$X124)&lt;=MAX('Per Line'!$W$2:$W$1501),MATCH(ROWS($X$2:$X124),'Per Line'!$W$2:$W$1501,0),"")</f>
        <v/>
      </c>
      <c r="Y124">
        <f>IF($X124="","",C124&amp;"|"&amp;COUNTIF($C$2:$C124,C124))</f>
        <v/>
      </c>
    </row>
    <row r="125">
      <c r="A125" s="15" t="n"/>
      <c r="B125">
        <f>IF($X125="","",INDEX('Per Line'!$A$2:$A$1501,$X125)&amp;"")</f>
        <v/>
      </c>
      <c r="C125">
        <f>IF($X125="","",IF(OR(TRIM(H125)="",TRIM(H125)="All",TRIM(H125)="All Comp"),TRIM(J125),TRIM(H125)))</f>
        <v/>
      </c>
      <c r="D125">
        <f>IF($X125="","",INDEX('Per Line'!$B$2:$B$1501,$X125)&amp;"")</f>
        <v/>
      </c>
      <c r="E125">
        <f>IF($X125="","",INDEX('Per Line'!$C$2:$C$1501,$X125)&amp;"")</f>
        <v/>
      </c>
      <c r="F125">
        <f>IF($X125="","",INDEX('Per Line'!$D$2:$D$1501,$X125)&amp;"")</f>
        <v/>
      </c>
      <c r="G125" s="15" t="n"/>
      <c r="H125" s="15" t="n"/>
      <c r="I125" s="15" t="n"/>
      <c r="J125" s="15" t="n"/>
      <c r="K125" s="14">
        <f>IF($X125="","",INDEX('Per Line'!$R$2:$R$1501,$X125))</f>
        <v/>
      </c>
      <c r="L125">
        <f>IF($X125="","",INDEX('Per Line'!$E$2:$E$1501,$X125))</f>
        <v/>
      </c>
      <c r="M125" s="7">
        <f>IF($X125="","",L125*U125/100)</f>
        <v/>
      </c>
      <c r="N125">
        <f>IF($X125="","",IF(ISNUMBER(SEARCH("3&amp;12",SUBSTITUTE(J125," ",""))),Settings!$G$7,Settings!$C$7))</f>
        <v/>
      </c>
      <c r="O125" s="7">
        <f>IF($X125="","",SUMIFS('Per Line'!$N$2:$N$1501,'Per Line'!$A$2:$A$1501,$B125,'Per Line'!$X$2:$X$1501,0))</f>
        <v/>
      </c>
      <c r="P125" s="7">
        <f>IF($X125="","",O125*N125)</f>
        <v/>
      </c>
      <c r="Q125">
        <f>IF($X125="","",IF(ISNUMBER(SEARCH("3&amp;12",SUBSTITUTE(J125," ",""))),Settings!$G$6,Settings!$C$6))</f>
        <v/>
      </c>
      <c r="R125" s="7">
        <f>IF($X125="","",SUMIFS('Per Line'!$N$2:$N$1501,'Per Line'!$A$2:$A$1501,$B125,'Per Line'!$X$2:$X$1501,1))</f>
        <v/>
      </c>
      <c r="S125" s="7">
        <f>IF($X125="","",R125*Q125)</f>
        <v/>
      </c>
      <c r="T125" s="7">
        <f>IF($X125="","",S125+P125)</f>
        <v/>
      </c>
      <c r="U125" s="7">
        <f>IF($X125="","",V125-T125)</f>
        <v/>
      </c>
      <c r="V125" s="7">
        <f>IF($X125="","",O125+R125)</f>
        <v/>
      </c>
      <c r="W125" s="7">
        <f>IF($X125="","",V125-T125-M125)</f>
        <v/>
      </c>
      <c r="X125" s="16">
        <f>IF(ROWS($X$2:$X125)&lt;=MAX('Per Line'!$W$2:$W$1501),MATCH(ROWS($X$2:$X125),'Per Line'!$W$2:$W$1501,0),"")</f>
        <v/>
      </c>
      <c r="Y125">
        <f>IF($X125="","",C125&amp;"|"&amp;COUNTIF($C$2:$C125,C125))</f>
        <v/>
      </c>
    </row>
    <row r="126">
      <c r="A126" s="15" t="n"/>
      <c r="B126">
        <f>IF($X126="","",INDEX('Per Line'!$A$2:$A$1501,$X126)&amp;"")</f>
        <v/>
      </c>
      <c r="C126">
        <f>IF($X126="","",IF(OR(TRIM(H126)="",TRIM(H126)="All",TRIM(H126)="All Comp"),TRIM(J126),TRIM(H126)))</f>
        <v/>
      </c>
      <c r="D126">
        <f>IF($X126="","",INDEX('Per Line'!$B$2:$B$1501,$X126)&amp;"")</f>
        <v/>
      </c>
      <c r="E126">
        <f>IF($X126="","",INDEX('Per Line'!$C$2:$C$1501,$X126)&amp;"")</f>
        <v/>
      </c>
      <c r="F126">
        <f>IF($X126="","",INDEX('Per Line'!$D$2:$D$1501,$X126)&amp;"")</f>
        <v/>
      </c>
      <c r="G126" s="15" t="n"/>
      <c r="H126" s="15" t="n"/>
      <c r="I126" s="15" t="n"/>
      <c r="J126" s="15" t="n"/>
      <c r="K126" s="14">
        <f>IF($X126="","",INDEX('Per Line'!$R$2:$R$1501,$X126))</f>
        <v/>
      </c>
      <c r="L126">
        <f>IF($X126="","",INDEX('Per Line'!$E$2:$E$1501,$X126))</f>
        <v/>
      </c>
      <c r="M126" s="7">
        <f>IF($X126="","",L126*U126/100)</f>
        <v/>
      </c>
      <c r="N126">
        <f>IF($X126="","",IF(ISNUMBER(SEARCH("3&amp;12",SUBSTITUTE(J126," ",""))),Settings!$G$7,Settings!$C$7))</f>
        <v/>
      </c>
      <c r="O126" s="7">
        <f>IF($X126="","",SUMIFS('Per Line'!$N$2:$N$1501,'Per Line'!$A$2:$A$1501,$B126,'Per Line'!$X$2:$X$1501,0))</f>
        <v/>
      </c>
      <c r="P126" s="7">
        <f>IF($X126="","",O126*N126)</f>
        <v/>
      </c>
      <c r="Q126">
        <f>IF($X126="","",IF(ISNUMBER(SEARCH("3&amp;12",SUBSTITUTE(J126," ",""))),Settings!$G$6,Settings!$C$6))</f>
        <v/>
      </c>
      <c r="R126" s="7">
        <f>IF($X126="","",SUMIFS('Per Line'!$N$2:$N$1501,'Per Line'!$A$2:$A$1501,$B126,'Per Line'!$X$2:$X$1501,1))</f>
        <v/>
      </c>
      <c r="S126" s="7">
        <f>IF($X126="","",R126*Q126)</f>
        <v/>
      </c>
      <c r="T126" s="7">
        <f>IF($X126="","",S126+P126)</f>
        <v/>
      </c>
      <c r="U126" s="7">
        <f>IF($X126="","",V126-T126)</f>
        <v/>
      </c>
      <c r="V126" s="7">
        <f>IF($X126="","",O126+R126)</f>
        <v/>
      </c>
      <c r="W126" s="7">
        <f>IF($X126="","",V126-T126-M126)</f>
        <v/>
      </c>
      <c r="X126" s="16">
        <f>IF(ROWS($X$2:$X126)&lt;=MAX('Per Line'!$W$2:$W$1501),MATCH(ROWS($X$2:$X126),'Per Line'!$W$2:$W$1501,0),"")</f>
        <v/>
      </c>
      <c r="Y126">
        <f>IF($X126="","",C126&amp;"|"&amp;COUNTIF($C$2:$C126,C126))</f>
        <v/>
      </c>
    </row>
    <row r="127">
      <c r="A127" s="15" t="n"/>
      <c r="B127">
        <f>IF($X127="","",INDEX('Per Line'!$A$2:$A$1501,$X127)&amp;"")</f>
        <v/>
      </c>
      <c r="C127">
        <f>IF($X127="","",IF(OR(TRIM(H127)="",TRIM(H127)="All",TRIM(H127)="All Comp"),TRIM(J127),TRIM(H127)))</f>
        <v/>
      </c>
      <c r="D127">
        <f>IF($X127="","",INDEX('Per Line'!$B$2:$B$1501,$X127)&amp;"")</f>
        <v/>
      </c>
      <c r="E127">
        <f>IF($X127="","",INDEX('Per Line'!$C$2:$C$1501,$X127)&amp;"")</f>
        <v/>
      </c>
      <c r="F127">
        <f>IF($X127="","",INDEX('Per Line'!$D$2:$D$1501,$X127)&amp;"")</f>
        <v/>
      </c>
      <c r="G127" s="15" t="n"/>
      <c r="H127" s="15" t="n"/>
      <c r="I127" s="15" t="n"/>
      <c r="J127" s="15" t="n"/>
      <c r="K127" s="14">
        <f>IF($X127="","",INDEX('Per Line'!$R$2:$R$1501,$X127))</f>
        <v/>
      </c>
      <c r="L127">
        <f>IF($X127="","",INDEX('Per Line'!$E$2:$E$1501,$X127))</f>
        <v/>
      </c>
      <c r="M127" s="7">
        <f>IF($X127="","",L127*U127/100)</f>
        <v/>
      </c>
      <c r="N127">
        <f>IF($X127="","",IF(ISNUMBER(SEARCH("3&amp;12",SUBSTITUTE(J127," ",""))),Settings!$G$7,Settings!$C$7))</f>
        <v/>
      </c>
      <c r="O127" s="7">
        <f>IF($X127="","",SUMIFS('Per Line'!$N$2:$N$1501,'Per Line'!$A$2:$A$1501,$B127,'Per Line'!$X$2:$X$1501,0))</f>
        <v/>
      </c>
      <c r="P127" s="7">
        <f>IF($X127="","",O127*N127)</f>
        <v/>
      </c>
      <c r="Q127">
        <f>IF($X127="","",IF(ISNUMBER(SEARCH("3&amp;12",SUBSTITUTE(J127," ",""))),Settings!$G$6,Settings!$C$6))</f>
        <v/>
      </c>
      <c r="R127" s="7">
        <f>IF($X127="","",SUMIFS('Per Line'!$N$2:$N$1501,'Per Line'!$A$2:$A$1501,$B127,'Per Line'!$X$2:$X$1501,1))</f>
        <v/>
      </c>
      <c r="S127" s="7">
        <f>IF($X127="","",R127*Q127)</f>
        <v/>
      </c>
      <c r="T127" s="7">
        <f>IF($X127="","",S127+P127)</f>
        <v/>
      </c>
      <c r="U127" s="7">
        <f>IF($X127="","",V127-T127)</f>
        <v/>
      </c>
      <c r="V127" s="7">
        <f>IF($X127="","",O127+R127)</f>
        <v/>
      </c>
      <c r="W127" s="7">
        <f>IF($X127="","",V127-T127-M127)</f>
        <v/>
      </c>
      <c r="X127" s="16">
        <f>IF(ROWS($X$2:$X127)&lt;=MAX('Per Line'!$W$2:$W$1501),MATCH(ROWS($X$2:$X127),'Per Line'!$W$2:$W$1501,0),"")</f>
        <v/>
      </c>
      <c r="Y127">
        <f>IF($X127="","",C127&amp;"|"&amp;COUNTIF($C$2:$C127,C127))</f>
        <v/>
      </c>
    </row>
    <row r="128">
      <c r="A128" s="15" t="n"/>
      <c r="B128">
        <f>IF($X128="","",INDEX('Per Line'!$A$2:$A$1501,$X128)&amp;"")</f>
        <v/>
      </c>
      <c r="C128">
        <f>IF($X128="","",IF(OR(TRIM(H128)="",TRIM(H128)="All",TRIM(H128)="All Comp"),TRIM(J128),TRIM(H128)))</f>
        <v/>
      </c>
      <c r="D128">
        <f>IF($X128="","",INDEX('Per Line'!$B$2:$B$1501,$X128)&amp;"")</f>
        <v/>
      </c>
      <c r="E128">
        <f>IF($X128="","",INDEX('Per Line'!$C$2:$C$1501,$X128)&amp;"")</f>
        <v/>
      </c>
      <c r="F128">
        <f>IF($X128="","",INDEX('Per Line'!$D$2:$D$1501,$X128)&amp;"")</f>
        <v/>
      </c>
      <c r="G128" s="15" t="n"/>
      <c r="H128" s="15" t="n"/>
      <c r="I128" s="15" t="n"/>
      <c r="J128" s="15" t="n"/>
      <c r="K128" s="14">
        <f>IF($X128="","",INDEX('Per Line'!$R$2:$R$1501,$X128))</f>
        <v/>
      </c>
      <c r="L128">
        <f>IF($X128="","",INDEX('Per Line'!$E$2:$E$1501,$X128))</f>
        <v/>
      </c>
      <c r="M128" s="7">
        <f>IF($X128="","",L128*U128/100)</f>
        <v/>
      </c>
      <c r="N128">
        <f>IF($X128="","",IF(ISNUMBER(SEARCH("3&amp;12",SUBSTITUTE(J128," ",""))),Settings!$G$7,Settings!$C$7))</f>
        <v/>
      </c>
      <c r="O128" s="7">
        <f>IF($X128="","",SUMIFS('Per Line'!$N$2:$N$1501,'Per Line'!$A$2:$A$1501,$B128,'Per Line'!$X$2:$X$1501,0))</f>
        <v/>
      </c>
      <c r="P128" s="7">
        <f>IF($X128="","",O128*N128)</f>
        <v/>
      </c>
      <c r="Q128">
        <f>IF($X128="","",IF(ISNUMBER(SEARCH("3&amp;12",SUBSTITUTE(J128," ",""))),Settings!$G$6,Settings!$C$6))</f>
        <v/>
      </c>
      <c r="R128" s="7">
        <f>IF($X128="","",SUMIFS('Per Line'!$N$2:$N$1501,'Per Line'!$A$2:$A$1501,$B128,'Per Line'!$X$2:$X$1501,1))</f>
        <v/>
      </c>
      <c r="S128" s="7">
        <f>IF($X128="","",R128*Q128)</f>
        <v/>
      </c>
      <c r="T128" s="7">
        <f>IF($X128="","",S128+P128)</f>
        <v/>
      </c>
      <c r="U128" s="7">
        <f>IF($X128="","",V128-T128)</f>
        <v/>
      </c>
      <c r="V128" s="7">
        <f>IF($X128="","",O128+R128)</f>
        <v/>
      </c>
      <c r="W128" s="7">
        <f>IF($X128="","",V128-T128-M128)</f>
        <v/>
      </c>
      <c r="X128" s="16">
        <f>IF(ROWS($X$2:$X128)&lt;=MAX('Per Line'!$W$2:$W$1501),MATCH(ROWS($X$2:$X128),'Per Line'!$W$2:$W$1501,0),"")</f>
        <v/>
      </c>
      <c r="Y128">
        <f>IF($X128="","",C128&amp;"|"&amp;COUNTIF($C$2:$C128,C128))</f>
        <v/>
      </c>
    </row>
    <row r="129">
      <c r="A129" s="15" t="n"/>
      <c r="B129">
        <f>IF($X129="","",INDEX('Per Line'!$A$2:$A$1501,$X129)&amp;"")</f>
        <v/>
      </c>
      <c r="C129">
        <f>IF($X129="","",IF(OR(TRIM(H129)="",TRIM(H129)="All",TRIM(H129)="All Comp"),TRIM(J129),TRIM(H129)))</f>
        <v/>
      </c>
      <c r="D129">
        <f>IF($X129="","",INDEX('Per Line'!$B$2:$B$1501,$X129)&amp;"")</f>
        <v/>
      </c>
      <c r="E129">
        <f>IF($X129="","",INDEX('Per Line'!$C$2:$C$1501,$X129)&amp;"")</f>
        <v/>
      </c>
      <c r="F129">
        <f>IF($X129="","",INDEX('Per Line'!$D$2:$D$1501,$X129)&amp;"")</f>
        <v/>
      </c>
      <c r="G129" s="15" t="n"/>
      <c r="H129" s="15" t="n"/>
      <c r="I129" s="15" t="n"/>
      <c r="J129" s="15" t="n"/>
      <c r="K129" s="14">
        <f>IF($X129="","",INDEX('Per Line'!$R$2:$R$1501,$X129))</f>
        <v/>
      </c>
      <c r="L129">
        <f>IF($X129="","",INDEX('Per Line'!$E$2:$E$1501,$X129))</f>
        <v/>
      </c>
      <c r="M129" s="7">
        <f>IF($X129="","",L129*U129/100)</f>
        <v/>
      </c>
      <c r="N129">
        <f>IF($X129="","",IF(ISNUMBER(SEARCH("3&amp;12",SUBSTITUTE(J129," ",""))),Settings!$G$7,Settings!$C$7))</f>
        <v/>
      </c>
      <c r="O129" s="7">
        <f>IF($X129="","",SUMIFS('Per Line'!$N$2:$N$1501,'Per Line'!$A$2:$A$1501,$B129,'Per Line'!$X$2:$X$1501,0))</f>
        <v/>
      </c>
      <c r="P129" s="7">
        <f>IF($X129="","",O129*N129)</f>
        <v/>
      </c>
      <c r="Q129">
        <f>IF($X129="","",IF(ISNUMBER(SEARCH("3&amp;12",SUBSTITUTE(J129," ",""))),Settings!$G$6,Settings!$C$6))</f>
        <v/>
      </c>
      <c r="R129" s="7">
        <f>IF($X129="","",SUMIFS('Per Line'!$N$2:$N$1501,'Per Line'!$A$2:$A$1501,$B129,'Per Line'!$X$2:$X$1501,1))</f>
        <v/>
      </c>
      <c r="S129" s="7">
        <f>IF($X129="","",R129*Q129)</f>
        <v/>
      </c>
      <c r="T129" s="7">
        <f>IF($X129="","",S129+P129)</f>
        <v/>
      </c>
      <c r="U129" s="7">
        <f>IF($X129="","",V129-T129)</f>
        <v/>
      </c>
      <c r="V129" s="7">
        <f>IF($X129="","",O129+R129)</f>
        <v/>
      </c>
      <c r="W129" s="7">
        <f>IF($X129="","",V129-T129-M129)</f>
        <v/>
      </c>
      <c r="X129" s="16">
        <f>IF(ROWS($X$2:$X129)&lt;=MAX('Per Line'!$W$2:$W$1501),MATCH(ROWS($X$2:$X129),'Per Line'!$W$2:$W$1501,0),"")</f>
        <v/>
      </c>
      <c r="Y129">
        <f>IF($X129="","",C129&amp;"|"&amp;COUNTIF($C$2:$C129,C129))</f>
        <v/>
      </c>
    </row>
    <row r="130">
      <c r="A130" s="15" t="n"/>
      <c r="B130">
        <f>IF($X130="","",INDEX('Per Line'!$A$2:$A$1501,$X130)&amp;"")</f>
        <v/>
      </c>
      <c r="C130">
        <f>IF($X130="","",IF(OR(TRIM(H130)="",TRIM(H130)="All",TRIM(H130)="All Comp"),TRIM(J130),TRIM(H130)))</f>
        <v/>
      </c>
      <c r="D130">
        <f>IF($X130="","",INDEX('Per Line'!$B$2:$B$1501,$X130)&amp;"")</f>
        <v/>
      </c>
      <c r="E130">
        <f>IF($X130="","",INDEX('Per Line'!$C$2:$C$1501,$X130)&amp;"")</f>
        <v/>
      </c>
      <c r="F130">
        <f>IF($X130="","",INDEX('Per Line'!$D$2:$D$1501,$X130)&amp;"")</f>
        <v/>
      </c>
      <c r="G130" s="15" t="n"/>
      <c r="H130" s="15" t="n"/>
      <c r="I130" s="15" t="n"/>
      <c r="J130" s="15" t="n"/>
      <c r="K130" s="14">
        <f>IF($X130="","",INDEX('Per Line'!$R$2:$R$1501,$X130))</f>
        <v/>
      </c>
      <c r="L130">
        <f>IF($X130="","",INDEX('Per Line'!$E$2:$E$1501,$X130))</f>
        <v/>
      </c>
      <c r="M130" s="7">
        <f>IF($X130="","",L130*U130/100)</f>
        <v/>
      </c>
      <c r="N130">
        <f>IF($X130="","",IF(ISNUMBER(SEARCH("3&amp;12",SUBSTITUTE(J130," ",""))),Settings!$G$7,Settings!$C$7))</f>
        <v/>
      </c>
      <c r="O130" s="7">
        <f>IF($X130="","",SUMIFS('Per Line'!$N$2:$N$1501,'Per Line'!$A$2:$A$1501,$B130,'Per Line'!$X$2:$X$1501,0))</f>
        <v/>
      </c>
      <c r="P130" s="7">
        <f>IF($X130="","",O130*N130)</f>
        <v/>
      </c>
      <c r="Q130">
        <f>IF($X130="","",IF(ISNUMBER(SEARCH("3&amp;12",SUBSTITUTE(J130," ",""))),Settings!$G$6,Settings!$C$6))</f>
        <v/>
      </c>
      <c r="R130" s="7">
        <f>IF($X130="","",SUMIFS('Per Line'!$N$2:$N$1501,'Per Line'!$A$2:$A$1501,$B130,'Per Line'!$X$2:$X$1501,1))</f>
        <v/>
      </c>
      <c r="S130" s="7">
        <f>IF($X130="","",R130*Q130)</f>
        <v/>
      </c>
      <c r="T130" s="7">
        <f>IF($X130="","",S130+P130)</f>
        <v/>
      </c>
      <c r="U130" s="7">
        <f>IF($X130="","",V130-T130)</f>
        <v/>
      </c>
      <c r="V130" s="7">
        <f>IF($X130="","",O130+R130)</f>
        <v/>
      </c>
      <c r="W130" s="7">
        <f>IF($X130="","",V130-T130-M130)</f>
        <v/>
      </c>
      <c r="X130" s="16">
        <f>IF(ROWS($X$2:$X130)&lt;=MAX('Per Line'!$W$2:$W$1501),MATCH(ROWS($X$2:$X130),'Per Line'!$W$2:$W$1501,0),"")</f>
        <v/>
      </c>
      <c r="Y130">
        <f>IF($X130="","",C130&amp;"|"&amp;COUNTIF($C$2:$C130,C130))</f>
        <v/>
      </c>
    </row>
    <row r="131">
      <c r="A131" s="15" t="n"/>
      <c r="B131">
        <f>IF($X131="","",INDEX('Per Line'!$A$2:$A$1501,$X131)&amp;"")</f>
        <v/>
      </c>
      <c r="C131">
        <f>IF($X131="","",IF(OR(TRIM(H131)="",TRIM(H131)="All",TRIM(H131)="All Comp"),TRIM(J131),TRIM(H131)))</f>
        <v/>
      </c>
      <c r="D131">
        <f>IF($X131="","",INDEX('Per Line'!$B$2:$B$1501,$X131)&amp;"")</f>
        <v/>
      </c>
      <c r="E131">
        <f>IF($X131="","",INDEX('Per Line'!$C$2:$C$1501,$X131)&amp;"")</f>
        <v/>
      </c>
      <c r="F131">
        <f>IF($X131="","",INDEX('Per Line'!$D$2:$D$1501,$X131)&amp;"")</f>
        <v/>
      </c>
      <c r="G131" s="15" t="n"/>
      <c r="H131" s="15" t="n"/>
      <c r="I131" s="15" t="n"/>
      <c r="J131" s="15" t="n"/>
      <c r="K131" s="14">
        <f>IF($X131="","",INDEX('Per Line'!$R$2:$R$1501,$X131))</f>
        <v/>
      </c>
      <c r="L131">
        <f>IF($X131="","",INDEX('Per Line'!$E$2:$E$1501,$X131))</f>
        <v/>
      </c>
      <c r="M131" s="7">
        <f>IF($X131="","",L131*U131/100)</f>
        <v/>
      </c>
      <c r="N131">
        <f>IF($X131="","",IF(ISNUMBER(SEARCH("3&amp;12",SUBSTITUTE(J131," ",""))),Settings!$G$7,Settings!$C$7))</f>
        <v/>
      </c>
      <c r="O131" s="7">
        <f>IF($X131="","",SUMIFS('Per Line'!$N$2:$N$1501,'Per Line'!$A$2:$A$1501,$B131,'Per Line'!$X$2:$X$1501,0))</f>
        <v/>
      </c>
      <c r="P131" s="7">
        <f>IF($X131="","",O131*N131)</f>
        <v/>
      </c>
      <c r="Q131">
        <f>IF($X131="","",IF(ISNUMBER(SEARCH("3&amp;12",SUBSTITUTE(J131," ",""))),Settings!$G$6,Settings!$C$6))</f>
        <v/>
      </c>
      <c r="R131" s="7">
        <f>IF($X131="","",SUMIFS('Per Line'!$N$2:$N$1501,'Per Line'!$A$2:$A$1501,$B131,'Per Line'!$X$2:$X$1501,1))</f>
        <v/>
      </c>
      <c r="S131" s="7">
        <f>IF($X131="","",R131*Q131)</f>
        <v/>
      </c>
      <c r="T131" s="7">
        <f>IF($X131="","",S131+P131)</f>
        <v/>
      </c>
      <c r="U131" s="7">
        <f>IF($X131="","",V131-T131)</f>
        <v/>
      </c>
      <c r="V131" s="7">
        <f>IF($X131="","",O131+R131)</f>
        <v/>
      </c>
      <c r="W131" s="7">
        <f>IF($X131="","",V131-T131-M131)</f>
        <v/>
      </c>
      <c r="X131" s="16">
        <f>IF(ROWS($X$2:$X131)&lt;=MAX('Per Line'!$W$2:$W$1501),MATCH(ROWS($X$2:$X131),'Per Line'!$W$2:$W$1501,0),"")</f>
        <v/>
      </c>
      <c r="Y131">
        <f>IF($X131="","",C131&amp;"|"&amp;COUNTIF($C$2:$C131,C131))</f>
        <v/>
      </c>
    </row>
    <row r="132">
      <c r="A132" s="15" t="n"/>
      <c r="B132">
        <f>IF($X132="","",INDEX('Per Line'!$A$2:$A$1501,$X132)&amp;"")</f>
        <v/>
      </c>
      <c r="C132">
        <f>IF($X132="","",IF(OR(TRIM(H132)="",TRIM(H132)="All",TRIM(H132)="All Comp"),TRIM(J132),TRIM(H132)))</f>
        <v/>
      </c>
      <c r="D132">
        <f>IF($X132="","",INDEX('Per Line'!$B$2:$B$1501,$X132)&amp;"")</f>
        <v/>
      </c>
      <c r="E132">
        <f>IF($X132="","",INDEX('Per Line'!$C$2:$C$1501,$X132)&amp;"")</f>
        <v/>
      </c>
      <c r="F132">
        <f>IF($X132="","",INDEX('Per Line'!$D$2:$D$1501,$X132)&amp;"")</f>
        <v/>
      </c>
      <c r="G132" s="15" t="n"/>
      <c r="H132" s="15" t="n"/>
      <c r="I132" s="15" t="n"/>
      <c r="J132" s="15" t="n"/>
      <c r="K132" s="14">
        <f>IF($X132="","",INDEX('Per Line'!$R$2:$R$1501,$X132))</f>
        <v/>
      </c>
      <c r="L132">
        <f>IF($X132="","",INDEX('Per Line'!$E$2:$E$1501,$X132))</f>
        <v/>
      </c>
      <c r="M132" s="7">
        <f>IF($X132="","",L132*U132/100)</f>
        <v/>
      </c>
      <c r="N132">
        <f>IF($X132="","",IF(ISNUMBER(SEARCH("3&amp;12",SUBSTITUTE(J132," ",""))),Settings!$G$7,Settings!$C$7))</f>
        <v/>
      </c>
      <c r="O132" s="7">
        <f>IF($X132="","",SUMIFS('Per Line'!$N$2:$N$1501,'Per Line'!$A$2:$A$1501,$B132,'Per Line'!$X$2:$X$1501,0))</f>
        <v/>
      </c>
      <c r="P132" s="7">
        <f>IF($X132="","",O132*N132)</f>
        <v/>
      </c>
      <c r="Q132">
        <f>IF($X132="","",IF(ISNUMBER(SEARCH("3&amp;12",SUBSTITUTE(J132," ",""))),Settings!$G$6,Settings!$C$6))</f>
        <v/>
      </c>
      <c r="R132" s="7">
        <f>IF($X132="","",SUMIFS('Per Line'!$N$2:$N$1501,'Per Line'!$A$2:$A$1501,$B132,'Per Line'!$X$2:$X$1501,1))</f>
        <v/>
      </c>
      <c r="S132" s="7">
        <f>IF($X132="","",R132*Q132)</f>
        <v/>
      </c>
      <c r="T132" s="7">
        <f>IF($X132="","",S132+P132)</f>
        <v/>
      </c>
      <c r="U132" s="7">
        <f>IF($X132="","",V132-T132)</f>
        <v/>
      </c>
      <c r="V132" s="7">
        <f>IF($X132="","",O132+R132)</f>
        <v/>
      </c>
      <c r="W132" s="7">
        <f>IF($X132="","",V132-T132-M132)</f>
        <v/>
      </c>
      <c r="X132" s="16">
        <f>IF(ROWS($X$2:$X132)&lt;=MAX('Per Line'!$W$2:$W$1501),MATCH(ROWS($X$2:$X132),'Per Line'!$W$2:$W$1501,0),"")</f>
        <v/>
      </c>
      <c r="Y132">
        <f>IF($X132="","",C132&amp;"|"&amp;COUNTIF($C$2:$C132,C132))</f>
        <v/>
      </c>
    </row>
    <row r="133">
      <c r="A133" s="15" t="n"/>
      <c r="B133">
        <f>IF($X133="","",INDEX('Per Line'!$A$2:$A$1501,$X133)&amp;"")</f>
        <v/>
      </c>
      <c r="C133">
        <f>IF($X133="","",IF(OR(TRIM(H133)="",TRIM(H133)="All",TRIM(H133)="All Comp"),TRIM(J133),TRIM(H133)))</f>
        <v/>
      </c>
      <c r="D133">
        <f>IF($X133="","",INDEX('Per Line'!$B$2:$B$1501,$X133)&amp;"")</f>
        <v/>
      </c>
      <c r="E133">
        <f>IF($X133="","",INDEX('Per Line'!$C$2:$C$1501,$X133)&amp;"")</f>
        <v/>
      </c>
      <c r="F133">
        <f>IF($X133="","",INDEX('Per Line'!$D$2:$D$1501,$X133)&amp;"")</f>
        <v/>
      </c>
      <c r="G133" s="15" t="n"/>
      <c r="H133" s="15" t="n"/>
      <c r="I133" s="15" t="n"/>
      <c r="J133" s="15" t="n"/>
      <c r="K133" s="14">
        <f>IF($X133="","",INDEX('Per Line'!$R$2:$R$1501,$X133))</f>
        <v/>
      </c>
      <c r="L133">
        <f>IF($X133="","",INDEX('Per Line'!$E$2:$E$1501,$X133))</f>
        <v/>
      </c>
      <c r="M133" s="7">
        <f>IF($X133="","",L133*U133/100)</f>
        <v/>
      </c>
      <c r="N133">
        <f>IF($X133="","",IF(ISNUMBER(SEARCH("3&amp;12",SUBSTITUTE(J133," ",""))),Settings!$G$7,Settings!$C$7))</f>
        <v/>
      </c>
      <c r="O133" s="7">
        <f>IF($X133="","",SUMIFS('Per Line'!$N$2:$N$1501,'Per Line'!$A$2:$A$1501,$B133,'Per Line'!$X$2:$X$1501,0))</f>
        <v/>
      </c>
      <c r="P133" s="7">
        <f>IF($X133="","",O133*N133)</f>
        <v/>
      </c>
      <c r="Q133">
        <f>IF($X133="","",IF(ISNUMBER(SEARCH("3&amp;12",SUBSTITUTE(J133," ",""))),Settings!$G$6,Settings!$C$6))</f>
        <v/>
      </c>
      <c r="R133" s="7">
        <f>IF($X133="","",SUMIFS('Per Line'!$N$2:$N$1501,'Per Line'!$A$2:$A$1501,$B133,'Per Line'!$X$2:$X$1501,1))</f>
        <v/>
      </c>
      <c r="S133" s="7">
        <f>IF($X133="","",R133*Q133)</f>
        <v/>
      </c>
      <c r="T133" s="7">
        <f>IF($X133="","",S133+P133)</f>
        <v/>
      </c>
      <c r="U133" s="7">
        <f>IF($X133="","",V133-T133)</f>
        <v/>
      </c>
      <c r="V133" s="7">
        <f>IF($X133="","",O133+R133)</f>
        <v/>
      </c>
      <c r="W133" s="7">
        <f>IF($X133="","",V133-T133-M133)</f>
        <v/>
      </c>
      <c r="X133" s="16">
        <f>IF(ROWS($X$2:$X133)&lt;=MAX('Per Line'!$W$2:$W$1501),MATCH(ROWS($X$2:$X133),'Per Line'!$W$2:$W$1501,0),"")</f>
        <v/>
      </c>
      <c r="Y133">
        <f>IF($X133="","",C133&amp;"|"&amp;COUNTIF($C$2:$C133,C133))</f>
        <v/>
      </c>
    </row>
    <row r="134">
      <c r="A134" s="15" t="n"/>
      <c r="B134">
        <f>IF($X134="","",INDEX('Per Line'!$A$2:$A$1501,$X134)&amp;"")</f>
        <v/>
      </c>
      <c r="C134">
        <f>IF($X134="","",IF(OR(TRIM(H134)="",TRIM(H134)="All",TRIM(H134)="All Comp"),TRIM(J134),TRIM(H134)))</f>
        <v/>
      </c>
      <c r="D134">
        <f>IF($X134="","",INDEX('Per Line'!$B$2:$B$1501,$X134)&amp;"")</f>
        <v/>
      </c>
      <c r="E134">
        <f>IF($X134="","",INDEX('Per Line'!$C$2:$C$1501,$X134)&amp;"")</f>
        <v/>
      </c>
      <c r="F134">
        <f>IF($X134="","",INDEX('Per Line'!$D$2:$D$1501,$X134)&amp;"")</f>
        <v/>
      </c>
      <c r="G134" s="15" t="n"/>
      <c r="H134" s="15" t="n"/>
      <c r="I134" s="15" t="n"/>
      <c r="J134" s="15" t="n"/>
      <c r="K134" s="14">
        <f>IF($X134="","",INDEX('Per Line'!$R$2:$R$1501,$X134))</f>
        <v/>
      </c>
      <c r="L134">
        <f>IF($X134="","",INDEX('Per Line'!$E$2:$E$1501,$X134))</f>
        <v/>
      </c>
      <c r="M134" s="7">
        <f>IF($X134="","",L134*U134/100)</f>
        <v/>
      </c>
      <c r="N134">
        <f>IF($X134="","",IF(ISNUMBER(SEARCH("3&amp;12",SUBSTITUTE(J134," ",""))),Settings!$G$7,Settings!$C$7))</f>
        <v/>
      </c>
      <c r="O134" s="7">
        <f>IF($X134="","",SUMIFS('Per Line'!$N$2:$N$1501,'Per Line'!$A$2:$A$1501,$B134,'Per Line'!$X$2:$X$1501,0))</f>
        <v/>
      </c>
      <c r="P134" s="7">
        <f>IF($X134="","",O134*N134)</f>
        <v/>
      </c>
      <c r="Q134">
        <f>IF($X134="","",IF(ISNUMBER(SEARCH("3&amp;12",SUBSTITUTE(J134," ",""))),Settings!$G$6,Settings!$C$6))</f>
        <v/>
      </c>
      <c r="R134" s="7">
        <f>IF($X134="","",SUMIFS('Per Line'!$N$2:$N$1501,'Per Line'!$A$2:$A$1501,$B134,'Per Line'!$X$2:$X$1501,1))</f>
        <v/>
      </c>
      <c r="S134" s="7">
        <f>IF($X134="","",R134*Q134)</f>
        <v/>
      </c>
      <c r="T134" s="7">
        <f>IF($X134="","",S134+P134)</f>
        <v/>
      </c>
      <c r="U134" s="7">
        <f>IF($X134="","",V134-T134)</f>
        <v/>
      </c>
      <c r="V134" s="7">
        <f>IF($X134="","",O134+R134)</f>
        <v/>
      </c>
      <c r="W134" s="7">
        <f>IF($X134="","",V134-T134-M134)</f>
        <v/>
      </c>
      <c r="X134" s="16">
        <f>IF(ROWS($X$2:$X134)&lt;=MAX('Per Line'!$W$2:$W$1501),MATCH(ROWS($X$2:$X134),'Per Line'!$W$2:$W$1501,0),"")</f>
        <v/>
      </c>
      <c r="Y134">
        <f>IF($X134="","",C134&amp;"|"&amp;COUNTIF($C$2:$C134,C134))</f>
        <v/>
      </c>
    </row>
    <row r="135">
      <c r="A135" s="15" t="n"/>
      <c r="B135">
        <f>IF($X135="","",INDEX('Per Line'!$A$2:$A$1501,$X135)&amp;"")</f>
        <v/>
      </c>
      <c r="C135">
        <f>IF($X135="","",IF(OR(TRIM(H135)="",TRIM(H135)="All",TRIM(H135)="All Comp"),TRIM(J135),TRIM(H135)))</f>
        <v/>
      </c>
      <c r="D135">
        <f>IF($X135="","",INDEX('Per Line'!$B$2:$B$1501,$X135)&amp;"")</f>
        <v/>
      </c>
      <c r="E135">
        <f>IF($X135="","",INDEX('Per Line'!$C$2:$C$1501,$X135)&amp;"")</f>
        <v/>
      </c>
      <c r="F135">
        <f>IF($X135="","",INDEX('Per Line'!$D$2:$D$1501,$X135)&amp;"")</f>
        <v/>
      </c>
      <c r="G135" s="15" t="n"/>
      <c r="H135" s="15" t="n"/>
      <c r="I135" s="15" t="n"/>
      <c r="J135" s="15" t="n"/>
      <c r="K135" s="14">
        <f>IF($X135="","",INDEX('Per Line'!$R$2:$R$1501,$X135))</f>
        <v/>
      </c>
      <c r="L135">
        <f>IF($X135="","",INDEX('Per Line'!$E$2:$E$1501,$X135))</f>
        <v/>
      </c>
      <c r="M135" s="7">
        <f>IF($X135="","",L135*U135/100)</f>
        <v/>
      </c>
      <c r="N135">
        <f>IF($X135="","",IF(ISNUMBER(SEARCH("3&amp;12",SUBSTITUTE(J135," ",""))),Settings!$G$7,Settings!$C$7))</f>
        <v/>
      </c>
      <c r="O135" s="7">
        <f>IF($X135="","",SUMIFS('Per Line'!$N$2:$N$1501,'Per Line'!$A$2:$A$1501,$B135,'Per Line'!$X$2:$X$1501,0))</f>
        <v/>
      </c>
      <c r="P135" s="7">
        <f>IF($X135="","",O135*N135)</f>
        <v/>
      </c>
      <c r="Q135">
        <f>IF($X135="","",IF(ISNUMBER(SEARCH("3&amp;12",SUBSTITUTE(J135," ",""))),Settings!$G$6,Settings!$C$6))</f>
        <v/>
      </c>
      <c r="R135" s="7">
        <f>IF($X135="","",SUMIFS('Per Line'!$N$2:$N$1501,'Per Line'!$A$2:$A$1501,$B135,'Per Line'!$X$2:$X$1501,1))</f>
        <v/>
      </c>
      <c r="S135" s="7">
        <f>IF($X135="","",R135*Q135)</f>
        <v/>
      </c>
      <c r="T135" s="7">
        <f>IF($X135="","",S135+P135)</f>
        <v/>
      </c>
      <c r="U135" s="7">
        <f>IF($X135="","",V135-T135)</f>
        <v/>
      </c>
      <c r="V135" s="7">
        <f>IF($X135="","",O135+R135)</f>
        <v/>
      </c>
      <c r="W135" s="7">
        <f>IF($X135="","",V135-T135-M135)</f>
        <v/>
      </c>
      <c r="X135" s="16">
        <f>IF(ROWS($X$2:$X135)&lt;=MAX('Per Line'!$W$2:$W$1501),MATCH(ROWS($X$2:$X135),'Per Line'!$W$2:$W$1501,0),"")</f>
        <v/>
      </c>
      <c r="Y135">
        <f>IF($X135="","",C135&amp;"|"&amp;COUNTIF($C$2:$C135,C135))</f>
        <v/>
      </c>
    </row>
    <row r="136">
      <c r="A136" s="15" t="n"/>
      <c r="B136">
        <f>IF($X136="","",INDEX('Per Line'!$A$2:$A$1501,$X136)&amp;"")</f>
        <v/>
      </c>
      <c r="C136">
        <f>IF($X136="","",IF(OR(TRIM(H136)="",TRIM(H136)="All",TRIM(H136)="All Comp"),TRIM(J136),TRIM(H136)))</f>
        <v/>
      </c>
      <c r="D136">
        <f>IF($X136="","",INDEX('Per Line'!$B$2:$B$1501,$X136)&amp;"")</f>
        <v/>
      </c>
      <c r="E136">
        <f>IF($X136="","",INDEX('Per Line'!$C$2:$C$1501,$X136)&amp;"")</f>
        <v/>
      </c>
      <c r="F136">
        <f>IF($X136="","",INDEX('Per Line'!$D$2:$D$1501,$X136)&amp;"")</f>
        <v/>
      </c>
      <c r="G136" s="15" t="n"/>
      <c r="H136" s="15" t="n"/>
      <c r="I136" s="15" t="n"/>
      <c r="J136" s="15" t="n"/>
      <c r="K136" s="14">
        <f>IF($X136="","",INDEX('Per Line'!$R$2:$R$1501,$X136))</f>
        <v/>
      </c>
      <c r="L136">
        <f>IF($X136="","",INDEX('Per Line'!$E$2:$E$1501,$X136))</f>
        <v/>
      </c>
      <c r="M136" s="7">
        <f>IF($X136="","",L136*U136/100)</f>
        <v/>
      </c>
      <c r="N136">
        <f>IF($X136="","",IF(ISNUMBER(SEARCH("3&amp;12",SUBSTITUTE(J136," ",""))),Settings!$G$7,Settings!$C$7))</f>
        <v/>
      </c>
      <c r="O136" s="7">
        <f>IF($X136="","",SUMIFS('Per Line'!$N$2:$N$1501,'Per Line'!$A$2:$A$1501,$B136,'Per Line'!$X$2:$X$1501,0))</f>
        <v/>
      </c>
      <c r="P136" s="7">
        <f>IF($X136="","",O136*N136)</f>
        <v/>
      </c>
      <c r="Q136">
        <f>IF($X136="","",IF(ISNUMBER(SEARCH("3&amp;12",SUBSTITUTE(J136," ",""))),Settings!$G$6,Settings!$C$6))</f>
        <v/>
      </c>
      <c r="R136" s="7">
        <f>IF($X136="","",SUMIFS('Per Line'!$N$2:$N$1501,'Per Line'!$A$2:$A$1501,$B136,'Per Line'!$X$2:$X$1501,1))</f>
        <v/>
      </c>
      <c r="S136" s="7">
        <f>IF($X136="","",R136*Q136)</f>
        <v/>
      </c>
      <c r="T136" s="7">
        <f>IF($X136="","",S136+P136)</f>
        <v/>
      </c>
      <c r="U136" s="7">
        <f>IF($X136="","",V136-T136)</f>
        <v/>
      </c>
      <c r="V136" s="7">
        <f>IF($X136="","",O136+R136)</f>
        <v/>
      </c>
      <c r="W136" s="7">
        <f>IF($X136="","",V136-T136-M136)</f>
        <v/>
      </c>
      <c r="X136" s="16">
        <f>IF(ROWS($X$2:$X136)&lt;=MAX('Per Line'!$W$2:$W$1501),MATCH(ROWS($X$2:$X136),'Per Line'!$W$2:$W$1501,0),"")</f>
        <v/>
      </c>
      <c r="Y136">
        <f>IF($X136="","",C136&amp;"|"&amp;COUNTIF($C$2:$C136,C136))</f>
        <v/>
      </c>
    </row>
    <row r="137">
      <c r="A137" s="15" t="n"/>
      <c r="B137">
        <f>IF($X137="","",INDEX('Per Line'!$A$2:$A$1501,$X137)&amp;"")</f>
        <v/>
      </c>
      <c r="C137">
        <f>IF($X137="","",IF(OR(TRIM(H137)="",TRIM(H137)="All",TRIM(H137)="All Comp"),TRIM(J137),TRIM(H137)))</f>
        <v/>
      </c>
      <c r="D137">
        <f>IF($X137="","",INDEX('Per Line'!$B$2:$B$1501,$X137)&amp;"")</f>
        <v/>
      </c>
      <c r="E137">
        <f>IF($X137="","",INDEX('Per Line'!$C$2:$C$1501,$X137)&amp;"")</f>
        <v/>
      </c>
      <c r="F137">
        <f>IF($X137="","",INDEX('Per Line'!$D$2:$D$1501,$X137)&amp;"")</f>
        <v/>
      </c>
      <c r="G137" s="15" t="n"/>
      <c r="H137" s="15" t="n"/>
      <c r="I137" s="15" t="n"/>
      <c r="J137" s="15" t="n"/>
      <c r="K137" s="14">
        <f>IF($X137="","",INDEX('Per Line'!$R$2:$R$1501,$X137))</f>
        <v/>
      </c>
      <c r="L137">
        <f>IF($X137="","",INDEX('Per Line'!$E$2:$E$1501,$X137))</f>
        <v/>
      </c>
      <c r="M137" s="7">
        <f>IF($X137="","",L137*U137/100)</f>
        <v/>
      </c>
      <c r="N137">
        <f>IF($X137="","",IF(ISNUMBER(SEARCH("3&amp;12",SUBSTITUTE(J137," ",""))),Settings!$G$7,Settings!$C$7))</f>
        <v/>
      </c>
      <c r="O137" s="7">
        <f>IF($X137="","",SUMIFS('Per Line'!$N$2:$N$1501,'Per Line'!$A$2:$A$1501,$B137,'Per Line'!$X$2:$X$1501,0))</f>
        <v/>
      </c>
      <c r="P137" s="7">
        <f>IF($X137="","",O137*N137)</f>
        <v/>
      </c>
      <c r="Q137">
        <f>IF($X137="","",IF(ISNUMBER(SEARCH("3&amp;12",SUBSTITUTE(J137," ",""))),Settings!$G$6,Settings!$C$6))</f>
        <v/>
      </c>
      <c r="R137" s="7">
        <f>IF($X137="","",SUMIFS('Per Line'!$N$2:$N$1501,'Per Line'!$A$2:$A$1501,$B137,'Per Line'!$X$2:$X$1501,1))</f>
        <v/>
      </c>
      <c r="S137" s="7">
        <f>IF($X137="","",R137*Q137)</f>
        <v/>
      </c>
      <c r="T137" s="7">
        <f>IF($X137="","",S137+P137)</f>
        <v/>
      </c>
      <c r="U137" s="7">
        <f>IF($X137="","",V137-T137)</f>
        <v/>
      </c>
      <c r="V137" s="7">
        <f>IF($X137="","",O137+R137)</f>
        <v/>
      </c>
      <c r="W137" s="7">
        <f>IF($X137="","",V137-T137-M137)</f>
        <v/>
      </c>
      <c r="X137" s="16">
        <f>IF(ROWS($X$2:$X137)&lt;=MAX('Per Line'!$W$2:$W$1501),MATCH(ROWS($X$2:$X137),'Per Line'!$W$2:$W$1501,0),"")</f>
        <v/>
      </c>
      <c r="Y137">
        <f>IF($X137="","",C137&amp;"|"&amp;COUNTIF($C$2:$C137,C137))</f>
        <v/>
      </c>
    </row>
    <row r="138">
      <c r="A138" s="15" t="n"/>
      <c r="B138">
        <f>IF($X138="","",INDEX('Per Line'!$A$2:$A$1501,$X138)&amp;"")</f>
        <v/>
      </c>
      <c r="C138">
        <f>IF($X138="","",IF(OR(TRIM(H138)="",TRIM(H138)="All",TRIM(H138)="All Comp"),TRIM(J138),TRIM(H138)))</f>
        <v/>
      </c>
      <c r="D138">
        <f>IF($X138="","",INDEX('Per Line'!$B$2:$B$1501,$X138)&amp;"")</f>
        <v/>
      </c>
      <c r="E138">
        <f>IF($X138="","",INDEX('Per Line'!$C$2:$C$1501,$X138)&amp;"")</f>
        <v/>
      </c>
      <c r="F138">
        <f>IF($X138="","",INDEX('Per Line'!$D$2:$D$1501,$X138)&amp;"")</f>
        <v/>
      </c>
      <c r="G138" s="15" t="n"/>
      <c r="H138" s="15" t="n"/>
      <c r="I138" s="15" t="n"/>
      <c r="J138" s="15" t="n"/>
      <c r="K138" s="14">
        <f>IF($X138="","",INDEX('Per Line'!$R$2:$R$1501,$X138))</f>
        <v/>
      </c>
      <c r="L138">
        <f>IF($X138="","",INDEX('Per Line'!$E$2:$E$1501,$X138))</f>
        <v/>
      </c>
      <c r="M138" s="7">
        <f>IF($X138="","",L138*U138/100)</f>
        <v/>
      </c>
      <c r="N138">
        <f>IF($X138="","",IF(ISNUMBER(SEARCH("3&amp;12",SUBSTITUTE(J138," ",""))),Settings!$G$7,Settings!$C$7))</f>
        <v/>
      </c>
      <c r="O138" s="7">
        <f>IF($X138="","",SUMIFS('Per Line'!$N$2:$N$1501,'Per Line'!$A$2:$A$1501,$B138,'Per Line'!$X$2:$X$1501,0))</f>
        <v/>
      </c>
      <c r="P138" s="7">
        <f>IF($X138="","",O138*N138)</f>
        <v/>
      </c>
      <c r="Q138">
        <f>IF($X138="","",IF(ISNUMBER(SEARCH("3&amp;12",SUBSTITUTE(J138," ",""))),Settings!$G$6,Settings!$C$6))</f>
        <v/>
      </c>
      <c r="R138" s="7">
        <f>IF($X138="","",SUMIFS('Per Line'!$N$2:$N$1501,'Per Line'!$A$2:$A$1501,$B138,'Per Line'!$X$2:$X$1501,1))</f>
        <v/>
      </c>
      <c r="S138" s="7">
        <f>IF($X138="","",R138*Q138)</f>
        <v/>
      </c>
      <c r="T138" s="7">
        <f>IF($X138="","",S138+P138)</f>
        <v/>
      </c>
      <c r="U138" s="7">
        <f>IF($X138="","",V138-T138)</f>
        <v/>
      </c>
      <c r="V138" s="7">
        <f>IF($X138="","",O138+R138)</f>
        <v/>
      </c>
      <c r="W138" s="7">
        <f>IF($X138="","",V138-T138-M138)</f>
        <v/>
      </c>
      <c r="X138" s="16">
        <f>IF(ROWS($X$2:$X138)&lt;=MAX('Per Line'!$W$2:$W$1501),MATCH(ROWS($X$2:$X138),'Per Line'!$W$2:$W$1501,0),"")</f>
        <v/>
      </c>
      <c r="Y138">
        <f>IF($X138="","",C138&amp;"|"&amp;COUNTIF($C$2:$C138,C138))</f>
        <v/>
      </c>
    </row>
    <row r="139">
      <c r="A139" s="15" t="n"/>
      <c r="B139">
        <f>IF($X139="","",INDEX('Per Line'!$A$2:$A$1501,$X139)&amp;"")</f>
        <v/>
      </c>
      <c r="C139">
        <f>IF($X139="","",IF(OR(TRIM(H139)="",TRIM(H139)="All",TRIM(H139)="All Comp"),TRIM(J139),TRIM(H139)))</f>
        <v/>
      </c>
      <c r="D139">
        <f>IF($X139="","",INDEX('Per Line'!$B$2:$B$1501,$X139)&amp;"")</f>
        <v/>
      </c>
      <c r="E139">
        <f>IF($X139="","",INDEX('Per Line'!$C$2:$C$1501,$X139)&amp;"")</f>
        <v/>
      </c>
      <c r="F139">
        <f>IF($X139="","",INDEX('Per Line'!$D$2:$D$1501,$X139)&amp;"")</f>
        <v/>
      </c>
      <c r="G139" s="15" t="n"/>
      <c r="H139" s="15" t="n"/>
      <c r="I139" s="15" t="n"/>
      <c r="J139" s="15" t="n"/>
      <c r="K139" s="14">
        <f>IF($X139="","",INDEX('Per Line'!$R$2:$R$1501,$X139))</f>
        <v/>
      </c>
      <c r="L139">
        <f>IF($X139="","",INDEX('Per Line'!$E$2:$E$1501,$X139))</f>
        <v/>
      </c>
      <c r="M139" s="7">
        <f>IF($X139="","",L139*U139/100)</f>
        <v/>
      </c>
      <c r="N139">
        <f>IF($X139="","",IF(ISNUMBER(SEARCH("3&amp;12",SUBSTITUTE(J139," ",""))),Settings!$G$7,Settings!$C$7))</f>
        <v/>
      </c>
      <c r="O139" s="7">
        <f>IF($X139="","",SUMIFS('Per Line'!$N$2:$N$1501,'Per Line'!$A$2:$A$1501,$B139,'Per Line'!$X$2:$X$1501,0))</f>
        <v/>
      </c>
      <c r="P139" s="7">
        <f>IF($X139="","",O139*N139)</f>
        <v/>
      </c>
      <c r="Q139">
        <f>IF($X139="","",IF(ISNUMBER(SEARCH("3&amp;12",SUBSTITUTE(J139," ",""))),Settings!$G$6,Settings!$C$6))</f>
        <v/>
      </c>
      <c r="R139" s="7">
        <f>IF($X139="","",SUMIFS('Per Line'!$N$2:$N$1501,'Per Line'!$A$2:$A$1501,$B139,'Per Line'!$X$2:$X$1501,1))</f>
        <v/>
      </c>
      <c r="S139" s="7">
        <f>IF($X139="","",R139*Q139)</f>
        <v/>
      </c>
      <c r="T139" s="7">
        <f>IF($X139="","",S139+P139)</f>
        <v/>
      </c>
      <c r="U139" s="7">
        <f>IF($X139="","",V139-T139)</f>
        <v/>
      </c>
      <c r="V139" s="7">
        <f>IF($X139="","",O139+R139)</f>
        <v/>
      </c>
      <c r="W139" s="7">
        <f>IF($X139="","",V139-T139-M139)</f>
        <v/>
      </c>
      <c r="X139" s="16">
        <f>IF(ROWS($X$2:$X139)&lt;=MAX('Per Line'!$W$2:$W$1501),MATCH(ROWS($X$2:$X139),'Per Line'!$W$2:$W$1501,0),"")</f>
        <v/>
      </c>
      <c r="Y139">
        <f>IF($X139="","",C139&amp;"|"&amp;COUNTIF($C$2:$C139,C139))</f>
        <v/>
      </c>
    </row>
    <row r="140">
      <c r="A140" s="15" t="n"/>
      <c r="B140">
        <f>IF($X140="","",INDEX('Per Line'!$A$2:$A$1501,$X140)&amp;"")</f>
        <v/>
      </c>
      <c r="C140">
        <f>IF($X140="","",IF(OR(TRIM(H140)="",TRIM(H140)="All",TRIM(H140)="All Comp"),TRIM(J140),TRIM(H140)))</f>
        <v/>
      </c>
      <c r="D140">
        <f>IF($X140="","",INDEX('Per Line'!$B$2:$B$1501,$X140)&amp;"")</f>
        <v/>
      </c>
      <c r="E140">
        <f>IF($X140="","",INDEX('Per Line'!$C$2:$C$1501,$X140)&amp;"")</f>
        <v/>
      </c>
      <c r="F140">
        <f>IF($X140="","",INDEX('Per Line'!$D$2:$D$1501,$X140)&amp;"")</f>
        <v/>
      </c>
      <c r="G140" s="15" t="n"/>
      <c r="H140" s="15" t="n"/>
      <c r="I140" s="15" t="n"/>
      <c r="J140" s="15" t="n"/>
      <c r="K140" s="14">
        <f>IF($X140="","",INDEX('Per Line'!$R$2:$R$1501,$X140))</f>
        <v/>
      </c>
      <c r="L140">
        <f>IF($X140="","",INDEX('Per Line'!$E$2:$E$1501,$X140))</f>
        <v/>
      </c>
      <c r="M140" s="7">
        <f>IF($X140="","",L140*U140/100)</f>
        <v/>
      </c>
      <c r="N140">
        <f>IF($X140="","",IF(ISNUMBER(SEARCH("3&amp;12",SUBSTITUTE(J140," ",""))),Settings!$G$7,Settings!$C$7))</f>
        <v/>
      </c>
      <c r="O140" s="7">
        <f>IF($X140="","",SUMIFS('Per Line'!$N$2:$N$1501,'Per Line'!$A$2:$A$1501,$B140,'Per Line'!$X$2:$X$1501,0))</f>
        <v/>
      </c>
      <c r="P140" s="7">
        <f>IF($X140="","",O140*N140)</f>
        <v/>
      </c>
      <c r="Q140">
        <f>IF($X140="","",IF(ISNUMBER(SEARCH("3&amp;12",SUBSTITUTE(J140," ",""))),Settings!$G$6,Settings!$C$6))</f>
        <v/>
      </c>
      <c r="R140" s="7">
        <f>IF($X140="","",SUMIFS('Per Line'!$N$2:$N$1501,'Per Line'!$A$2:$A$1501,$B140,'Per Line'!$X$2:$X$1501,1))</f>
        <v/>
      </c>
      <c r="S140" s="7">
        <f>IF($X140="","",R140*Q140)</f>
        <v/>
      </c>
      <c r="T140" s="7">
        <f>IF($X140="","",S140+P140)</f>
        <v/>
      </c>
      <c r="U140" s="7">
        <f>IF($X140="","",V140-T140)</f>
        <v/>
      </c>
      <c r="V140" s="7">
        <f>IF($X140="","",O140+R140)</f>
        <v/>
      </c>
      <c r="W140" s="7">
        <f>IF($X140="","",V140-T140-M140)</f>
        <v/>
      </c>
      <c r="X140" s="16">
        <f>IF(ROWS($X$2:$X140)&lt;=MAX('Per Line'!$W$2:$W$1501),MATCH(ROWS($X$2:$X140),'Per Line'!$W$2:$W$1501,0),"")</f>
        <v/>
      </c>
      <c r="Y140">
        <f>IF($X140="","",C140&amp;"|"&amp;COUNTIF($C$2:$C140,C140))</f>
        <v/>
      </c>
    </row>
    <row r="141">
      <c r="A141" s="15" t="n"/>
      <c r="B141">
        <f>IF($X141="","",INDEX('Per Line'!$A$2:$A$1501,$X141)&amp;"")</f>
        <v/>
      </c>
      <c r="C141">
        <f>IF($X141="","",IF(OR(TRIM(H141)="",TRIM(H141)="All",TRIM(H141)="All Comp"),TRIM(J141),TRIM(H141)))</f>
        <v/>
      </c>
      <c r="D141">
        <f>IF($X141="","",INDEX('Per Line'!$B$2:$B$1501,$X141)&amp;"")</f>
        <v/>
      </c>
      <c r="E141">
        <f>IF($X141="","",INDEX('Per Line'!$C$2:$C$1501,$X141)&amp;"")</f>
        <v/>
      </c>
      <c r="F141">
        <f>IF($X141="","",INDEX('Per Line'!$D$2:$D$1501,$X141)&amp;"")</f>
        <v/>
      </c>
      <c r="G141" s="15" t="n"/>
      <c r="H141" s="15" t="n"/>
      <c r="I141" s="15" t="n"/>
      <c r="J141" s="15" t="n"/>
      <c r="K141" s="14">
        <f>IF($X141="","",INDEX('Per Line'!$R$2:$R$1501,$X141))</f>
        <v/>
      </c>
      <c r="L141">
        <f>IF($X141="","",INDEX('Per Line'!$E$2:$E$1501,$X141))</f>
        <v/>
      </c>
      <c r="M141" s="7">
        <f>IF($X141="","",L141*U141/100)</f>
        <v/>
      </c>
      <c r="N141">
        <f>IF($X141="","",IF(ISNUMBER(SEARCH("3&amp;12",SUBSTITUTE(J141," ",""))),Settings!$G$7,Settings!$C$7))</f>
        <v/>
      </c>
      <c r="O141" s="7">
        <f>IF($X141="","",SUMIFS('Per Line'!$N$2:$N$1501,'Per Line'!$A$2:$A$1501,$B141,'Per Line'!$X$2:$X$1501,0))</f>
        <v/>
      </c>
      <c r="P141" s="7">
        <f>IF($X141="","",O141*N141)</f>
        <v/>
      </c>
      <c r="Q141">
        <f>IF($X141="","",IF(ISNUMBER(SEARCH("3&amp;12",SUBSTITUTE(J141," ",""))),Settings!$G$6,Settings!$C$6))</f>
        <v/>
      </c>
      <c r="R141" s="7">
        <f>IF($X141="","",SUMIFS('Per Line'!$N$2:$N$1501,'Per Line'!$A$2:$A$1501,$B141,'Per Line'!$X$2:$X$1501,1))</f>
        <v/>
      </c>
      <c r="S141" s="7">
        <f>IF($X141="","",R141*Q141)</f>
        <v/>
      </c>
      <c r="T141" s="7">
        <f>IF($X141="","",S141+P141)</f>
        <v/>
      </c>
      <c r="U141" s="7">
        <f>IF($X141="","",V141-T141)</f>
        <v/>
      </c>
      <c r="V141" s="7">
        <f>IF($X141="","",O141+R141)</f>
        <v/>
      </c>
      <c r="W141" s="7">
        <f>IF($X141="","",V141-T141-M141)</f>
        <v/>
      </c>
      <c r="X141" s="16">
        <f>IF(ROWS($X$2:$X141)&lt;=MAX('Per Line'!$W$2:$W$1501),MATCH(ROWS($X$2:$X141),'Per Line'!$W$2:$W$1501,0),"")</f>
        <v/>
      </c>
      <c r="Y141">
        <f>IF($X141="","",C141&amp;"|"&amp;COUNTIF($C$2:$C141,C141))</f>
        <v/>
      </c>
    </row>
    <row r="142">
      <c r="A142" s="15" t="n"/>
      <c r="B142">
        <f>IF($X142="","",INDEX('Per Line'!$A$2:$A$1501,$X142)&amp;"")</f>
        <v/>
      </c>
      <c r="C142">
        <f>IF($X142="","",IF(OR(TRIM(H142)="",TRIM(H142)="All",TRIM(H142)="All Comp"),TRIM(J142),TRIM(H142)))</f>
        <v/>
      </c>
      <c r="D142">
        <f>IF($X142="","",INDEX('Per Line'!$B$2:$B$1501,$X142)&amp;"")</f>
        <v/>
      </c>
      <c r="E142">
        <f>IF($X142="","",INDEX('Per Line'!$C$2:$C$1501,$X142)&amp;"")</f>
        <v/>
      </c>
      <c r="F142">
        <f>IF($X142="","",INDEX('Per Line'!$D$2:$D$1501,$X142)&amp;"")</f>
        <v/>
      </c>
      <c r="G142" s="15" t="n"/>
      <c r="H142" s="15" t="n"/>
      <c r="I142" s="15" t="n"/>
      <c r="J142" s="15" t="n"/>
      <c r="K142" s="14">
        <f>IF($X142="","",INDEX('Per Line'!$R$2:$R$1501,$X142))</f>
        <v/>
      </c>
      <c r="L142">
        <f>IF($X142="","",INDEX('Per Line'!$E$2:$E$1501,$X142))</f>
        <v/>
      </c>
      <c r="M142" s="7">
        <f>IF($X142="","",L142*U142/100)</f>
        <v/>
      </c>
      <c r="N142">
        <f>IF($X142="","",IF(ISNUMBER(SEARCH("3&amp;12",SUBSTITUTE(J142," ",""))),Settings!$G$7,Settings!$C$7))</f>
        <v/>
      </c>
      <c r="O142" s="7">
        <f>IF($X142="","",SUMIFS('Per Line'!$N$2:$N$1501,'Per Line'!$A$2:$A$1501,$B142,'Per Line'!$X$2:$X$1501,0))</f>
        <v/>
      </c>
      <c r="P142" s="7">
        <f>IF($X142="","",O142*N142)</f>
        <v/>
      </c>
      <c r="Q142">
        <f>IF($X142="","",IF(ISNUMBER(SEARCH("3&amp;12",SUBSTITUTE(J142," ",""))),Settings!$G$6,Settings!$C$6))</f>
        <v/>
      </c>
      <c r="R142" s="7">
        <f>IF($X142="","",SUMIFS('Per Line'!$N$2:$N$1501,'Per Line'!$A$2:$A$1501,$B142,'Per Line'!$X$2:$X$1501,1))</f>
        <v/>
      </c>
      <c r="S142" s="7">
        <f>IF($X142="","",R142*Q142)</f>
        <v/>
      </c>
      <c r="T142" s="7">
        <f>IF($X142="","",S142+P142)</f>
        <v/>
      </c>
      <c r="U142" s="7">
        <f>IF($X142="","",V142-T142)</f>
        <v/>
      </c>
      <c r="V142" s="7">
        <f>IF($X142="","",O142+R142)</f>
        <v/>
      </c>
      <c r="W142" s="7">
        <f>IF($X142="","",V142-T142-M142)</f>
        <v/>
      </c>
      <c r="X142" s="16">
        <f>IF(ROWS($X$2:$X142)&lt;=MAX('Per Line'!$W$2:$W$1501),MATCH(ROWS($X$2:$X142),'Per Line'!$W$2:$W$1501,0),"")</f>
        <v/>
      </c>
      <c r="Y142">
        <f>IF($X142="","",C142&amp;"|"&amp;COUNTIF($C$2:$C142,C142))</f>
        <v/>
      </c>
    </row>
    <row r="143">
      <c r="A143" s="15" t="n"/>
      <c r="B143">
        <f>IF($X143="","",INDEX('Per Line'!$A$2:$A$1501,$X143)&amp;"")</f>
        <v/>
      </c>
      <c r="C143">
        <f>IF($X143="","",IF(OR(TRIM(H143)="",TRIM(H143)="All",TRIM(H143)="All Comp"),TRIM(J143),TRIM(H143)))</f>
        <v/>
      </c>
      <c r="D143">
        <f>IF($X143="","",INDEX('Per Line'!$B$2:$B$1501,$X143)&amp;"")</f>
        <v/>
      </c>
      <c r="E143">
        <f>IF($X143="","",INDEX('Per Line'!$C$2:$C$1501,$X143)&amp;"")</f>
        <v/>
      </c>
      <c r="F143">
        <f>IF($X143="","",INDEX('Per Line'!$D$2:$D$1501,$X143)&amp;"")</f>
        <v/>
      </c>
      <c r="G143" s="15" t="n"/>
      <c r="H143" s="15" t="n"/>
      <c r="I143" s="15" t="n"/>
      <c r="J143" s="15" t="n"/>
      <c r="K143" s="14">
        <f>IF($X143="","",INDEX('Per Line'!$R$2:$R$1501,$X143))</f>
        <v/>
      </c>
      <c r="L143">
        <f>IF($X143="","",INDEX('Per Line'!$E$2:$E$1501,$X143))</f>
        <v/>
      </c>
      <c r="M143" s="7">
        <f>IF($X143="","",L143*U143/100)</f>
        <v/>
      </c>
      <c r="N143">
        <f>IF($X143="","",IF(ISNUMBER(SEARCH("3&amp;12",SUBSTITUTE(J143," ",""))),Settings!$G$7,Settings!$C$7))</f>
        <v/>
      </c>
      <c r="O143" s="7">
        <f>IF($X143="","",SUMIFS('Per Line'!$N$2:$N$1501,'Per Line'!$A$2:$A$1501,$B143,'Per Line'!$X$2:$X$1501,0))</f>
        <v/>
      </c>
      <c r="P143" s="7">
        <f>IF($X143="","",O143*N143)</f>
        <v/>
      </c>
      <c r="Q143">
        <f>IF($X143="","",IF(ISNUMBER(SEARCH("3&amp;12",SUBSTITUTE(J143," ",""))),Settings!$G$6,Settings!$C$6))</f>
        <v/>
      </c>
      <c r="R143" s="7">
        <f>IF($X143="","",SUMIFS('Per Line'!$N$2:$N$1501,'Per Line'!$A$2:$A$1501,$B143,'Per Line'!$X$2:$X$1501,1))</f>
        <v/>
      </c>
      <c r="S143" s="7">
        <f>IF($X143="","",R143*Q143)</f>
        <v/>
      </c>
      <c r="T143" s="7">
        <f>IF($X143="","",S143+P143)</f>
        <v/>
      </c>
      <c r="U143" s="7">
        <f>IF($X143="","",V143-T143)</f>
        <v/>
      </c>
      <c r="V143" s="7">
        <f>IF($X143="","",O143+R143)</f>
        <v/>
      </c>
      <c r="W143" s="7">
        <f>IF($X143="","",V143-T143-M143)</f>
        <v/>
      </c>
      <c r="X143" s="16">
        <f>IF(ROWS($X$2:$X143)&lt;=MAX('Per Line'!$W$2:$W$1501),MATCH(ROWS($X$2:$X143),'Per Line'!$W$2:$W$1501,0),"")</f>
        <v/>
      </c>
      <c r="Y143">
        <f>IF($X143="","",C143&amp;"|"&amp;COUNTIF($C$2:$C143,C143))</f>
        <v/>
      </c>
    </row>
    <row r="144">
      <c r="A144" s="15" t="n"/>
      <c r="B144">
        <f>IF($X144="","",INDEX('Per Line'!$A$2:$A$1501,$X144)&amp;"")</f>
        <v/>
      </c>
      <c r="C144">
        <f>IF($X144="","",IF(OR(TRIM(H144)="",TRIM(H144)="All",TRIM(H144)="All Comp"),TRIM(J144),TRIM(H144)))</f>
        <v/>
      </c>
      <c r="D144">
        <f>IF($X144="","",INDEX('Per Line'!$B$2:$B$1501,$X144)&amp;"")</f>
        <v/>
      </c>
      <c r="E144">
        <f>IF($X144="","",INDEX('Per Line'!$C$2:$C$1501,$X144)&amp;"")</f>
        <v/>
      </c>
      <c r="F144">
        <f>IF($X144="","",INDEX('Per Line'!$D$2:$D$1501,$X144)&amp;"")</f>
        <v/>
      </c>
      <c r="G144" s="15" t="n"/>
      <c r="H144" s="15" t="n"/>
      <c r="I144" s="15" t="n"/>
      <c r="J144" s="15" t="n"/>
      <c r="K144" s="14">
        <f>IF($X144="","",INDEX('Per Line'!$R$2:$R$1501,$X144))</f>
        <v/>
      </c>
      <c r="L144">
        <f>IF($X144="","",INDEX('Per Line'!$E$2:$E$1501,$X144))</f>
        <v/>
      </c>
      <c r="M144" s="7">
        <f>IF($X144="","",L144*U144/100)</f>
        <v/>
      </c>
      <c r="N144">
        <f>IF($X144="","",IF(ISNUMBER(SEARCH("3&amp;12",SUBSTITUTE(J144," ",""))),Settings!$G$7,Settings!$C$7))</f>
        <v/>
      </c>
      <c r="O144" s="7">
        <f>IF($X144="","",SUMIFS('Per Line'!$N$2:$N$1501,'Per Line'!$A$2:$A$1501,$B144,'Per Line'!$X$2:$X$1501,0))</f>
        <v/>
      </c>
      <c r="P144" s="7">
        <f>IF($X144="","",O144*N144)</f>
        <v/>
      </c>
      <c r="Q144">
        <f>IF($X144="","",IF(ISNUMBER(SEARCH("3&amp;12",SUBSTITUTE(J144," ",""))),Settings!$G$6,Settings!$C$6))</f>
        <v/>
      </c>
      <c r="R144" s="7">
        <f>IF($X144="","",SUMIFS('Per Line'!$N$2:$N$1501,'Per Line'!$A$2:$A$1501,$B144,'Per Line'!$X$2:$X$1501,1))</f>
        <v/>
      </c>
      <c r="S144" s="7">
        <f>IF($X144="","",R144*Q144)</f>
        <v/>
      </c>
      <c r="T144" s="7">
        <f>IF($X144="","",S144+P144)</f>
        <v/>
      </c>
      <c r="U144" s="7">
        <f>IF($X144="","",V144-T144)</f>
        <v/>
      </c>
      <c r="V144" s="7">
        <f>IF($X144="","",O144+R144)</f>
        <v/>
      </c>
      <c r="W144" s="7">
        <f>IF($X144="","",V144-T144-M144)</f>
        <v/>
      </c>
      <c r="X144" s="16">
        <f>IF(ROWS($X$2:$X144)&lt;=MAX('Per Line'!$W$2:$W$1501),MATCH(ROWS($X$2:$X144),'Per Line'!$W$2:$W$1501,0),"")</f>
        <v/>
      </c>
      <c r="Y144">
        <f>IF($X144="","",C144&amp;"|"&amp;COUNTIF($C$2:$C144,C144))</f>
        <v/>
      </c>
    </row>
    <row r="145">
      <c r="A145" s="15" t="n"/>
      <c r="B145">
        <f>IF($X145="","",INDEX('Per Line'!$A$2:$A$1501,$X145)&amp;"")</f>
        <v/>
      </c>
      <c r="C145">
        <f>IF($X145="","",IF(OR(TRIM(H145)="",TRIM(H145)="All",TRIM(H145)="All Comp"),TRIM(J145),TRIM(H145)))</f>
        <v/>
      </c>
      <c r="D145">
        <f>IF($X145="","",INDEX('Per Line'!$B$2:$B$1501,$X145)&amp;"")</f>
        <v/>
      </c>
      <c r="E145">
        <f>IF($X145="","",INDEX('Per Line'!$C$2:$C$1501,$X145)&amp;"")</f>
        <v/>
      </c>
      <c r="F145">
        <f>IF($X145="","",INDEX('Per Line'!$D$2:$D$1501,$X145)&amp;"")</f>
        <v/>
      </c>
      <c r="G145" s="15" t="n"/>
      <c r="H145" s="15" t="n"/>
      <c r="I145" s="15" t="n"/>
      <c r="J145" s="15" t="n"/>
      <c r="K145" s="14">
        <f>IF($X145="","",INDEX('Per Line'!$R$2:$R$1501,$X145))</f>
        <v/>
      </c>
      <c r="L145">
        <f>IF($X145="","",INDEX('Per Line'!$E$2:$E$1501,$X145))</f>
        <v/>
      </c>
      <c r="M145" s="7">
        <f>IF($X145="","",L145*U145/100)</f>
        <v/>
      </c>
      <c r="N145">
        <f>IF($X145="","",IF(ISNUMBER(SEARCH("3&amp;12",SUBSTITUTE(J145," ",""))),Settings!$G$7,Settings!$C$7))</f>
        <v/>
      </c>
      <c r="O145" s="7">
        <f>IF($X145="","",SUMIFS('Per Line'!$N$2:$N$1501,'Per Line'!$A$2:$A$1501,$B145,'Per Line'!$X$2:$X$1501,0))</f>
        <v/>
      </c>
      <c r="P145" s="7">
        <f>IF($X145="","",O145*N145)</f>
        <v/>
      </c>
      <c r="Q145">
        <f>IF($X145="","",IF(ISNUMBER(SEARCH("3&amp;12",SUBSTITUTE(J145," ",""))),Settings!$G$6,Settings!$C$6))</f>
        <v/>
      </c>
      <c r="R145" s="7">
        <f>IF($X145="","",SUMIFS('Per Line'!$N$2:$N$1501,'Per Line'!$A$2:$A$1501,$B145,'Per Line'!$X$2:$X$1501,1))</f>
        <v/>
      </c>
      <c r="S145" s="7">
        <f>IF($X145="","",R145*Q145)</f>
        <v/>
      </c>
      <c r="T145" s="7">
        <f>IF($X145="","",S145+P145)</f>
        <v/>
      </c>
      <c r="U145" s="7">
        <f>IF($X145="","",V145-T145)</f>
        <v/>
      </c>
      <c r="V145" s="7">
        <f>IF($X145="","",O145+R145)</f>
        <v/>
      </c>
      <c r="W145" s="7">
        <f>IF($X145="","",V145-T145-M145)</f>
        <v/>
      </c>
      <c r="X145" s="16">
        <f>IF(ROWS($X$2:$X145)&lt;=MAX('Per Line'!$W$2:$W$1501),MATCH(ROWS($X$2:$X145),'Per Line'!$W$2:$W$1501,0),"")</f>
        <v/>
      </c>
      <c r="Y145">
        <f>IF($X145="","",C145&amp;"|"&amp;COUNTIF($C$2:$C145,C145))</f>
        <v/>
      </c>
    </row>
    <row r="146">
      <c r="A146" s="15" t="n"/>
      <c r="B146">
        <f>IF($X146="","",INDEX('Per Line'!$A$2:$A$1501,$X146)&amp;"")</f>
        <v/>
      </c>
      <c r="C146">
        <f>IF($X146="","",IF(OR(TRIM(H146)="",TRIM(H146)="All",TRIM(H146)="All Comp"),TRIM(J146),TRIM(H146)))</f>
        <v/>
      </c>
      <c r="D146">
        <f>IF($X146="","",INDEX('Per Line'!$B$2:$B$1501,$X146)&amp;"")</f>
        <v/>
      </c>
      <c r="E146">
        <f>IF($X146="","",INDEX('Per Line'!$C$2:$C$1501,$X146)&amp;"")</f>
        <v/>
      </c>
      <c r="F146">
        <f>IF($X146="","",INDEX('Per Line'!$D$2:$D$1501,$X146)&amp;"")</f>
        <v/>
      </c>
      <c r="G146" s="15" t="n"/>
      <c r="H146" s="15" t="n"/>
      <c r="I146" s="15" t="n"/>
      <c r="J146" s="15" t="n"/>
      <c r="K146" s="14">
        <f>IF($X146="","",INDEX('Per Line'!$R$2:$R$1501,$X146))</f>
        <v/>
      </c>
      <c r="L146">
        <f>IF($X146="","",INDEX('Per Line'!$E$2:$E$1501,$X146))</f>
        <v/>
      </c>
      <c r="M146" s="7">
        <f>IF($X146="","",L146*U146/100)</f>
        <v/>
      </c>
      <c r="N146">
        <f>IF($X146="","",IF(ISNUMBER(SEARCH("3&amp;12",SUBSTITUTE(J146," ",""))),Settings!$G$7,Settings!$C$7))</f>
        <v/>
      </c>
      <c r="O146" s="7">
        <f>IF($X146="","",SUMIFS('Per Line'!$N$2:$N$1501,'Per Line'!$A$2:$A$1501,$B146,'Per Line'!$X$2:$X$1501,0))</f>
        <v/>
      </c>
      <c r="P146" s="7">
        <f>IF($X146="","",O146*N146)</f>
        <v/>
      </c>
      <c r="Q146">
        <f>IF($X146="","",IF(ISNUMBER(SEARCH("3&amp;12",SUBSTITUTE(J146," ",""))),Settings!$G$6,Settings!$C$6))</f>
        <v/>
      </c>
      <c r="R146" s="7">
        <f>IF($X146="","",SUMIFS('Per Line'!$N$2:$N$1501,'Per Line'!$A$2:$A$1501,$B146,'Per Line'!$X$2:$X$1501,1))</f>
        <v/>
      </c>
      <c r="S146" s="7">
        <f>IF($X146="","",R146*Q146)</f>
        <v/>
      </c>
      <c r="T146" s="7">
        <f>IF($X146="","",S146+P146)</f>
        <v/>
      </c>
      <c r="U146" s="7">
        <f>IF($X146="","",V146-T146)</f>
        <v/>
      </c>
      <c r="V146" s="7">
        <f>IF($X146="","",O146+R146)</f>
        <v/>
      </c>
      <c r="W146" s="7">
        <f>IF($X146="","",V146-T146-M146)</f>
        <v/>
      </c>
      <c r="X146" s="16">
        <f>IF(ROWS($X$2:$X146)&lt;=MAX('Per Line'!$W$2:$W$1501),MATCH(ROWS($X$2:$X146),'Per Line'!$W$2:$W$1501,0),"")</f>
        <v/>
      </c>
      <c r="Y146">
        <f>IF($X146="","",C146&amp;"|"&amp;COUNTIF($C$2:$C146,C146))</f>
        <v/>
      </c>
    </row>
    <row r="147">
      <c r="A147" s="15" t="n"/>
      <c r="B147">
        <f>IF($X147="","",INDEX('Per Line'!$A$2:$A$1501,$X147)&amp;"")</f>
        <v/>
      </c>
      <c r="C147">
        <f>IF($X147="","",IF(OR(TRIM(H147)="",TRIM(H147)="All",TRIM(H147)="All Comp"),TRIM(J147),TRIM(H147)))</f>
        <v/>
      </c>
      <c r="D147">
        <f>IF($X147="","",INDEX('Per Line'!$B$2:$B$1501,$X147)&amp;"")</f>
        <v/>
      </c>
      <c r="E147">
        <f>IF($X147="","",INDEX('Per Line'!$C$2:$C$1501,$X147)&amp;"")</f>
        <v/>
      </c>
      <c r="F147">
        <f>IF($X147="","",INDEX('Per Line'!$D$2:$D$1501,$X147)&amp;"")</f>
        <v/>
      </c>
      <c r="G147" s="15" t="n"/>
      <c r="H147" s="15" t="n"/>
      <c r="I147" s="15" t="n"/>
      <c r="J147" s="15" t="n"/>
      <c r="K147" s="14">
        <f>IF($X147="","",INDEX('Per Line'!$R$2:$R$1501,$X147))</f>
        <v/>
      </c>
      <c r="L147">
        <f>IF($X147="","",INDEX('Per Line'!$E$2:$E$1501,$X147))</f>
        <v/>
      </c>
      <c r="M147" s="7">
        <f>IF($X147="","",L147*U147/100)</f>
        <v/>
      </c>
      <c r="N147">
        <f>IF($X147="","",IF(ISNUMBER(SEARCH("3&amp;12",SUBSTITUTE(J147," ",""))),Settings!$G$7,Settings!$C$7))</f>
        <v/>
      </c>
      <c r="O147" s="7">
        <f>IF($X147="","",SUMIFS('Per Line'!$N$2:$N$1501,'Per Line'!$A$2:$A$1501,$B147,'Per Line'!$X$2:$X$1501,0))</f>
        <v/>
      </c>
      <c r="P147" s="7">
        <f>IF($X147="","",O147*N147)</f>
        <v/>
      </c>
      <c r="Q147">
        <f>IF($X147="","",IF(ISNUMBER(SEARCH("3&amp;12",SUBSTITUTE(J147," ",""))),Settings!$G$6,Settings!$C$6))</f>
        <v/>
      </c>
      <c r="R147" s="7">
        <f>IF($X147="","",SUMIFS('Per Line'!$N$2:$N$1501,'Per Line'!$A$2:$A$1501,$B147,'Per Line'!$X$2:$X$1501,1))</f>
        <v/>
      </c>
      <c r="S147" s="7">
        <f>IF($X147="","",R147*Q147)</f>
        <v/>
      </c>
      <c r="T147" s="7">
        <f>IF($X147="","",S147+P147)</f>
        <v/>
      </c>
      <c r="U147" s="7">
        <f>IF($X147="","",V147-T147)</f>
        <v/>
      </c>
      <c r="V147" s="7">
        <f>IF($X147="","",O147+R147)</f>
        <v/>
      </c>
      <c r="W147" s="7">
        <f>IF($X147="","",V147-T147-M147)</f>
        <v/>
      </c>
      <c r="X147" s="16">
        <f>IF(ROWS($X$2:$X147)&lt;=MAX('Per Line'!$W$2:$W$1501),MATCH(ROWS($X$2:$X147),'Per Line'!$W$2:$W$1501,0),"")</f>
        <v/>
      </c>
      <c r="Y147">
        <f>IF($X147="","",C147&amp;"|"&amp;COUNTIF($C$2:$C147,C147))</f>
        <v/>
      </c>
    </row>
    <row r="148">
      <c r="A148" s="15" t="n"/>
      <c r="B148">
        <f>IF($X148="","",INDEX('Per Line'!$A$2:$A$1501,$X148)&amp;"")</f>
        <v/>
      </c>
      <c r="C148">
        <f>IF($X148="","",IF(OR(TRIM(H148)="",TRIM(H148)="All",TRIM(H148)="All Comp"),TRIM(J148),TRIM(H148)))</f>
        <v/>
      </c>
      <c r="D148">
        <f>IF($X148="","",INDEX('Per Line'!$B$2:$B$1501,$X148)&amp;"")</f>
        <v/>
      </c>
      <c r="E148">
        <f>IF($X148="","",INDEX('Per Line'!$C$2:$C$1501,$X148)&amp;"")</f>
        <v/>
      </c>
      <c r="F148">
        <f>IF($X148="","",INDEX('Per Line'!$D$2:$D$1501,$X148)&amp;"")</f>
        <v/>
      </c>
      <c r="G148" s="15" t="n"/>
      <c r="H148" s="15" t="n"/>
      <c r="I148" s="15" t="n"/>
      <c r="J148" s="15" t="n"/>
      <c r="K148" s="14">
        <f>IF($X148="","",INDEX('Per Line'!$R$2:$R$1501,$X148))</f>
        <v/>
      </c>
      <c r="L148">
        <f>IF($X148="","",INDEX('Per Line'!$E$2:$E$1501,$X148))</f>
        <v/>
      </c>
      <c r="M148" s="7">
        <f>IF($X148="","",L148*U148/100)</f>
        <v/>
      </c>
      <c r="N148">
        <f>IF($X148="","",IF(ISNUMBER(SEARCH("3&amp;12",SUBSTITUTE(J148," ",""))),Settings!$G$7,Settings!$C$7))</f>
        <v/>
      </c>
      <c r="O148" s="7">
        <f>IF($X148="","",SUMIFS('Per Line'!$N$2:$N$1501,'Per Line'!$A$2:$A$1501,$B148,'Per Line'!$X$2:$X$1501,0))</f>
        <v/>
      </c>
      <c r="P148" s="7">
        <f>IF($X148="","",O148*N148)</f>
        <v/>
      </c>
      <c r="Q148">
        <f>IF($X148="","",IF(ISNUMBER(SEARCH("3&amp;12",SUBSTITUTE(J148," ",""))),Settings!$G$6,Settings!$C$6))</f>
        <v/>
      </c>
      <c r="R148" s="7">
        <f>IF($X148="","",SUMIFS('Per Line'!$N$2:$N$1501,'Per Line'!$A$2:$A$1501,$B148,'Per Line'!$X$2:$X$1501,1))</f>
        <v/>
      </c>
      <c r="S148" s="7">
        <f>IF($X148="","",R148*Q148)</f>
        <v/>
      </c>
      <c r="T148" s="7">
        <f>IF($X148="","",S148+P148)</f>
        <v/>
      </c>
      <c r="U148" s="7">
        <f>IF($X148="","",V148-T148)</f>
        <v/>
      </c>
      <c r="V148" s="7">
        <f>IF($X148="","",O148+R148)</f>
        <v/>
      </c>
      <c r="W148" s="7">
        <f>IF($X148="","",V148-T148-M148)</f>
        <v/>
      </c>
      <c r="X148" s="16">
        <f>IF(ROWS($X$2:$X148)&lt;=MAX('Per Line'!$W$2:$W$1501),MATCH(ROWS($X$2:$X148),'Per Line'!$W$2:$W$1501,0),"")</f>
        <v/>
      </c>
      <c r="Y148">
        <f>IF($X148="","",C148&amp;"|"&amp;COUNTIF($C$2:$C148,C148))</f>
        <v/>
      </c>
    </row>
    <row r="149">
      <c r="A149" s="15" t="n"/>
      <c r="B149">
        <f>IF($X149="","",INDEX('Per Line'!$A$2:$A$1501,$X149)&amp;"")</f>
        <v/>
      </c>
      <c r="C149">
        <f>IF($X149="","",IF(OR(TRIM(H149)="",TRIM(H149)="All",TRIM(H149)="All Comp"),TRIM(J149),TRIM(H149)))</f>
        <v/>
      </c>
      <c r="D149">
        <f>IF($X149="","",INDEX('Per Line'!$B$2:$B$1501,$X149)&amp;"")</f>
        <v/>
      </c>
      <c r="E149">
        <f>IF($X149="","",INDEX('Per Line'!$C$2:$C$1501,$X149)&amp;"")</f>
        <v/>
      </c>
      <c r="F149">
        <f>IF($X149="","",INDEX('Per Line'!$D$2:$D$1501,$X149)&amp;"")</f>
        <v/>
      </c>
      <c r="G149" s="15" t="n"/>
      <c r="H149" s="15" t="n"/>
      <c r="I149" s="15" t="n"/>
      <c r="J149" s="15" t="n"/>
      <c r="K149" s="14">
        <f>IF($X149="","",INDEX('Per Line'!$R$2:$R$1501,$X149))</f>
        <v/>
      </c>
      <c r="L149">
        <f>IF($X149="","",INDEX('Per Line'!$E$2:$E$1501,$X149))</f>
        <v/>
      </c>
      <c r="M149" s="7">
        <f>IF($X149="","",L149*U149/100)</f>
        <v/>
      </c>
      <c r="N149">
        <f>IF($X149="","",IF(ISNUMBER(SEARCH("3&amp;12",SUBSTITUTE(J149," ",""))),Settings!$G$7,Settings!$C$7))</f>
        <v/>
      </c>
      <c r="O149" s="7">
        <f>IF($X149="","",SUMIFS('Per Line'!$N$2:$N$1501,'Per Line'!$A$2:$A$1501,$B149,'Per Line'!$X$2:$X$1501,0))</f>
        <v/>
      </c>
      <c r="P149" s="7">
        <f>IF($X149="","",O149*N149)</f>
        <v/>
      </c>
      <c r="Q149">
        <f>IF($X149="","",IF(ISNUMBER(SEARCH("3&amp;12",SUBSTITUTE(J149," ",""))),Settings!$G$6,Settings!$C$6))</f>
        <v/>
      </c>
      <c r="R149" s="7">
        <f>IF($X149="","",SUMIFS('Per Line'!$N$2:$N$1501,'Per Line'!$A$2:$A$1501,$B149,'Per Line'!$X$2:$X$1501,1))</f>
        <v/>
      </c>
      <c r="S149" s="7">
        <f>IF($X149="","",R149*Q149)</f>
        <v/>
      </c>
      <c r="T149" s="7">
        <f>IF($X149="","",S149+P149)</f>
        <v/>
      </c>
      <c r="U149" s="7">
        <f>IF($X149="","",V149-T149)</f>
        <v/>
      </c>
      <c r="V149" s="7">
        <f>IF($X149="","",O149+R149)</f>
        <v/>
      </c>
      <c r="W149" s="7">
        <f>IF($X149="","",V149-T149-M149)</f>
        <v/>
      </c>
      <c r="X149" s="16">
        <f>IF(ROWS($X$2:$X149)&lt;=MAX('Per Line'!$W$2:$W$1501),MATCH(ROWS($X$2:$X149),'Per Line'!$W$2:$W$1501,0),"")</f>
        <v/>
      </c>
      <c r="Y149">
        <f>IF($X149="","",C149&amp;"|"&amp;COUNTIF($C$2:$C149,C149))</f>
        <v/>
      </c>
    </row>
    <row r="150">
      <c r="A150" s="15" t="n"/>
      <c r="B150">
        <f>IF($X150="","",INDEX('Per Line'!$A$2:$A$1501,$X150)&amp;"")</f>
        <v/>
      </c>
      <c r="C150">
        <f>IF($X150="","",IF(OR(TRIM(H150)="",TRIM(H150)="All",TRIM(H150)="All Comp"),TRIM(J150),TRIM(H150)))</f>
        <v/>
      </c>
      <c r="D150">
        <f>IF($X150="","",INDEX('Per Line'!$B$2:$B$1501,$X150)&amp;"")</f>
        <v/>
      </c>
      <c r="E150">
        <f>IF($X150="","",INDEX('Per Line'!$C$2:$C$1501,$X150)&amp;"")</f>
        <v/>
      </c>
      <c r="F150">
        <f>IF($X150="","",INDEX('Per Line'!$D$2:$D$1501,$X150)&amp;"")</f>
        <v/>
      </c>
      <c r="G150" s="15" t="n"/>
      <c r="H150" s="15" t="n"/>
      <c r="I150" s="15" t="n"/>
      <c r="J150" s="15" t="n"/>
      <c r="K150" s="14">
        <f>IF($X150="","",INDEX('Per Line'!$R$2:$R$1501,$X150))</f>
        <v/>
      </c>
      <c r="L150">
        <f>IF($X150="","",INDEX('Per Line'!$E$2:$E$1501,$X150))</f>
        <v/>
      </c>
      <c r="M150" s="7">
        <f>IF($X150="","",L150*U150/100)</f>
        <v/>
      </c>
      <c r="N150">
        <f>IF($X150="","",IF(ISNUMBER(SEARCH("3&amp;12",SUBSTITUTE(J150," ",""))),Settings!$G$7,Settings!$C$7))</f>
        <v/>
      </c>
      <c r="O150" s="7">
        <f>IF($X150="","",SUMIFS('Per Line'!$N$2:$N$1501,'Per Line'!$A$2:$A$1501,$B150,'Per Line'!$X$2:$X$1501,0))</f>
        <v/>
      </c>
      <c r="P150" s="7">
        <f>IF($X150="","",O150*N150)</f>
        <v/>
      </c>
      <c r="Q150">
        <f>IF($X150="","",IF(ISNUMBER(SEARCH("3&amp;12",SUBSTITUTE(J150," ",""))),Settings!$G$6,Settings!$C$6))</f>
        <v/>
      </c>
      <c r="R150" s="7">
        <f>IF($X150="","",SUMIFS('Per Line'!$N$2:$N$1501,'Per Line'!$A$2:$A$1501,$B150,'Per Line'!$X$2:$X$1501,1))</f>
        <v/>
      </c>
      <c r="S150" s="7">
        <f>IF($X150="","",R150*Q150)</f>
        <v/>
      </c>
      <c r="T150" s="7">
        <f>IF($X150="","",S150+P150)</f>
        <v/>
      </c>
      <c r="U150" s="7">
        <f>IF($X150="","",V150-T150)</f>
        <v/>
      </c>
      <c r="V150" s="7">
        <f>IF($X150="","",O150+R150)</f>
        <v/>
      </c>
      <c r="W150" s="7">
        <f>IF($X150="","",V150-T150-M150)</f>
        <v/>
      </c>
      <c r="X150" s="16">
        <f>IF(ROWS($X$2:$X150)&lt;=MAX('Per Line'!$W$2:$W$1501),MATCH(ROWS($X$2:$X150),'Per Line'!$W$2:$W$1501,0),"")</f>
        <v/>
      </c>
      <c r="Y150">
        <f>IF($X150="","",C150&amp;"|"&amp;COUNTIF($C$2:$C150,C150))</f>
        <v/>
      </c>
    </row>
    <row r="151">
      <c r="A151" s="15" t="n"/>
      <c r="B151">
        <f>IF($X151="","",INDEX('Per Line'!$A$2:$A$1501,$X151)&amp;"")</f>
        <v/>
      </c>
      <c r="C151">
        <f>IF($X151="","",IF(OR(TRIM(H151)="",TRIM(H151)="All",TRIM(H151)="All Comp"),TRIM(J151),TRIM(H151)))</f>
        <v/>
      </c>
      <c r="D151">
        <f>IF($X151="","",INDEX('Per Line'!$B$2:$B$1501,$X151)&amp;"")</f>
        <v/>
      </c>
      <c r="E151">
        <f>IF($X151="","",INDEX('Per Line'!$C$2:$C$1501,$X151)&amp;"")</f>
        <v/>
      </c>
      <c r="F151">
        <f>IF($X151="","",INDEX('Per Line'!$D$2:$D$1501,$X151)&amp;"")</f>
        <v/>
      </c>
      <c r="G151" s="15" t="n"/>
      <c r="H151" s="15" t="n"/>
      <c r="I151" s="15" t="n"/>
      <c r="J151" s="15" t="n"/>
      <c r="K151" s="14">
        <f>IF($X151="","",INDEX('Per Line'!$R$2:$R$1501,$X151))</f>
        <v/>
      </c>
      <c r="L151">
        <f>IF($X151="","",INDEX('Per Line'!$E$2:$E$1501,$X151))</f>
        <v/>
      </c>
      <c r="M151" s="7">
        <f>IF($X151="","",L151*U151/100)</f>
        <v/>
      </c>
      <c r="N151">
        <f>IF($X151="","",IF(ISNUMBER(SEARCH("3&amp;12",SUBSTITUTE(J151," ",""))),Settings!$G$7,Settings!$C$7))</f>
        <v/>
      </c>
      <c r="O151" s="7">
        <f>IF($X151="","",SUMIFS('Per Line'!$N$2:$N$1501,'Per Line'!$A$2:$A$1501,$B151,'Per Line'!$X$2:$X$1501,0))</f>
        <v/>
      </c>
      <c r="P151" s="7">
        <f>IF($X151="","",O151*N151)</f>
        <v/>
      </c>
      <c r="Q151">
        <f>IF($X151="","",IF(ISNUMBER(SEARCH("3&amp;12",SUBSTITUTE(J151," ",""))),Settings!$G$6,Settings!$C$6))</f>
        <v/>
      </c>
      <c r="R151" s="7">
        <f>IF($X151="","",SUMIFS('Per Line'!$N$2:$N$1501,'Per Line'!$A$2:$A$1501,$B151,'Per Line'!$X$2:$X$1501,1))</f>
        <v/>
      </c>
      <c r="S151" s="7">
        <f>IF($X151="","",R151*Q151)</f>
        <v/>
      </c>
      <c r="T151" s="7">
        <f>IF($X151="","",S151+P151)</f>
        <v/>
      </c>
      <c r="U151" s="7">
        <f>IF($X151="","",V151-T151)</f>
        <v/>
      </c>
      <c r="V151" s="7">
        <f>IF($X151="","",O151+R151)</f>
        <v/>
      </c>
      <c r="W151" s="7">
        <f>IF($X151="","",V151-T151-M151)</f>
        <v/>
      </c>
      <c r="X151" s="16">
        <f>IF(ROWS($X$2:$X151)&lt;=MAX('Per Line'!$W$2:$W$1501),MATCH(ROWS($X$2:$X151),'Per Line'!$W$2:$W$1501,0),"")</f>
        <v/>
      </c>
      <c r="Y151">
        <f>IF($X151="","",C151&amp;"|"&amp;COUNTIF($C$2:$C151,C151))</f>
        <v/>
      </c>
    </row>
    <row r="152">
      <c r="A152" s="15" t="n"/>
      <c r="B152">
        <f>IF($X152="","",INDEX('Per Line'!$A$2:$A$1501,$X152)&amp;"")</f>
        <v/>
      </c>
      <c r="C152">
        <f>IF($X152="","",IF(OR(TRIM(H152)="",TRIM(H152)="All",TRIM(H152)="All Comp"),TRIM(J152),TRIM(H152)))</f>
        <v/>
      </c>
      <c r="D152">
        <f>IF($X152="","",INDEX('Per Line'!$B$2:$B$1501,$X152)&amp;"")</f>
        <v/>
      </c>
      <c r="E152">
        <f>IF($X152="","",INDEX('Per Line'!$C$2:$C$1501,$X152)&amp;"")</f>
        <v/>
      </c>
      <c r="F152">
        <f>IF($X152="","",INDEX('Per Line'!$D$2:$D$1501,$X152)&amp;"")</f>
        <v/>
      </c>
      <c r="G152" s="15" t="n"/>
      <c r="H152" s="15" t="n"/>
      <c r="I152" s="15" t="n"/>
      <c r="J152" s="15" t="n"/>
      <c r="K152" s="14">
        <f>IF($X152="","",INDEX('Per Line'!$R$2:$R$1501,$X152))</f>
        <v/>
      </c>
      <c r="L152">
        <f>IF($X152="","",INDEX('Per Line'!$E$2:$E$1501,$X152))</f>
        <v/>
      </c>
      <c r="M152" s="7">
        <f>IF($X152="","",L152*U152/100)</f>
        <v/>
      </c>
      <c r="N152">
        <f>IF($X152="","",IF(ISNUMBER(SEARCH("3&amp;12",SUBSTITUTE(J152," ",""))),Settings!$G$7,Settings!$C$7))</f>
        <v/>
      </c>
      <c r="O152" s="7">
        <f>IF($X152="","",SUMIFS('Per Line'!$N$2:$N$1501,'Per Line'!$A$2:$A$1501,$B152,'Per Line'!$X$2:$X$1501,0))</f>
        <v/>
      </c>
      <c r="P152" s="7">
        <f>IF($X152="","",O152*N152)</f>
        <v/>
      </c>
      <c r="Q152">
        <f>IF($X152="","",IF(ISNUMBER(SEARCH("3&amp;12",SUBSTITUTE(J152," ",""))),Settings!$G$6,Settings!$C$6))</f>
        <v/>
      </c>
      <c r="R152" s="7">
        <f>IF($X152="","",SUMIFS('Per Line'!$N$2:$N$1501,'Per Line'!$A$2:$A$1501,$B152,'Per Line'!$X$2:$X$1501,1))</f>
        <v/>
      </c>
      <c r="S152" s="7">
        <f>IF($X152="","",R152*Q152)</f>
        <v/>
      </c>
      <c r="T152" s="7">
        <f>IF($X152="","",S152+P152)</f>
        <v/>
      </c>
      <c r="U152" s="7">
        <f>IF($X152="","",V152-T152)</f>
        <v/>
      </c>
      <c r="V152" s="7">
        <f>IF($X152="","",O152+R152)</f>
        <v/>
      </c>
      <c r="W152" s="7">
        <f>IF($X152="","",V152-T152-M152)</f>
        <v/>
      </c>
      <c r="X152" s="16">
        <f>IF(ROWS($X$2:$X152)&lt;=MAX('Per Line'!$W$2:$W$1501),MATCH(ROWS($X$2:$X152),'Per Line'!$W$2:$W$1501,0),"")</f>
        <v/>
      </c>
      <c r="Y152">
        <f>IF($X152="","",C152&amp;"|"&amp;COUNTIF($C$2:$C152,C152))</f>
        <v/>
      </c>
    </row>
    <row r="153">
      <c r="A153" s="15" t="n"/>
      <c r="B153">
        <f>IF($X153="","",INDEX('Per Line'!$A$2:$A$1501,$X153)&amp;"")</f>
        <v/>
      </c>
      <c r="C153">
        <f>IF($X153="","",IF(OR(TRIM(H153)="",TRIM(H153)="All",TRIM(H153)="All Comp"),TRIM(J153),TRIM(H153)))</f>
        <v/>
      </c>
      <c r="D153">
        <f>IF($X153="","",INDEX('Per Line'!$B$2:$B$1501,$X153)&amp;"")</f>
        <v/>
      </c>
      <c r="E153">
        <f>IF($X153="","",INDEX('Per Line'!$C$2:$C$1501,$X153)&amp;"")</f>
        <v/>
      </c>
      <c r="F153">
        <f>IF($X153="","",INDEX('Per Line'!$D$2:$D$1501,$X153)&amp;"")</f>
        <v/>
      </c>
      <c r="G153" s="15" t="n"/>
      <c r="H153" s="15" t="n"/>
      <c r="I153" s="15" t="n"/>
      <c r="J153" s="15" t="n"/>
      <c r="K153" s="14">
        <f>IF($X153="","",INDEX('Per Line'!$R$2:$R$1501,$X153))</f>
        <v/>
      </c>
      <c r="L153">
        <f>IF($X153="","",INDEX('Per Line'!$E$2:$E$1501,$X153))</f>
        <v/>
      </c>
      <c r="M153" s="7">
        <f>IF($X153="","",L153*U153/100)</f>
        <v/>
      </c>
      <c r="N153">
        <f>IF($X153="","",IF(ISNUMBER(SEARCH("3&amp;12",SUBSTITUTE(J153," ",""))),Settings!$G$7,Settings!$C$7))</f>
        <v/>
      </c>
      <c r="O153" s="7">
        <f>IF($X153="","",SUMIFS('Per Line'!$N$2:$N$1501,'Per Line'!$A$2:$A$1501,$B153,'Per Line'!$X$2:$X$1501,0))</f>
        <v/>
      </c>
      <c r="P153" s="7">
        <f>IF($X153="","",O153*N153)</f>
        <v/>
      </c>
      <c r="Q153">
        <f>IF($X153="","",IF(ISNUMBER(SEARCH("3&amp;12",SUBSTITUTE(J153," ",""))),Settings!$G$6,Settings!$C$6))</f>
        <v/>
      </c>
      <c r="R153" s="7">
        <f>IF($X153="","",SUMIFS('Per Line'!$N$2:$N$1501,'Per Line'!$A$2:$A$1501,$B153,'Per Line'!$X$2:$X$1501,1))</f>
        <v/>
      </c>
      <c r="S153" s="7">
        <f>IF($X153="","",R153*Q153)</f>
        <v/>
      </c>
      <c r="T153" s="7">
        <f>IF($X153="","",S153+P153)</f>
        <v/>
      </c>
      <c r="U153" s="7">
        <f>IF($X153="","",V153-T153)</f>
        <v/>
      </c>
      <c r="V153" s="7">
        <f>IF($X153="","",O153+R153)</f>
        <v/>
      </c>
      <c r="W153" s="7">
        <f>IF($X153="","",V153-T153-M153)</f>
        <v/>
      </c>
      <c r="X153" s="16">
        <f>IF(ROWS($X$2:$X153)&lt;=MAX('Per Line'!$W$2:$W$1501),MATCH(ROWS($X$2:$X153),'Per Line'!$W$2:$W$1501,0),"")</f>
        <v/>
      </c>
      <c r="Y153">
        <f>IF($X153="","",C153&amp;"|"&amp;COUNTIF($C$2:$C153,C153))</f>
        <v/>
      </c>
    </row>
    <row r="154">
      <c r="A154" s="15" t="n"/>
      <c r="B154">
        <f>IF($X154="","",INDEX('Per Line'!$A$2:$A$1501,$X154)&amp;"")</f>
        <v/>
      </c>
      <c r="C154">
        <f>IF($X154="","",IF(OR(TRIM(H154)="",TRIM(H154)="All",TRIM(H154)="All Comp"),TRIM(J154),TRIM(H154)))</f>
        <v/>
      </c>
      <c r="D154">
        <f>IF($X154="","",INDEX('Per Line'!$B$2:$B$1501,$X154)&amp;"")</f>
        <v/>
      </c>
      <c r="E154">
        <f>IF($X154="","",INDEX('Per Line'!$C$2:$C$1501,$X154)&amp;"")</f>
        <v/>
      </c>
      <c r="F154">
        <f>IF($X154="","",INDEX('Per Line'!$D$2:$D$1501,$X154)&amp;"")</f>
        <v/>
      </c>
      <c r="G154" s="15" t="n"/>
      <c r="H154" s="15" t="n"/>
      <c r="I154" s="15" t="n"/>
      <c r="J154" s="15" t="n"/>
      <c r="K154" s="14">
        <f>IF($X154="","",INDEX('Per Line'!$R$2:$R$1501,$X154))</f>
        <v/>
      </c>
      <c r="L154">
        <f>IF($X154="","",INDEX('Per Line'!$E$2:$E$1501,$X154))</f>
        <v/>
      </c>
      <c r="M154" s="7">
        <f>IF($X154="","",L154*U154/100)</f>
        <v/>
      </c>
      <c r="N154">
        <f>IF($X154="","",IF(ISNUMBER(SEARCH("3&amp;12",SUBSTITUTE(J154," ",""))),Settings!$G$7,Settings!$C$7))</f>
        <v/>
      </c>
      <c r="O154" s="7">
        <f>IF($X154="","",SUMIFS('Per Line'!$N$2:$N$1501,'Per Line'!$A$2:$A$1501,$B154,'Per Line'!$X$2:$X$1501,0))</f>
        <v/>
      </c>
      <c r="P154" s="7">
        <f>IF($X154="","",O154*N154)</f>
        <v/>
      </c>
      <c r="Q154">
        <f>IF($X154="","",IF(ISNUMBER(SEARCH("3&amp;12",SUBSTITUTE(J154," ",""))),Settings!$G$6,Settings!$C$6))</f>
        <v/>
      </c>
      <c r="R154" s="7">
        <f>IF($X154="","",SUMIFS('Per Line'!$N$2:$N$1501,'Per Line'!$A$2:$A$1501,$B154,'Per Line'!$X$2:$X$1501,1))</f>
        <v/>
      </c>
      <c r="S154" s="7">
        <f>IF($X154="","",R154*Q154)</f>
        <v/>
      </c>
      <c r="T154" s="7">
        <f>IF($X154="","",S154+P154)</f>
        <v/>
      </c>
      <c r="U154" s="7">
        <f>IF($X154="","",V154-T154)</f>
        <v/>
      </c>
      <c r="V154" s="7">
        <f>IF($X154="","",O154+R154)</f>
        <v/>
      </c>
      <c r="W154" s="7">
        <f>IF($X154="","",V154-T154-M154)</f>
        <v/>
      </c>
      <c r="X154" s="16">
        <f>IF(ROWS($X$2:$X154)&lt;=MAX('Per Line'!$W$2:$W$1501),MATCH(ROWS($X$2:$X154),'Per Line'!$W$2:$W$1501,0),"")</f>
        <v/>
      </c>
      <c r="Y154">
        <f>IF($X154="","",C154&amp;"|"&amp;COUNTIF($C$2:$C154,C154))</f>
        <v/>
      </c>
    </row>
    <row r="155">
      <c r="A155" s="15" t="n"/>
      <c r="B155">
        <f>IF($X155="","",INDEX('Per Line'!$A$2:$A$1501,$X155)&amp;"")</f>
        <v/>
      </c>
      <c r="C155">
        <f>IF($X155="","",IF(OR(TRIM(H155)="",TRIM(H155)="All",TRIM(H155)="All Comp"),TRIM(J155),TRIM(H155)))</f>
        <v/>
      </c>
      <c r="D155">
        <f>IF($X155="","",INDEX('Per Line'!$B$2:$B$1501,$X155)&amp;"")</f>
        <v/>
      </c>
      <c r="E155">
        <f>IF($X155="","",INDEX('Per Line'!$C$2:$C$1501,$X155)&amp;"")</f>
        <v/>
      </c>
      <c r="F155">
        <f>IF($X155="","",INDEX('Per Line'!$D$2:$D$1501,$X155)&amp;"")</f>
        <v/>
      </c>
      <c r="G155" s="15" t="n"/>
      <c r="H155" s="15" t="n"/>
      <c r="I155" s="15" t="n"/>
      <c r="J155" s="15" t="n"/>
      <c r="K155" s="14">
        <f>IF($X155="","",INDEX('Per Line'!$R$2:$R$1501,$X155))</f>
        <v/>
      </c>
      <c r="L155">
        <f>IF($X155="","",INDEX('Per Line'!$E$2:$E$1501,$X155))</f>
        <v/>
      </c>
      <c r="M155" s="7">
        <f>IF($X155="","",L155*U155/100)</f>
        <v/>
      </c>
      <c r="N155">
        <f>IF($X155="","",IF(ISNUMBER(SEARCH("3&amp;12",SUBSTITUTE(J155," ",""))),Settings!$G$7,Settings!$C$7))</f>
        <v/>
      </c>
      <c r="O155" s="7">
        <f>IF($X155="","",SUMIFS('Per Line'!$N$2:$N$1501,'Per Line'!$A$2:$A$1501,$B155,'Per Line'!$X$2:$X$1501,0))</f>
        <v/>
      </c>
      <c r="P155" s="7">
        <f>IF($X155="","",O155*N155)</f>
        <v/>
      </c>
      <c r="Q155">
        <f>IF($X155="","",IF(ISNUMBER(SEARCH("3&amp;12",SUBSTITUTE(J155," ",""))),Settings!$G$6,Settings!$C$6))</f>
        <v/>
      </c>
      <c r="R155" s="7">
        <f>IF($X155="","",SUMIFS('Per Line'!$N$2:$N$1501,'Per Line'!$A$2:$A$1501,$B155,'Per Line'!$X$2:$X$1501,1))</f>
        <v/>
      </c>
      <c r="S155" s="7">
        <f>IF($X155="","",R155*Q155)</f>
        <v/>
      </c>
      <c r="T155" s="7">
        <f>IF($X155="","",S155+P155)</f>
        <v/>
      </c>
      <c r="U155" s="7">
        <f>IF($X155="","",V155-T155)</f>
        <v/>
      </c>
      <c r="V155" s="7">
        <f>IF($X155="","",O155+R155)</f>
        <v/>
      </c>
      <c r="W155" s="7">
        <f>IF($X155="","",V155-T155-M155)</f>
        <v/>
      </c>
      <c r="X155" s="16">
        <f>IF(ROWS($X$2:$X155)&lt;=MAX('Per Line'!$W$2:$W$1501),MATCH(ROWS($X$2:$X155),'Per Line'!$W$2:$W$1501,0),"")</f>
        <v/>
      </c>
      <c r="Y155">
        <f>IF($X155="","",C155&amp;"|"&amp;COUNTIF($C$2:$C155,C155))</f>
        <v/>
      </c>
    </row>
    <row r="156">
      <c r="A156" s="15" t="n"/>
      <c r="B156">
        <f>IF($X156="","",INDEX('Per Line'!$A$2:$A$1501,$X156)&amp;"")</f>
        <v/>
      </c>
      <c r="C156">
        <f>IF($X156="","",IF(OR(TRIM(H156)="",TRIM(H156)="All",TRIM(H156)="All Comp"),TRIM(J156),TRIM(H156)))</f>
        <v/>
      </c>
      <c r="D156">
        <f>IF($X156="","",INDEX('Per Line'!$B$2:$B$1501,$X156)&amp;"")</f>
        <v/>
      </c>
      <c r="E156">
        <f>IF($X156="","",INDEX('Per Line'!$C$2:$C$1501,$X156)&amp;"")</f>
        <v/>
      </c>
      <c r="F156">
        <f>IF($X156="","",INDEX('Per Line'!$D$2:$D$1501,$X156)&amp;"")</f>
        <v/>
      </c>
      <c r="G156" s="15" t="n"/>
      <c r="H156" s="15" t="n"/>
      <c r="I156" s="15" t="n"/>
      <c r="J156" s="15" t="n"/>
      <c r="K156" s="14">
        <f>IF($X156="","",INDEX('Per Line'!$R$2:$R$1501,$X156))</f>
        <v/>
      </c>
      <c r="L156">
        <f>IF($X156="","",INDEX('Per Line'!$E$2:$E$1501,$X156))</f>
        <v/>
      </c>
      <c r="M156" s="7">
        <f>IF($X156="","",L156*U156/100)</f>
        <v/>
      </c>
      <c r="N156">
        <f>IF($X156="","",IF(ISNUMBER(SEARCH("3&amp;12",SUBSTITUTE(J156," ",""))),Settings!$G$7,Settings!$C$7))</f>
        <v/>
      </c>
      <c r="O156" s="7">
        <f>IF($X156="","",SUMIFS('Per Line'!$N$2:$N$1501,'Per Line'!$A$2:$A$1501,$B156,'Per Line'!$X$2:$X$1501,0))</f>
        <v/>
      </c>
      <c r="P156" s="7">
        <f>IF($X156="","",O156*N156)</f>
        <v/>
      </c>
      <c r="Q156">
        <f>IF($X156="","",IF(ISNUMBER(SEARCH("3&amp;12",SUBSTITUTE(J156," ",""))),Settings!$G$6,Settings!$C$6))</f>
        <v/>
      </c>
      <c r="R156" s="7">
        <f>IF($X156="","",SUMIFS('Per Line'!$N$2:$N$1501,'Per Line'!$A$2:$A$1501,$B156,'Per Line'!$X$2:$X$1501,1))</f>
        <v/>
      </c>
      <c r="S156" s="7">
        <f>IF($X156="","",R156*Q156)</f>
        <v/>
      </c>
      <c r="T156" s="7">
        <f>IF($X156="","",S156+P156)</f>
        <v/>
      </c>
      <c r="U156" s="7">
        <f>IF($X156="","",V156-T156)</f>
        <v/>
      </c>
      <c r="V156" s="7">
        <f>IF($X156="","",O156+R156)</f>
        <v/>
      </c>
      <c r="W156" s="7">
        <f>IF($X156="","",V156-T156-M156)</f>
        <v/>
      </c>
      <c r="X156" s="16">
        <f>IF(ROWS($X$2:$X156)&lt;=MAX('Per Line'!$W$2:$W$1501),MATCH(ROWS($X$2:$X156),'Per Line'!$W$2:$W$1501,0),"")</f>
        <v/>
      </c>
      <c r="Y156">
        <f>IF($X156="","",C156&amp;"|"&amp;COUNTIF($C$2:$C156,C156))</f>
        <v/>
      </c>
    </row>
    <row r="157">
      <c r="A157" s="15" t="n"/>
      <c r="B157">
        <f>IF($X157="","",INDEX('Per Line'!$A$2:$A$1501,$X157)&amp;"")</f>
        <v/>
      </c>
      <c r="C157">
        <f>IF($X157="","",IF(OR(TRIM(H157)="",TRIM(H157)="All",TRIM(H157)="All Comp"),TRIM(J157),TRIM(H157)))</f>
        <v/>
      </c>
      <c r="D157">
        <f>IF($X157="","",INDEX('Per Line'!$B$2:$B$1501,$X157)&amp;"")</f>
        <v/>
      </c>
      <c r="E157">
        <f>IF($X157="","",INDEX('Per Line'!$C$2:$C$1501,$X157)&amp;"")</f>
        <v/>
      </c>
      <c r="F157">
        <f>IF($X157="","",INDEX('Per Line'!$D$2:$D$1501,$X157)&amp;"")</f>
        <v/>
      </c>
      <c r="G157" s="15" t="n"/>
      <c r="H157" s="15" t="n"/>
      <c r="I157" s="15" t="n"/>
      <c r="J157" s="15" t="n"/>
      <c r="K157" s="14">
        <f>IF($X157="","",INDEX('Per Line'!$R$2:$R$1501,$X157))</f>
        <v/>
      </c>
      <c r="L157">
        <f>IF($X157="","",INDEX('Per Line'!$E$2:$E$1501,$X157))</f>
        <v/>
      </c>
      <c r="M157" s="7">
        <f>IF($X157="","",L157*U157/100)</f>
        <v/>
      </c>
      <c r="N157">
        <f>IF($X157="","",IF(ISNUMBER(SEARCH("3&amp;12",SUBSTITUTE(J157," ",""))),Settings!$G$7,Settings!$C$7))</f>
        <v/>
      </c>
      <c r="O157" s="7">
        <f>IF($X157="","",SUMIFS('Per Line'!$N$2:$N$1501,'Per Line'!$A$2:$A$1501,$B157,'Per Line'!$X$2:$X$1501,0))</f>
        <v/>
      </c>
      <c r="P157" s="7">
        <f>IF($X157="","",O157*N157)</f>
        <v/>
      </c>
      <c r="Q157">
        <f>IF($X157="","",IF(ISNUMBER(SEARCH("3&amp;12",SUBSTITUTE(J157," ",""))),Settings!$G$6,Settings!$C$6))</f>
        <v/>
      </c>
      <c r="R157" s="7">
        <f>IF($X157="","",SUMIFS('Per Line'!$N$2:$N$1501,'Per Line'!$A$2:$A$1501,$B157,'Per Line'!$X$2:$X$1501,1))</f>
        <v/>
      </c>
      <c r="S157" s="7">
        <f>IF($X157="","",R157*Q157)</f>
        <v/>
      </c>
      <c r="T157" s="7">
        <f>IF($X157="","",S157+P157)</f>
        <v/>
      </c>
      <c r="U157" s="7">
        <f>IF($X157="","",V157-T157)</f>
        <v/>
      </c>
      <c r="V157" s="7">
        <f>IF($X157="","",O157+R157)</f>
        <v/>
      </c>
      <c r="W157" s="7">
        <f>IF($X157="","",V157-T157-M157)</f>
        <v/>
      </c>
      <c r="X157" s="16">
        <f>IF(ROWS($X$2:$X157)&lt;=MAX('Per Line'!$W$2:$W$1501),MATCH(ROWS($X$2:$X157),'Per Line'!$W$2:$W$1501,0),"")</f>
        <v/>
      </c>
      <c r="Y157">
        <f>IF($X157="","",C157&amp;"|"&amp;COUNTIF($C$2:$C157,C157))</f>
        <v/>
      </c>
    </row>
    <row r="158">
      <c r="A158" s="15" t="n"/>
      <c r="B158">
        <f>IF($X158="","",INDEX('Per Line'!$A$2:$A$1501,$X158)&amp;"")</f>
        <v/>
      </c>
      <c r="C158">
        <f>IF($X158="","",IF(OR(TRIM(H158)="",TRIM(H158)="All",TRIM(H158)="All Comp"),TRIM(J158),TRIM(H158)))</f>
        <v/>
      </c>
      <c r="D158">
        <f>IF($X158="","",INDEX('Per Line'!$B$2:$B$1501,$X158)&amp;"")</f>
        <v/>
      </c>
      <c r="E158">
        <f>IF($X158="","",INDEX('Per Line'!$C$2:$C$1501,$X158)&amp;"")</f>
        <v/>
      </c>
      <c r="F158">
        <f>IF($X158="","",INDEX('Per Line'!$D$2:$D$1501,$X158)&amp;"")</f>
        <v/>
      </c>
      <c r="G158" s="15" t="n"/>
      <c r="H158" s="15" t="n"/>
      <c r="I158" s="15" t="n"/>
      <c r="J158" s="15" t="n"/>
      <c r="K158" s="14">
        <f>IF($X158="","",INDEX('Per Line'!$R$2:$R$1501,$X158))</f>
        <v/>
      </c>
      <c r="L158">
        <f>IF($X158="","",INDEX('Per Line'!$E$2:$E$1501,$X158))</f>
        <v/>
      </c>
      <c r="M158" s="7">
        <f>IF($X158="","",L158*U158/100)</f>
        <v/>
      </c>
      <c r="N158">
        <f>IF($X158="","",IF(ISNUMBER(SEARCH("3&amp;12",SUBSTITUTE(J158," ",""))),Settings!$G$7,Settings!$C$7))</f>
        <v/>
      </c>
      <c r="O158" s="7">
        <f>IF($X158="","",SUMIFS('Per Line'!$N$2:$N$1501,'Per Line'!$A$2:$A$1501,$B158,'Per Line'!$X$2:$X$1501,0))</f>
        <v/>
      </c>
      <c r="P158" s="7">
        <f>IF($X158="","",O158*N158)</f>
        <v/>
      </c>
      <c r="Q158">
        <f>IF($X158="","",IF(ISNUMBER(SEARCH("3&amp;12",SUBSTITUTE(J158," ",""))),Settings!$G$6,Settings!$C$6))</f>
        <v/>
      </c>
      <c r="R158" s="7">
        <f>IF($X158="","",SUMIFS('Per Line'!$N$2:$N$1501,'Per Line'!$A$2:$A$1501,$B158,'Per Line'!$X$2:$X$1501,1))</f>
        <v/>
      </c>
      <c r="S158" s="7">
        <f>IF($X158="","",R158*Q158)</f>
        <v/>
      </c>
      <c r="T158" s="7">
        <f>IF($X158="","",S158+P158)</f>
        <v/>
      </c>
      <c r="U158" s="7">
        <f>IF($X158="","",V158-T158)</f>
        <v/>
      </c>
      <c r="V158" s="7">
        <f>IF($X158="","",O158+R158)</f>
        <v/>
      </c>
      <c r="W158" s="7">
        <f>IF($X158="","",V158-T158-M158)</f>
        <v/>
      </c>
      <c r="X158" s="16">
        <f>IF(ROWS($X$2:$X158)&lt;=MAX('Per Line'!$W$2:$W$1501),MATCH(ROWS($X$2:$X158),'Per Line'!$W$2:$W$1501,0),"")</f>
        <v/>
      </c>
      <c r="Y158">
        <f>IF($X158="","",C158&amp;"|"&amp;COUNTIF($C$2:$C158,C158))</f>
        <v/>
      </c>
    </row>
    <row r="159">
      <c r="A159" s="15" t="n"/>
      <c r="B159">
        <f>IF($X159="","",INDEX('Per Line'!$A$2:$A$1501,$X159)&amp;"")</f>
        <v/>
      </c>
      <c r="C159">
        <f>IF($X159="","",IF(OR(TRIM(H159)="",TRIM(H159)="All",TRIM(H159)="All Comp"),TRIM(J159),TRIM(H159)))</f>
        <v/>
      </c>
      <c r="D159">
        <f>IF($X159="","",INDEX('Per Line'!$B$2:$B$1501,$X159)&amp;"")</f>
        <v/>
      </c>
      <c r="E159">
        <f>IF($X159="","",INDEX('Per Line'!$C$2:$C$1501,$X159)&amp;"")</f>
        <v/>
      </c>
      <c r="F159">
        <f>IF($X159="","",INDEX('Per Line'!$D$2:$D$1501,$X159)&amp;"")</f>
        <v/>
      </c>
      <c r="G159" s="15" t="n"/>
      <c r="H159" s="15" t="n"/>
      <c r="I159" s="15" t="n"/>
      <c r="J159" s="15" t="n"/>
      <c r="K159" s="14">
        <f>IF($X159="","",INDEX('Per Line'!$R$2:$R$1501,$X159))</f>
        <v/>
      </c>
      <c r="L159">
        <f>IF($X159="","",INDEX('Per Line'!$E$2:$E$1501,$X159))</f>
        <v/>
      </c>
      <c r="M159" s="7">
        <f>IF($X159="","",L159*U159/100)</f>
        <v/>
      </c>
      <c r="N159">
        <f>IF($X159="","",IF(ISNUMBER(SEARCH("3&amp;12",SUBSTITUTE(J159," ",""))),Settings!$G$7,Settings!$C$7))</f>
        <v/>
      </c>
      <c r="O159" s="7">
        <f>IF($X159="","",SUMIFS('Per Line'!$N$2:$N$1501,'Per Line'!$A$2:$A$1501,$B159,'Per Line'!$X$2:$X$1501,0))</f>
        <v/>
      </c>
      <c r="P159" s="7">
        <f>IF($X159="","",O159*N159)</f>
        <v/>
      </c>
      <c r="Q159">
        <f>IF($X159="","",IF(ISNUMBER(SEARCH("3&amp;12",SUBSTITUTE(J159," ",""))),Settings!$G$6,Settings!$C$6))</f>
        <v/>
      </c>
      <c r="R159" s="7">
        <f>IF($X159="","",SUMIFS('Per Line'!$N$2:$N$1501,'Per Line'!$A$2:$A$1501,$B159,'Per Line'!$X$2:$X$1501,1))</f>
        <v/>
      </c>
      <c r="S159" s="7">
        <f>IF($X159="","",R159*Q159)</f>
        <v/>
      </c>
      <c r="T159" s="7">
        <f>IF($X159="","",S159+P159)</f>
        <v/>
      </c>
      <c r="U159" s="7">
        <f>IF($X159="","",V159-T159)</f>
        <v/>
      </c>
      <c r="V159" s="7">
        <f>IF($X159="","",O159+R159)</f>
        <v/>
      </c>
      <c r="W159" s="7">
        <f>IF($X159="","",V159-T159-M159)</f>
        <v/>
      </c>
      <c r="X159" s="16">
        <f>IF(ROWS($X$2:$X159)&lt;=MAX('Per Line'!$W$2:$W$1501),MATCH(ROWS($X$2:$X159),'Per Line'!$W$2:$W$1501,0),"")</f>
        <v/>
      </c>
      <c r="Y159">
        <f>IF($X159="","",C159&amp;"|"&amp;COUNTIF($C$2:$C159,C159))</f>
        <v/>
      </c>
    </row>
    <row r="160">
      <c r="A160" s="15" t="n"/>
      <c r="B160">
        <f>IF($X160="","",INDEX('Per Line'!$A$2:$A$1501,$X160)&amp;"")</f>
        <v/>
      </c>
      <c r="C160">
        <f>IF($X160="","",IF(OR(TRIM(H160)="",TRIM(H160)="All",TRIM(H160)="All Comp"),TRIM(J160),TRIM(H160)))</f>
        <v/>
      </c>
      <c r="D160">
        <f>IF($X160="","",INDEX('Per Line'!$B$2:$B$1501,$X160)&amp;"")</f>
        <v/>
      </c>
      <c r="E160">
        <f>IF($X160="","",INDEX('Per Line'!$C$2:$C$1501,$X160)&amp;"")</f>
        <v/>
      </c>
      <c r="F160">
        <f>IF($X160="","",INDEX('Per Line'!$D$2:$D$1501,$X160)&amp;"")</f>
        <v/>
      </c>
      <c r="G160" s="15" t="n"/>
      <c r="H160" s="15" t="n"/>
      <c r="I160" s="15" t="n"/>
      <c r="J160" s="15" t="n"/>
      <c r="K160" s="14">
        <f>IF($X160="","",INDEX('Per Line'!$R$2:$R$1501,$X160))</f>
        <v/>
      </c>
      <c r="L160">
        <f>IF($X160="","",INDEX('Per Line'!$E$2:$E$1501,$X160))</f>
        <v/>
      </c>
      <c r="M160" s="7">
        <f>IF($X160="","",L160*U160/100)</f>
        <v/>
      </c>
      <c r="N160">
        <f>IF($X160="","",IF(ISNUMBER(SEARCH("3&amp;12",SUBSTITUTE(J160," ",""))),Settings!$G$7,Settings!$C$7))</f>
        <v/>
      </c>
      <c r="O160" s="7">
        <f>IF($X160="","",SUMIFS('Per Line'!$N$2:$N$1501,'Per Line'!$A$2:$A$1501,$B160,'Per Line'!$X$2:$X$1501,0))</f>
        <v/>
      </c>
      <c r="P160" s="7">
        <f>IF($X160="","",O160*N160)</f>
        <v/>
      </c>
      <c r="Q160">
        <f>IF($X160="","",IF(ISNUMBER(SEARCH("3&amp;12",SUBSTITUTE(J160," ",""))),Settings!$G$6,Settings!$C$6))</f>
        <v/>
      </c>
      <c r="R160" s="7">
        <f>IF($X160="","",SUMIFS('Per Line'!$N$2:$N$1501,'Per Line'!$A$2:$A$1501,$B160,'Per Line'!$X$2:$X$1501,1))</f>
        <v/>
      </c>
      <c r="S160" s="7">
        <f>IF($X160="","",R160*Q160)</f>
        <v/>
      </c>
      <c r="T160" s="7">
        <f>IF($X160="","",S160+P160)</f>
        <v/>
      </c>
      <c r="U160" s="7">
        <f>IF($X160="","",V160-T160)</f>
        <v/>
      </c>
      <c r="V160" s="7">
        <f>IF($X160="","",O160+R160)</f>
        <v/>
      </c>
      <c r="W160" s="7">
        <f>IF($X160="","",V160-T160-M160)</f>
        <v/>
      </c>
      <c r="X160" s="16">
        <f>IF(ROWS($X$2:$X160)&lt;=MAX('Per Line'!$W$2:$W$1501),MATCH(ROWS($X$2:$X160),'Per Line'!$W$2:$W$1501,0),"")</f>
        <v/>
      </c>
      <c r="Y160">
        <f>IF($X160="","",C160&amp;"|"&amp;COUNTIF($C$2:$C160,C160))</f>
        <v/>
      </c>
    </row>
    <row r="161">
      <c r="A161" s="15" t="n"/>
      <c r="B161">
        <f>IF($X161="","",INDEX('Per Line'!$A$2:$A$1501,$X161)&amp;"")</f>
        <v/>
      </c>
      <c r="C161">
        <f>IF($X161="","",IF(OR(TRIM(H161)="",TRIM(H161)="All",TRIM(H161)="All Comp"),TRIM(J161),TRIM(H161)))</f>
        <v/>
      </c>
      <c r="D161">
        <f>IF($X161="","",INDEX('Per Line'!$B$2:$B$1501,$X161)&amp;"")</f>
        <v/>
      </c>
      <c r="E161">
        <f>IF($X161="","",INDEX('Per Line'!$C$2:$C$1501,$X161)&amp;"")</f>
        <v/>
      </c>
      <c r="F161">
        <f>IF($X161="","",INDEX('Per Line'!$D$2:$D$1501,$X161)&amp;"")</f>
        <v/>
      </c>
      <c r="G161" s="15" t="n"/>
      <c r="H161" s="15" t="n"/>
      <c r="I161" s="15" t="n"/>
      <c r="J161" s="15" t="n"/>
      <c r="K161" s="14">
        <f>IF($X161="","",INDEX('Per Line'!$R$2:$R$1501,$X161))</f>
        <v/>
      </c>
      <c r="L161">
        <f>IF($X161="","",INDEX('Per Line'!$E$2:$E$1501,$X161))</f>
        <v/>
      </c>
      <c r="M161" s="7">
        <f>IF($X161="","",L161*U161/100)</f>
        <v/>
      </c>
      <c r="N161">
        <f>IF($X161="","",IF(ISNUMBER(SEARCH("3&amp;12",SUBSTITUTE(J161," ",""))),Settings!$G$7,Settings!$C$7))</f>
        <v/>
      </c>
      <c r="O161" s="7">
        <f>IF($X161="","",SUMIFS('Per Line'!$N$2:$N$1501,'Per Line'!$A$2:$A$1501,$B161,'Per Line'!$X$2:$X$1501,0))</f>
        <v/>
      </c>
      <c r="P161" s="7">
        <f>IF($X161="","",O161*N161)</f>
        <v/>
      </c>
      <c r="Q161">
        <f>IF($X161="","",IF(ISNUMBER(SEARCH("3&amp;12",SUBSTITUTE(J161," ",""))),Settings!$G$6,Settings!$C$6))</f>
        <v/>
      </c>
      <c r="R161" s="7">
        <f>IF($X161="","",SUMIFS('Per Line'!$N$2:$N$1501,'Per Line'!$A$2:$A$1501,$B161,'Per Line'!$X$2:$X$1501,1))</f>
        <v/>
      </c>
      <c r="S161" s="7">
        <f>IF($X161="","",R161*Q161)</f>
        <v/>
      </c>
      <c r="T161" s="7">
        <f>IF($X161="","",S161+P161)</f>
        <v/>
      </c>
      <c r="U161" s="7">
        <f>IF($X161="","",V161-T161)</f>
        <v/>
      </c>
      <c r="V161" s="7">
        <f>IF($X161="","",O161+R161)</f>
        <v/>
      </c>
      <c r="W161" s="7">
        <f>IF($X161="","",V161-T161-M161)</f>
        <v/>
      </c>
      <c r="X161" s="16">
        <f>IF(ROWS($X$2:$X161)&lt;=MAX('Per Line'!$W$2:$W$1501),MATCH(ROWS($X$2:$X161),'Per Line'!$W$2:$W$1501,0),"")</f>
        <v/>
      </c>
      <c r="Y161">
        <f>IF($X161="","",C161&amp;"|"&amp;COUNTIF($C$2:$C161,C161))</f>
        <v/>
      </c>
    </row>
    <row r="162">
      <c r="A162" s="15" t="n"/>
      <c r="B162">
        <f>IF($X162="","",INDEX('Per Line'!$A$2:$A$1501,$X162)&amp;"")</f>
        <v/>
      </c>
      <c r="C162">
        <f>IF($X162="","",IF(OR(TRIM(H162)="",TRIM(H162)="All",TRIM(H162)="All Comp"),TRIM(J162),TRIM(H162)))</f>
        <v/>
      </c>
      <c r="D162">
        <f>IF($X162="","",INDEX('Per Line'!$B$2:$B$1501,$X162)&amp;"")</f>
        <v/>
      </c>
      <c r="E162">
        <f>IF($X162="","",INDEX('Per Line'!$C$2:$C$1501,$X162)&amp;"")</f>
        <v/>
      </c>
      <c r="F162">
        <f>IF($X162="","",INDEX('Per Line'!$D$2:$D$1501,$X162)&amp;"")</f>
        <v/>
      </c>
      <c r="G162" s="15" t="n"/>
      <c r="H162" s="15" t="n"/>
      <c r="I162" s="15" t="n"/>
      <c r="J162" s="15" t="n"/>
      <c r="K162" s="14">
        <f>IF($X162="","",INDEX('Per Line'!$R$2:$R$1501,$X162))</f>
        <v/>
      </c>
      <c r="L162">
        <f>IF($X162="","",INDEX('Per Line'!$E$2:$E$1501,$X162))</f>
        <v/>
      </c>
      <c r="M162" s="7">
        <f>IF($X162="","",L162*U162/100)</f>
        <v/>
      </c>
      <c r="N162">
        <f>IF($X162="","",IF(ISNUMBER(SEARCH("3&amp;12",SUBSTITUTE(J162," ",""))),Settings!$G$7,Settings!$C$7))</f>
        <v/>
      </c>
      <c r="O162" s="7">
        <f>IF($X162="","",SUMIFS('Per Line'!$N$2:$N$1501,'Per Line'!$A$2:$A$1501,$B162,'Per Line'!$X$2:$X$1501,0))</f>
        <v/>
      </c>
      <c r="P162" s="7">
        <f>IF($X162="","",O162*N162)</f>
        <v/>
      </c>
      <c r="Q162">
        <f>IF($X162="","",IF(ISNUMBER(SEARCH("3&amp;12",SUBSTITUTE(J162," ",""))),Settings!$G$6,Settings!$C$6))</f>
        <v/>
      </c>
      <c r="R162" s="7">
        <f>IF($X162="","",SUMIFS('Per Line'!$N$2:$N$1501,'Per Line'!$A$2:$A$1501,$B162,'Per Line'!$X$2:$X$1501,1))</f>
        <v/>
      </c>
      <c r="S162" s="7">
        <f>IF($X162="","",R162*Q162)</f>
        <v/>
      </c>
      <c r="T162" s="7">
        <f>IF($X162="","",S162+P162)</f>
        <v/>
      </c>
      <c r="U162" s="7">
        <f>IF($X162="","",V162-T162)</f>
        <v/>
      </c>
      <c r="V162" s="7">
        <f>IF($X162="","",O162+R162)</f>
        <v/>
      </c>
      <c r="W162" s="7">
        <f>IF($X162="","",V162-T162-M162)</f>
        <v/>
      </c>
      <c r="X162" s="16">
        <f>IF(ROWS($X$2:$X162)&lt;=MAX('Per Line'!$W$2:$W$1501),MATCH(ROWS($X$2:$X162),'Per Line'!$W$2:$W$1501,0),"")</f>
        <v/>
      </c>
      <c r="Y162">
        <f>IF($X162="","",C162&amp;"|"&amp;COUNTIF($C$2:$C162,C162))</f>
        <v/>
      </c>
    </row>
    <row r="163">
      <c r="A163" s="15" t="n"/>
      <c r="B163">
        <f>IF($X163="","",INDEX('Per Line'!$A$2:$A$1501,$X163)&amp;"")</f>
        <v/>
      </c>
      <c r="C163">
        <f>IF($X163="","",IF(OR(TRIM(H163)="",TRIM(H163)="All",TRIM(H163)="All Comp"),TRIM(J163),TRIM(H163)))</f>
        <v/>
      </c>
      <c r="D163">
        <f>IF($X163="","",INDEX('Per Line'!$B$2:$B$1501,$X163)&amp;"")</f>
        <v/>
      </c>
      <c r="E163">
        <f>IF($X163="","",INDEX('Per Line'!$C$2:$C$1501,$X163)&amp;"")</f>
        <v/>
      </c>
      <c r="F163">
        <f>IF($X163="","",INDEX('Per Line'!$D$2:$D$1501,$X163)&amp;"")</f>
        <v/>
      </c>
      <c r="G163" s="15" t="n"/>
      <c r="H163" s="15" t="n"/>
      <c r="I163" s="15" t="n"/>
      <c r="J163" s="15" t="n"/>
      <c r="K163" s="14">
        <f>IF($X163="","",INDEX('Per Line'!$R$2:$R$1501,$X163))</f>
        <v/>
      </c>
      <c r="L163">
        <f>IF($X163="","",INDEX('Per Line'!$E$2:$E$1501,$X163))</f>
        <v/>
      </c>
      <c r="M163" s="7">
        <f>IF($X163="","",L163*U163/100)</f>
        <v/>
      </c>
      <c r="N163">
        <f>IF($X163="","",IF(ISNUMBER(SEARCH("3&amp;12",SUBSTITUTE(J163," ",""))),Settings!$G$7,Settings!$C$7))</f>
        <v/>
      </c>
      <c r="O163" s="7">
        <f>IF($X163="","",SUMIFS('Per Line'!$N$2:$N$1501,'Per Line'!$A$2:$A$1501,$B163,'Per Line'!$X$2:$X$1501,0))</f>
        <v/>
      </c>
      <c r="P163" s="7">
        <f>IF($X163="","",O163*N163)</f>
        <v/>
      </c>
      <c r="Q163">
        <f>IF($X163="","",IF(ISNUMBER(SEARCH("3&amp;12",SUBSTITUTE(J163," ",""))),Settings!$G$6,Settings!$C$6))</f>
        <v/>
      </c>
      <c r="R163" s="7">
        <f>IF($X163="","",SUMIFS('Per Line'!$N$2:$N$1501,'Per Line'!$A$2:$A$1501,$B163,'Per Line'!$X$2:$X$1501,1))</f>
        <v/>
      </c>
      <c r="S163" s="7">
        <f>IF($X163="","",R163*Q163)</f>
        <v/>
      </c>
      <c r="T163" s="7">
        <f>IF($X163="","",S163+P163)</f>
        <v/>
      </c>
      <c r="U163" s="7">
        <f>IF($X163="","",V163-T163)</f>
        <v/>
      </c>
      <c r="V163" s="7">
        <f>IF($X163="","",O163+R163)</f>
        <v/>
      </c>
      <c r="W163" s="7">
        <f>IF($X163="","",V163-T163-M163)</f>
        <v/>
      </c>
      <c r="X163" s="16">
        <f>IF(ROWS($X$2:$X163)&lt;=MAX('Per Line'!$W$2:$W$1501),MATCH(ROWS($X$2:$X163),'Per Line'!$W$2:$W$1501,0),"")</f>
        <v/>
      </c>
      <c r="Y163">
        <f>IF($X163="","",C163&amp;"|"&amp;COUNTIF($C$2:$C163,C163))</f>
        <v/>
      </c>
    </row>
    <row r="164">
      <c r="A164" s="15" t="n"/>
      <c r="B164">
        <f>IF($X164="","",INDEX('Per Line'!$A$2:$A$1501,$X164)&amp;"")</f>
        <v/>
      </c>
      <c r="C164">
        <f>IF($X164="","",IF(OR(TRIM(H164)="",TRIM(H164)="All",TRIM(H164)="All Comp"),TRIM(J164),TRIM(H164)))</f>
        <v/>
      </c>
      <c r="D164">
        <f>IF($X164="","",INDEX('Per Line'!$B$2:$B$1501,$X164)&amp;"")</f>
        <v/>
      </c>
      <c r="E164">
        <f>IF($X164="","",INDEX('Per Line'!$C$2:$C$1501,$X164)&amp;"")</f>
        <v/>
      </c>
      <c r="F164">
        <f>IF($X164="","",INDEX('Per Line'!$D$2:$D$1501,$X164)&amp;"")</f>
        <v/>
      </c>
      <c r="G164" s="15" t="n"/>
      <c r="H164" s="15" t="n"/>
      <c r="I164" s="15" t="n"/>
      <c r="J164" s="15" t="n"/>
      <c r="K164" s="14">
        <f>IF($X164="","",INDEX('Per Line'!$R$2:$R$1501,$X164))</f>
        <v/>
      </c>
      <c r="L164">
        <f>IF($X164="","",INDEX('Per Line'!$E$2:$E$1501,$X164))</f>
        <v/>
      </c>
      <c r="M164" s="7">
        <f>IF($X164="","",L164*U164/100)</f>
        <v/>
      </c>
      <c r="N164">
        <f>IF($X164="","",IF(ISNUMBER(SEARCH("3&amp;12",SUBSTITUTE(J164," ",""))),Settings!$G$7,Settings!$C$7))</f>
        <v/>
      </c>
      <c r="O164" s="7">
        <f>IF($X164="","",SUMIFS('Per Line'!$N$2:$N$1501,'Per Line'!$A$2:$A$1501,$B164,'Per Line'!$X$2:$X$1501,0))</f>
        <v/>
      </c>
      <c r="P164" s="7">
        <f>IF($X164="","",O164*N164)</f>
        <v/>
      </c>
      <c r="Q164">
        <f>IF($X164="","",IF(ISNUMBER(SEARCH("3&amp;12",SUBSTITUTE(J164," ",""))),Settings!$G$6,Settings!$C$6))</f>
        <v/>
      </c>
      <c r="R164" s="7">
        <f>IF($X164="","",SUMIFS('Per Line'!$N$2:$N$1501,'Per Line'!$A$2:$A$1501,$B164,'Per Line'!$X$2:$X$1501,1))</f>
        <v/>
      </c>
      <c r="S164" s="7">
        <f>IF($X164="","",R164*Q164)</f>
        <v/>
      </c>
      <c r="T164" s="7">
        <f>IF($X164="","",S164+P164)</f>
        <v/>
      </c>
      <c r="U164" s="7">
        <f>IF($X164="","",V164-T164)</f>
        <v/>
      </c>
      <c r="V164" s="7">
        <f>IF($X164="","",O164+R164)</f>
        <v/>
      </c>
      <c r="W164" s="7">
        <f>IF($X164="","",V164-T164-M164)</f>
        <v/>
      </c>
      <c r="X164" s="16">
        <f>IF(ROWS($X$2:$X164)&lt;=MAX('Per Line'!$W$2:$W$1501),MATCH(ROWS($X$2:$X164),'Per Line'!$W$2:$W$1501,0),"")</f>
        <v/>
      </c>
      <c r="Y164">
        <f>IF($X164="","",C164&amp;"|"&amp;COUNTIF($C$2:$C164,C164))</f>
        <v/>
      </c>
    </row>
    <row r="165">
      <c r="A165" s="15" t="n"/>
      <c r="B165">
        <f>IF($X165="","",INDEX('Per Line'!$A$2:$A$1501,$X165)&amp;"")</f>
        <v/>
      </c>
      <c r="C165">
        <f>IF($X165="","",IF(OR(TRIM(H165)="",TRIM(H165)="All",TRIM(H165)="All Comp"),TRIM(J165),TRIM(H165)))</f>
        <v/>
      </c>
      <c r="D165">
        <f>IF($X165="","",INDEX('Per Line'!$B$2:$B$1501,$X165)&amp;"")</f>
        <v/>
      </c>
      <c r="E165">
        <f>IF($X165="","",INDEX('Per Line'!$C$2:$C$1501,$X165)&amp;"")</f>
        <v/>
      </c>
      <c r="F165">
        <f>IF($X165="","",INDEX('Per Line'!$D$2:$D$1501,$X165)&amp;"")</f>
        <v/>
      </c>
      <c r="G165" s="15" t="n"/>
      <c r="H165" s="15" t="n"/>
      <c r="I165" s="15" t="n"/>
      <c r="J165" s="15" t="n"/>
      <c r="K165" s="14">
        <f>IF($X165="","",INDEX('Per Line'!$R$2:$R$1501,$X165))</f>
        <v/>
      </c>
      <c r="L165">
        <f>IF($X165="","",INDEX('Per Line'!$E$2:$E$1501,$X165))</f>
        <v/>
      </c>
      <c r="M165" s="7">
        <f>IF($X165="","",L165*U165/100)</f>
        <v/>
      </c>
      <c r="N165">
        <f>IF($X165="","",IF(ISNUMBER(SEARCH("3&amp;12",SUBSTITUTE(J165," ",""))),Settings!$G$7,Settings!$C$7))</f>
        <v/>
      </c>
      <c r="O165" s="7">
        <f>IF($X165="","",SUMIFS('Per Line'!$N$2:$N$1501,'Per Line'!$A$2:$A$1501,$B165,'Per Line'!$X$2:$X$1501,0))</f>
        <v/>
      </c>
      <c r="P165" s="7">
        <f>IF($X165="","",O165*N165)</f>
        <v/>
      </c>
      <c r="Q165">
        <f>IF($X165="","",IF(ISNUMBER(SEARCH("3&amp;12",SUBSTITUTE(J165," ",""))),Settings!$G$6,Settings!$C$6))</f>
        <v/>
      </c>
      <c r="R165" s="7">
        <f>IF($X165="","",SUMIFS('Per Line'!$N$2:$N$1501,'Per Line'!$A$2:$A$1501,$B165,'Per Line'!$X$2:$X$1501,1))</f>
        <v/>
      </c>
      <c r="S165" s="7">
        <f>IF($X165="","",R165*Q165)</f>
        <v/>
      </c>
      <c r="T165" s="7">
        <f>IF($X165="","",S165+P165)</f>
        <v/>
      </c>
      <c r="U165" s="7">
        <f>IF($X165="","",V165-T165)</f>
        <v/>
      </c>
      <c r="V165" s="7">
        <f>IF($X165="","",O165+R165)</f>
        <v/>
      </c>
      <c r="W165" s="7">
        <f>IF($X165="","",V165-T165-M165)</f>
        <v/>
      </c>
      <c r="X165" s="16">
        <f>IF(ROWS($X$2:$X165)&lt;=MAX('Per Line'!$W$2:$W$1501),MATCH(ROWS($X$2:$X165),'Per Line'!$W$2:$W$1501,0),"")</f>
        <v/>
      </c>
      <c r="Y165">
        <f>IF($X165="","",C165&amp;"|"&amp;COUNTIF($C$2:$C165,C165))</f>
        <v/>
      </c>
    </row>
    <row r="166">
      <c r="A166" s="15" t="n"/>
      <c r="B166">
        <f>IF($X166="","",INDEX('Per Line'!$A$2:$A$1501,$X166)&amp;"")</f>
        <v/>
      </c>
      <c r="C166">
        <f>IF($X166="","",IF(OR(TRIM(H166)="",TRIM(H166)="All",TRIM(H166)="All Comp"),TRIM(J166),TRIM(H166)))</f>
        <v/>
      </c>
      <c r="D166">
        <f>IF($X166="","",INDEX('Per Line'!$B$2:$B$1501,$X166)&amp;"")</f>
        <v/>
      </c>
      <c r="E166">
        <f>IF($X166="","",INDEX('Per Line'!$C$2:$C$1501,$X166)&amp;"")</f>
        <v/>
      </c>
      <c r="F166">
        <f>IF($X166="","",INDEX('Per Line'!$D$2:$D$1501,$X166)&amp;"")</f>
        <v/>
      </c>
      <c r="G166" s="15" t="n"/>
      <c r="H166" s="15" t="n"/>
      <c r="I166" s="15" t="n"/>
      <c r="J166" s="15" t="n"/>
      <c r="K166" s="14">
        <f>IF($X166="","",INDEX('Per Line'!$R$2:$R$1501,$X166))</f>
        <v/>
      </c>
      <c r="L166">
        <f>IF($X166="","",INDEX('Per Line'!$E$2:$E$1501,$X166))</f>
        <v/>
      </c>
      <c r="M166" s="7">
        <f>IF($X166="","",L166*U166/100)</f>
        <v/>
      </c>
      <c r="N166">
        <f>IF($X166="","",IF(ISNUMBER(SEARCH("3&amp;12",SUBSTITUTE(J166," ",""))),Settings!$G$7,Settings!$C$7))</f>
        <v/>
      </c>
      <c r="O166" s="7">
        <f>IF($X166="","",SUMIFS('Per Line'!$N$2:$N$1501,'Per Line'!$A$2:$A$1501,$B166,'Per Line'!$X$2:$X$1501,0))</f>
        <v/>
      </c>
      <c r="P166" s="7">
        <f>IF($X166="","",O166*N166)</f>
        <v/>
      </c>
      <c r="Q166">
        <f>IF($X166="","",IF(ISNUMBER(SEARCH("3&amp;12",SUBSTITUTE(J166," ",""))),Settings!$G$6,Settings!$C$6))</f>
        <v/>
      </c>
      <c r="R166" s="7">
        <f>IF($X166="","",SUMIFS('Per Line'!$N$2:$N$1501,'Per Line'!$A$2:$A$1501,$B166,'Per Line'!$X$2:$X$1501,1))</f>
        <v/>
      </c>
      <c r="S166" s="7">
        <f>IF($X166="","",R166*Q166)</f>
        <v/>
      </c>
      <c r="T166" s="7">
        <f>IF($X166="","",S166+P166)</f>
        <v/>
      </c>
      <c r="U166" s="7">
        <f>IF($X166="","",V166-T166)</f>
        <v/>
      </c>
      <c r="V166" s="7">
        <f>IF($X166="","",O166+R166)</f>
        <v/>
      </c>
      <c r="W166" s="7">
        <f>IF($X166="","",V166-T166-M166)</f>
        <v/>
      </c>
      <c r="X166" s="16">
        <f>IF(ROWS($X$2:$X166)&lt;=MAX('Per Line'!$W$2:$W$1501),MATCH(ROWS($X$2:$X166),'Per Line'!$W$2:$W$1501,0),"")</f>
        <v/>
      </c>
      <c r="Y166">
        <f>IF($X166="","",C166&amp;"|"&amp;COUNTIF($C$2:$C166,C166))</f>
        <v/>
      </c>
    </row>
    <row r="167">
      <c r="A167" s="15" t="n"/>
      <c r="B167">
        <f>IF($X167="","",INDEX('Per Line'!$A$2:$A$1501,$X167)&amp;"")</f>
        <v/>
      </c>
      <c r="C167">
        <f>IF($X167="","",IF(OR(TRIM(H167)="",TRIM(H167)="All",TRIM(H167)="All Comp"),TRIM(J167),TRIM(H167)))</f>
        <v/>
      </c>
      <c r="D167">
        <f>IF($X167="","",INDEX('Per Line'!$B$2:$B$1501,$X167)&amp;"")</f>
        <v/>
      </c>
      <c r="E167">
        <f>IF($X167="","",INDEX('Per Line'!$C$2:$C$1501,$X167)&amp;"")</f>
        <v/>
      </c>
      <c r="F167">
        <f>IF($X167="","",INDEX('Per Line'!$D$2:$D$1501,$X167)&amp;"")</f>
        <v/>
      </c>
      <c r="G167" s="15" t="n"/>
      <c r="H167" s="15" t="n"/>
      <c r="I167" s="15" t="n"/>
      <c r="J167" s="15" t="n"/>
      <c r="K167" s="14">
        <f>IF($X167="","",INDEX('Per Line'!$R$2:$R$1501,$X167))</f>
        <v/>
      </c>
      <c r="L167">
        <f>IF($X167="","",INDEX('Per Line'!$E$2:$E$1501,$X167))</f>
        <v/>
      </c>
      <c r="M167" s="7">
        <f>IF($X167="","",L167*U167/100)</f>
        <v/>
      </c>
      <c r="N167">
        <f>IF($X167="","",IF(ISNUMBER(SEARCH("3&amp;12",SUBSTITUTE(J167," ",""))),Settings!$G$7,Settings!$C$7))</f>
        <v/>
      </c>
      <c r="O167" s="7">
        <f>IF($X167="","",SUMIFS('Per Line'!$N$2:$N$1501,'Per Line'!$A$2:$A$1501,$B167,'Per Line'!$X$2:$X$1501,0))</f>
        <v/>
      </c>
      <c r="P167" s="7">
        <f>IF($X167="","",O167*N167)</f>
        <v/>
      </c>
      <c r="Q167">
        <f>IF($X167="","",IF(ISNUMBER(SEARCH("3&amp;12",SUBSTITUTE(J167," ",""))),Settings!$G$6,Settings!$C$6))</f>
        <v/>
      </c>
      <c r="R167" s="7">
        <f>IF($X167="","",SUMIFS('Per Line'!$N$2:$N$1501,'Per Line'!$A$2:$A$1501,$B167,'Per Line'!$X$2:$X$1501,1))</f>
        <v/>
      </c>
      <c r="S167" s="7">
        <f>IF($X167="","",R167*Q167)</f>
        <v/>
      </c>
      <c r="T167" s="7">
        <f>IF($X167="","",S167+P167)</f>
        <v/>
      </c>
      <c r="U167" s="7">
        <f>IF($X167="","",V167-T167)</f>
        <v/>
      </c>
      <c r="V167" s="7">
        <f>IF($X167="","",O167+R167)</f>
        <v/>
      </c>
      <c r="W167" s="7">
        <f>IF($X167="","",V167-T167-M167)</f>
        <v/>
      </c>
      <c r="X167" s="16">
        <f>IF(ROWS($X$2:$X167)&lt;=MAX('Per Line'!$W$2:$W$1501),MATCH(ROWS($X$2:$X167),'Per Line'!$W$2:$W$1501,0),"")</f>
        <v/>
      </c>
      <c r="Y167">
        <f>IF($X167="","",C167&amp;"|"&amp;COUNTIF($C$2:$C167,C167))</f>
        <v/>
      </c>
    </row>
    <row r="168">
      <c r="A168" s="15" t="n"/>
      <c r="B168">
        <f>IF($X168="","",INDEX('Per Line'!$A$2:$A$1501,$X168)&amp;"")</f>
        <v/>
      </c>
      <c r="C168">
        <f>IF($X168="","",IF(OR(TRIM(H168)="",TRIM(H168)="All",TRIM(H168)="All Comp"),TRIM(J168),TRIM(H168)))</f>
        <v/>
      </c>
      <c r="D168">
        <f>IF($X168="","",INDEX('Per Line'!$B$2:$B$1501,$X168)&amp;"")</f>
        <v/>
      </c>
      <c r="E168">
        <f>IF($X168="","",INDEX('Per Line'!$C$2:$C$1501,$X168)&amp;"")</f>
        <v/>
      </c>
      <c r="F168">
        <f>IF($X168="","",INDEX('Per Line'!$D$2:$D$1501,$X168)&amp;"")</f>
        <v/>
      </c>
      <c r="G168" s="15" t="n"/>
      <c r="H168" s="15" t="n"/>
      <c r="I168" s="15" t="n"/>
      <c r="J168" s="15" t="n"/>
      <c r="K168" s="14">
        <f>IF($X168="","",INDEX('Per Line'!$R$2:$R$1501,$X168))</f>
        <v/>
      </c>
      <c r="L168">
        <f>IF($X168="","",INDEX('Per Line'!$E$2:$E$1501,$X168))</f>
        <v/>
      </c>
      <c r="M168" s="7">
        <f>IF($X168="","",L168*U168/100)</f>
        <v/>
      </c>
      <c r="N168">
        <f>IF($X168="","",IF(ISNUMBER(SEARCH("3&amp;12",SUBSTITUTE(J168," ",""))),Settings!$G$7,Settings!$C$7))</f>
        <v/>
      </c>
      <c r="O168" s="7">
        <f>IF($X168="","",SUMIFS('Per Line'!$N$2:$N$1501,'Per Line'!$A$2:$A$1501,$B168,'Per Line'!$X$2:$X$1501,0))</f>
        <v/>
      </c>
      <c r="P168" s="7">
        <f>IF($X168="","",O168*N168)</f>
        <v/>
      </c>
      <c r="Q168">
        <f>IF($X168="","",IF(ISNUMBER(SEARCH("3&amp;12",SUBSTITUTE(J168," ",""))),Settings!$G$6,Settings!$C$6))</f>
        <v/>
      </c>
      <c r="R168" s="7">
        <f>IF($X168="","",SUMIFS('Per Line'!$N$2:$N$1501,'Per Line'!$A$2:$A$1501,$B168,'Per Line'!$X$2:$X$1501,1))</f>
        <v/>
      </c>
      <c r="S168" s="7">
        <f>IF($X168="","",R168*Q168)</f>
        <v/>
      </c>
      <c r="T168" s="7">
        <f>IF($X168="","",S168+P168)</f>
        <v/>
      </c>
      <c r="U168" s="7">
        <f>IF($X168="","",V168-T168)</f>
        <v/>
      </c>
      <c r="V168" s="7">
        <f>IF($X168="","",O168+R168)</f>
        <v/>
      </c>
      <c r="W168" s="7">
        <f>IF($X168="","",V168-T168-M168)</f>
        <v/>
      </c>
      <c r="X168" s="16">
        <f>IF(ROWS($X$2:$X168)&lt;=MAX('Per Line'!$W$2:$W$1501),MATCH(ROWS($X$2:$X168),'Per Line'!$W$2:$W$1501,0),"")</f>
        <v/>
      </c>
      <c r="Y168">
        <f>IF($X168="","",C168&amp;"|"&amp;COUNTIF($C$2:$C168,C168))</f>
        <v/>
      </c>
    </row>
    <row r="169">
      <c r="A169" s="15" t="n"/>
      <c r="B169">
        <f>IF($X169="","",INDEX('Per Line'!$A$2:$A$1501,$X169)&amp;"")</f>
        <v/>
      </c>
      <c r="C169">
        <f>IF($X169="","",IF(OR(TRIM(H169)="",TRIM(H169)="All",TRIM(H169)="All Comp"),TRIM(J169),TRIM(H169)))</f>
        <v/>
      </c>
      <c r="D169">
        <f>IF($X169="","",INDEX('Per Line'!$B$2:$B$1501,$X169)&amp;"")</f>
        <v/>
      </c>
      <c r="E169">
        <f>IF($X169="","",INDEX('Per Line'!$C$2:$C$1501,$X169)&amp;"")</f>
        <v/>
      </c>
      <c r="F169">
        <f>IF($X169="","",INDEX('Per Line'!$D$2:$D$1501,$X169)&amp;"")</f>
        <v/>
      </c>
      <c r="G169" s="15" t="n"/>
      <c r="H169" s="15" t="n"/>
      <c r="I169" s="15" t="n"/>
      <c r="J169" s="15" t="n"/>
      <c r="K169" s="14">
        <f>IF($X169="","",INDEX('Per Line'!$R$2:$R$1501,$X169))</f>
        <v/>
      </c>
      <c r="L169">
        <f>IF($X169="","",INDEX('Per Line'!$E$2:$E$1501,$X169))</f>
        <v/>
      </c>
      <c r="M169" s="7">
        <f>IF($X169="","",L169*U169/100)</f>
        <v/>
      </c>
      <c r="N169">
        <f>IF($X169="","",IF(ISNUMBER(SEARCH("3&amp;12",SUBSTITUTE(J169," ",""))),Settings!$G$7,Settings!$C$7))</f>
        <v/>
      </c>
      <c r="O169" s="7">
        <f>IF($X169="","",SUMIFS('Per Line'!$N$2:$N$1501,'Per Line'!$A$2:$A$1501,$B169,'Per Line'!$X$2:$X$1501,0))</f>
        <v/>
      </c>
      <c r="P169" s="7">
        <f>IF($X169="","",O169*N169)</f>
        <v/>
      </c>
      <c r="Q169">
        <f>IF($X169="","",IF(ISNUMBER(SEARCH("3&amp;12",SUBSTITUTE(J169," ",""))),Settings!$G$6,Settings!$C$6))</f>
        <v/>
      </c>
      <c r="R169" s="7">
        <f>IF($X169="","",SUMIFS('Per Line'!$N$2:$N$1501,'Per Line'!$A$2:$A$1501,$B169,'Per Line'!$X$2:$X$1501,1))</f>
        <v/>
      </c>
      <c r="S169" s="7">
        <f>IF($X169="","",R169*Q169)</f>
        <v/>
      </c>
      <c r="T169" s="7">
        <f>IF($X169="","",S169+P169)</f>
        <v/>
      </c>
      <c r="U169" s="7">
        <f>IF($X169="","",V169-T169)</f>
        <v/>
      </c>
      <c r="V169" s="7">
        <f>IF($X169="","",O169+R169)</f>
        <v/>
      </c>
      <c r="W169" s="7">
        <f>IF($X169="","",V169-T169-M169)</f>
        <v/>
      </c>
      <c r="X169" s="16">
        <f>IF(ROWS($X$2:$X169)&lt;=MAX('Per Line'!$W$2:$W$1501),MATCH(ROWS($X$2:$X169),'Per Line'!$W$2:$W$1501,0),"")</f>
        <v/>
      </c>
      <c r="Y169">
        <f>IF($X169="","",C169&amp;"|"&amp;COUNTIF($C$2:$C169,C169))</f>
        <v/>
      </c>
    </row>
    <row r="170">
      <c r="A170" s="15" t="n"/>
      <c r="B170">
        <f>IF($X170="","",INDEX('Per Line'!$A$2:$A$1501,$X170)&amp;"")</f>
        <v/>
      </c>
      <c r="C170">
        <f>IF($X170="","",IF(OR(TRIM(H170)="",TRIM(H170)="All",TRIM(H170)="All Comp"),TRIM(J170),TRIM(H170)))</f>
        <v/>
      </c>
      <c r="D170">
        <f>IF($X170="","",INDEX('Per Line'!$B$2:$B$1501,$X170)&amp;"")</f>
        <v/>
      </c>
      <c r="E170">
        <f>IF($X170="","",INDEX('Per Line'!$C$2:$C$1501,$X170)&amp;"")</f>
        <v/>
      </c>
      <c r="F170">
        <f>IF($X170="","",INDEX('Per Line'!$D$2:$D$1501,$X170)&amp;"")</f>
        <v/>
      </c>
      <c r="G170" s="15" t="n"/>
      <c r="H170" s="15" t="n"/>
      <c r="I170" s="15" t="n"/>
      <c r="J170" s="15" t="n"/>
      <c r="K170" s="14">
        <f>IF($X170="","",INDEX('Per Line'!$R$2:$R$1501,$X170))</f>
        <v/>
      </c>
      <c r="L170">
        <f>IF($X170="","",INDEX('Per Line'!$E$2:$E$1501,$X170))</f>
        <v/>
      </c>
      <c r="M170" s="7">
        <f>IF($X170="","",L170*U170/100)</f>
        <v/>
      </c>
      <c r="N170">
        <f>IF($X170="","",IF(ISNUMBER(SEARCH("3&amp;12",SUBSTITUTE(J170," ",""))),Settings!$G$7,Settings!$C$7))</f>
        <v/>
      </c>
      <c r="O170" s="7">
        <f>IF($X170="","",SUMIFS('Per Line'!$N$2:$N$1501,'Per Line'!$A$2:$A$1501,$B170,'Per Line'!$X$2:$X$1501,0))</f>
        <v/>
      </c>
      <c r="P170" s="7">
        <f>IF($X170="","",O170*N170)</f>
        <v/>
      </c>
      <c r="Q170">
        <f>IF($X170="","",IF(ISNUMBER(SEARCH("3&amp;12",SUBSTITUTE(J170," ",""))),Settings!$G$6,Settings!$C$6))</f>
        <v/>
      </c>
      <c r="R170" s="7">
        <f>IF($X170="","",SUMIFS('Per Line'!$N$2:$N$1501,'Per Line'!$A$2:$A$1501,$B170,'Per Line'!$X$2:$X$1501,1))</f>
        <v/>
      </c>
      <c r="S170" s="7">
        <f>IF($X170="","",R170*Q170)</f>
        <v/>
      </c>
      <c r="T170" s="7">
        <f>IF($X170="","",S170+P170)</f>
        <v/>
      </c>
      <c r="U170" s="7">
        <f>IF($X170="","",V170-T170)</f>
        <v/>
      </c>
      <c r="V170" s="7">
        <f>IF($X170="","",O170+R170)</f>
        <v/>
      </c>
      <c r="W170" s="7">
        <f>IF($X170="","",V170-T170-M170)</f>
        <v/>
      </c>
      <c r="X170" s="16">
        <f>IF(ROWS($X$2:$X170)&lt;=MAX('Per Line'!$W$2:$W$1501),MATCH(ROWS($X$2:$X170),'Per Line'!$W$2:$W$1501,0),"")</f>
        <v/>
      </c>
      <c r="Y170">
        <f>IF($X170="","",C170&amp;"|"&amp;COUNTIF($C$2:$C170,C170))</f>
        <v/>
      </c>
    </row>
    <row r="171">
      <c r="A171" s="15" t="n"/>
      <c r="B171">
        <f>IF($X171="","",INDEX('Per Line'!$A$2:$A$1501,$X171)&amp;"")</f>
        <v/>
      </c>
      <c r="C171">
        <f>IF($X171="","",IF(OR(TRIM(H171)="",TRIM(H171)="All",TRIM(H171)="All Comp"),TRIM(J171),TRIM(H171)))</f>
        <v/>
      </c>
      <c r="D171">
        <f>IF($X171="","",INDEX('Per Line'!$B$2:$B$1501,$X171)&amp;"")</f>
        <v/>
      </c>
      <c r="E171">
        <f>IF($X171="","",INDEX('Per Line'!$C$2:$C$1501,$X171)&amp;"")</f>
        <v/>
      </c>
      <c r="F171">
        <f>IF($X171="","",INDEX('Per Line'!$D$2:$D$1501,$X171)&amp;"")</f>
        <v/>
      </c>
      <c r="G171" s="15" t="n"/>
      <c r="H171" s="15" t="n"/>
      <c r="I171" s="15" t="n"/>
      <c r="J171" s="15" t="n"/>
      <c r="K171" s="14">
        <f>IF($X171="","",INDEX('Per Line'!$R$2:$R$1501,$X171))</f>
        <v/>
      </c>
      <c r="L171">
        <f>IF($X171="","",INDEX('Per Line'!$E$2:$E$1501,$X171))</f>
        <v/>
      </c>
      <c r="M171" s="7">
        <f>IF($X171="","",L171*U171/100)</f>
        <v/>
      </c>
      <c r="N171">
        <f>IF($X171="","",IF(ISNUMBER(SEARCH("3&amp;12",SUBSTITUTE(J171," ",""))),Settings!$G$7,Settings!$C$7))</f>
        <v/>
      </c>
      <c r="O171" s="7">
        <f>IF($X171="","",SUMIFS('Per Line'!$N$2:$N$1501,'Per Line'!$A$2:$A$1501,$B171,'Per Line'!$X$2:$X$1501,0))</f>
        <v/>
      </c>
      <c r="P171" s="7">
        <f>IF($X171="","",O171*N171)</f>
        <v/>
      </c>
      <c r="Q171">
        <f>IF($X171="","",IF(ISNUMBER(SEARCH("3&amp;12",SUBSTITUTE(J171," ",""))),Settings!$G$6,Settings!$C$6))</f>
        <v/>
      </c>
      <c r="R171" s="7">
        <f>IF($X171="","",SUMIFS('Per Line'!$N$2:$N$1501,'Per Line'!$A$2:$A$1501,$B171,'Per Line'!$X$2:$X$1501,1))</f>
        <v/>
      </c>
      <c r="S171" s="7">
        <f>IF($X171="","",R171*Q171)</f>
        <v/>
      </c>
      <c r="T171" s="7">
        <f>IF($X171="","",S171+P171)</f>
        <v/>
      </c>
      <c r="U171" s="7">
        <f>IF($X171="","",V171-T171)</f>
        <v/>
      </c>
      <c r="V171" s="7">
        <f>IF($X171="","",O171+R171)</f>
        <v/>
      </c>
      <c r="W171" s="7">
        <f>IF($X171="","",V171-T171-M171)</f>
        <v/>
      </c>
      <c r="X171" s="16">
        <f>IF(ROWS($X$2:$X171)&lt;=MAX('Per Line'!$W$2:$W$1501),MATCH(ROWS($X$2:$X171),'Per Line'!$W$2:$W$1501,0),"")</f>
        <v/>
      </c>
      <c r="Y171">
        <f>IF($X171="","",C171&amp;"|"&amp;COUNTIF($C$2:$C171,C171))</f>
        <v/>
      </c>
    </row>
    <row r="172">
      <c r="A172" s="15" t="n"/>
      <c r="B172">
        <f>IF($X172="","",INDEX('Per Line'!$A$2:$A$1501,$X172)&amp;"")</f>
        <v/>
      </c>
      <c r="C172">
        <f>IF($X172="","",IF(OR(TRIM(H172)="",TRIM(H172)="All",TRIM(H172)="All Comp"),TRIM(J172),TRIM(H172)))</f>
        <v/>
      </c>
      <c r="D172">
        <f>IF($X172="","",INDEX('Per Line'!$B$2:$B$1501,$X172)&amp;"")</f>
        <v/>
      </c>
      <c r="E172">
        <f>IF($X172="","",INDEX('Per Line'!$C$2:$C$1501,$X172)&amp;"")</f>
        <v/>
      </c>
      <c r="F172">
        <f>IF($X172="","",INDEX('Per Line'!$D$2:$D$1501,$X172)&amp;"")</f>
        <v/>
      </c>
      <c r="G172" s="15" t="n"/>
      <c r="H172" s="15" t="n"/>
      <c r="I172" s="15" t="n"/>
      <c r="J172" s="15" t="n"/>
      <c r="K172" s="14">
        <f>IF($X172="","",INDEX('Per Line'!$R$2:$R$1501,$X172))</f>
        <v/>
      </c>
      <c r="L172">
        <f>IF($X172="","",INDEX('Per Line'!$E$2:$E$1501,$X172))</f>
        <v/>
      </c>
      <c r="M172" s="7">
        <f>IF($X172="","",L172*U172/100)</f>
        <v/>
      </c>
      <c r="N172">
        <f>IF($X172="","",IF(ISNUMBER(SEARCH("3&amp;12",SUBSTITUTE(J172," ",""))),Settings!$G$7,Settings!$C$7))</f>
        <v/>
      </c>
      <c r="O172" s="7">
        <f>IF($X172="","",SUMIFS('Per Line'!$N$2:$N$1501,'Per Line'!$A$2:$A$1501,$B172,'Per Line'!$X$2:$X$1501,0))</f>
        <v/>
      </c>
      <c r="P172" s="7">
        <f>IF($X172="","",O172*N172)</f>
        <v/>
      </c>
      <c r="Q172">
        <f>IF($X172="","",IF(ISNUMBER(SEARCH("3&amp;12",SUBSTITUTE(J172," ",""))),Settings!$G$6,Settings!$C$6))</f>
        <v/>
      </c>
      <c r="R172" s="7">
        <f>IF($X172="","",SUMIFS('Per Line'!$N$2:$N$1501,'Per Line'!$A$2:$A$1501,$B172,'Per Line'!$X$2:$X$1501,1))</f>
        <v/>
      </c>
      <c r="S172" s="7">
        <f>IF($X172="","",R172*Q172)</f>
        <v/>
      </c>
      <c r="T172" s="7">
        <f>IF($X172="","",S172+P172)</f>
        <v/>
      </c>
      <c r="U172" s="7">
        <f>IF($X172="","",V172-T172)</f>
        <v/>
      </c>
      <c r="V172" s="7">
        <f>IF($X172="","",O172+R172)</f>
        <v/>
      </c>
      <c r="W172" s="7">
        <f>IF($X172="","",V172-T172-M172)</f>
        <v/>
      </c>
      <c r="X172" s="16">
        <f>IF(ROWS($X$2:$X172)&lt;=MAX('Per Line'!$W$2:$W$1501),MATCH(ROWS($X$2:$X172),'Per Line'!$W$2:$W$1501,0),"")</f>
        <v/>
      </c>
      <c r="Y172">
        <f>IF($X172="","",C172&amp;"|"&amp;COUNTIF($C$2:$C172,C172))</f>
        <v/>
      </c>
    </row>
    <row r="173">
      <c r="A173" s="15" t="n"/>
      <c r="B173">
        <f>IF($X173="","",INDEX('Per Line'!$A$2:$A$1501,$X173)&amp;"")</f>
        <v/>
      </c>
      <c r="C173">
        <f>IF($X173="","",IF(OR(TRIM(H173)="",TRIM(H173)="All",TRIM(H173)="All Comp"),TRIM(J173),TRIM(H173)))</f>
        <v/>
      </c>
      <c r="D173">
        <f>IF($X173="","",INDEX('Per Line'!$B$2:$B$1501,$X173)&amp;"")</f>
        <v/>
      </c>
      <c r="E173">
        <f>IF($X173="","",INDEX('Per Line'!$C$2:$C$1501,$X173)&amp;"")</f>
        <v/>
      </c>
      <c r="F173">
        <f>IF($X173="","",INDEX('Per Line'!$D$2:$D$1501,$X173)&amp;"")</f>
        <v/>
      </c>
      <c r="G173" s="15" t="n"/>
      <c r="H173" s="15" t="n"/>
      <c r="I173" s="15" t="n"/>
      <c r="J173" s="15" t="n"/>
      <c r="K173" s="14">
        <f>IF($X173="","",INDEX('Per Line'!$R$2:$R$1501,$X173))</f>
        <v/>
      </c>
      <c r="L173">
        <f>IF($X173="","",INDEX('Per Line'!$E$2:$E$1501,$X173))</f>
        <v/>
      </c>
      <c r="M173" s="7">
        <f>IF($X173="","",L173*U173/100)</f>
        <v/>
      </c>
      <c r="N173">
        <f>IF($X173="","",IF(ISNUMBER(SEARCH("3&amp;12",SUBSTITUTE(J173," ",""))),Settings!$G$7,Settings!$C$7))</f>
        <v/>
      </c>
      <c r="O173" s="7">
        <f>IF($X173="","",SUMIFS('Per Line'!$N$2:$N$1501,'Per Line'!$A$2:$A$1501,$B173,'Per Line'!$X$2:$X$1501,0))</f>
        <v/>
      </c>
      <c r="P173" s="7">
        <f>IF($X173="","",O173*N173)</f>
        <v/>
      </c>
      <c r="Q173">
        <f>IF($X173="","",IF(ISNUMBER(SEARCH("3&amp;12",SUBSTITUTE(J173," ",""))),Settings!$G$6,Settings!$C$6))</f>
        <v/>
      </c>
      <c r="R173" s="7">
        <f>IF($X173="","",SUMIFS('Per Line'!$N$2:$N$1501,'Per Line'!$A$2:$A$1501,$B173,'Per Line'!$X$2:$X$1501,1))</f>
        <v/>
      </c>
      <c r="S173" s="7">
        <f>IF($X173="","",R173*Q173)</f>
        <v/>
      </c>
      <c r="T173" s="7">
        <f>IF($X173="","",S173+P173)</f>
        <v/>
      </c>
      <c r="U173" s="7">
        <f>IF($X173="","",V173-T173)</f>
        <v/>
      </c>
      <c r="V173" s="7">
        <f>IF($X173="","",O173+R173)</f>
        <v/>
      </c>
      <c r="W173" s="7">
        <f>IF($X173="","",V173-T173-M173)</f>
        <v/>
      </c>
      <c r="X173" s="16">
        <f>IF(ROWS($X$2:$X173)&lt;=MAX('Per Line'!$W$2:$W$1501),MATCH(ROWS($X$2:$X173),'Per Line'!$W$2:$W$1501,0),"")</f>
        <v/>
      </c>
      <c r="Y173">
        <f>IF($X173="","",C173&amp;"|"&amp;COUNTIF($C$2:$C173,C173))</f>
        <v/>
      </c>
    </row>
    <row r="174">
      <c r="A174" s="15" t="n"/>
      <c r="B174">
        <f>IF($X174="","",INDEX('Per Line'!$A$2:$A$1501,$X174)&amp;"")</f>
        <v/>
      </c>
      <c r="C174">
        <f>IF($X174="","",IF(OR(TRIM(H174)="",TRIM(H174)="All",TRIM(H174)="All Comp"),TRIM(J174),TRIM(H174)))</f>
        <v/>
      </c>
      <c r="D174">
        <f>IF($X174="","",INDEX('Per Line'!$B$2:$B$1501,$X174)&amp;"")</f>
        <v/>
      </c>
      <c r="E174">
        <f>IF($X174="","",INDEX('Per Line'!$C$2:$C$1501,$X174)&amp;"")</f>
        <v/>
      </c>
      <c r="F174">
        <f>IF($X174="","",INDEX('Per Line'!$D$2:$D$1501,$X174)&amp;"")</f>
        <v/>
      </c>
      <c r="G174" s="15" t="n"/>
      <c r="H174" s="15" t="n"/>
      <c r="I174" s="15" t="n"/>
      <c r="J174" s="15" t="n"/>
      <c r="K174" s="14">
        <f>IF($X174="","",INDEX('Per Line'!$R$2:$R$1501,$X174))</f>
        <v/>
      </c>
      <c r="L174">
        <f>IF($X174="","",INDEX('Per Line'!$E$2:$E$1501,$X174))</f>
        <v/>
      </c>
      <c r="M174" s="7">
        <f>IF($X174="","",L174*U174/100)</f>
        <v/>
      </c>
      <c r="N174">
        <f>IF($X174="","",IF(ISNUMBER(SEARCH("3&amp;12",SUBSTITUTE(J174," ",""))),Settings!$G$7,Settings!$C$7))</f>
        <v/>
      </c>
      <c r="O174" s="7">
        <f>IF($X174="","",SUMIFS('Per Line'!$N$2:$N$1501,'Per Line'!$A$2:$A$1501,$B174,'Per Line'!$X$2:$X$1501,0))</f>
        <v/>
      </c>
      <c r="P174" s="7">
        <f>IF($X174="","",O174*N174)</f>
        <v/>
      </c>
      <c r="Q174">
        <f>IF($X174="","",IF(ISNUMBER(SEARCH("3&amp;12",SUBSTITUTE(J174," ",""))),Settings!$G$6,Settings!$C$6))</f>
        <v/>
      </c>
      <c r="R174" s="7">
        <f>IF($X174="","",SUMIFS('Per Line'!$N$2:$N$1501,'Per Line'!$A$2:$A$1501,$B174,'Per Line'!$X$2:$X$1501,1))</f>
        <v/>
      </c>
      <c r="S174" s="7">
        <f>IF($X174="","",R174*Q174)</f>
        <v/>
      </c>
      <c r="T174" s="7">
        <f>IF($X174="","",S174+P174)</f>
        <v/>
      </c>
      <c r="U174" s="7">
        <f>IF($X174="","",V174-T174)</f>
        <v/>
      </c>
      <c r="V174" s="7">
        <f>IF($X174="","",O174+R174)</f>
        <v/>
      </c>
      <c r="W174" s="7">
        <f>IF($X174="","",V174-T174-M174)</f>
        <v/>
      </c>
      <c r="X174" s="16">
        <f>IF(ROWS($X$2:$X174)&lt;=MAX('Per Line'!$W$2:$W$1501),MATCH(ROWS($X$2:$X174),'Per Line'!$W$2:$W$1501,0),"")</f>
        <v/>
      </c>
      <c r="Y174">
        <f>IF($X174="","",C174&amp;"|"&amp;COUNTIF($C$2:$C174,C174))</f>
        <v/>
      </c>
    </row>
    <row r="175">
      <c r="A175" s="15" t="n"/>
      <c r="B175">
        <f>IF($X175="","",INDEX('Per Line'!$A$2:$A$1501,$X175)&amp;"")</f>
        <v/>
      </c>
      <c r="C175">
        <f>IF($X175="","",IF(OR(TRIM(H175)="",TRIM(H175)="All",TRIM(H175)="All Comp"),TRIM(J175),TRIM(H175)))</f>
        <v/>
      </c>
      <c r="D175">
        <f>IF($X175="","",INDEX('Per Line'!$B$2:$B$1501,$X175)&amp;"")</f>
        <v/>
      </c>
      <c r="E175">
        <f>IF($X175="","",INDEX('Per Line'!$C$2:$C$1501,$X175)&amp;"")</f>
        <v/>
      </c>
      <c r="F175">
        <f>IF($X175="","",INDEX('Per Line'!$D$2:$D$1501,$X175)&amp;"")</f>
        <v/>
      </c>
      <c r="G175" s="15" t="n"/>
      <c r="H175" s="15" t="n"/>
      <c r="I175" s="15" t="n"/>
      <c r="J175" s="15" t="n"/>
      <c r="K175" s="14">
        <f>IF($X175="","",INDEX('Per Line'!$R$2:$R$1501,$X175))</f>
        <v/>
      </c>
      <c r="L175">
        <f>IF($X175="","",INDEX('Per Line'!$E$2:$E$1501,$X175))</f>
        <v/>
      </c>
      <c r="M175" s="7">
        <f>IF($X175="","",L175*U175/100)</f>
        <v/>
      </c>
      <c r="N175">
        <f>IF($X175="","",IF(ISNUMBER(SEARCH("3&amp;12",SUBSTITUTE(J175," ",""))),Settings!$G$7,Settings!$C$7))</f>
        <v/>
      </c>
      <c r="O175" s="7">
        <f>IF($X175="","",SUMIFS('Per Line'!$N$2:$N$1501,'Per Line'!$A$2:$A$1501,$B175,'Per Line'!$X$2:$X$1501,0))</f>
        <v/>
      </c>
      <c r="P175" s="7">
        <f>IF($X175="","",O175*N175)</f>
        <v/>
      </c>
      <c r="Q175">
        <f>IF($X175="","",IF(ISNUMBER(SEARCH("3&amp;12",SUBSTITUTE(J175," ",""))),Settings!$G$6,Settings!$C$6))</f>
        <v/>
      </c>
      <c r="R175" s="7">
        <f>IF($X175="","",SUMIFS('Per Line'!$N$2:$N$1501,'Per Line'!$A$2:$A$1501,$B175,'Per Line'!$X$2:$X$1501,1))</f>
        <v/>
      </c>
      <c r="S175" s="7">
        <f>IF($X175="","",R175*Q175)</f>
        <v/>
      </c>
      <c r="T175" s="7">
        <f>IF($X175="","",S175+P175)</f>
        <v/>
      </c>
      <c r="U175" s="7">
        <f>IF($X175="","",V175-T175)</f>
        <v/>
      </c>
      <c r="V175" s="7">
        <f>IF($X175="","",O175+R175)</f>
        <v/>
      </c>
      <c r="W175" s="7">
        <f>IF($X175="","",V175-T175-M175)</f>
        <v/>
      </c>
      <c r="X175" s="16">
        <f>IF(ROWS($X$2:$X175)&lt;=MAX('Per Line'!$W$2:$W$1501),MATCH(ROWS($X$2:$X175),'Per Line'!$W$2:$W$1501,0),"")</f>
        <v/>
      </c>
      <c r="Y175">
        <f>IF($X175="","",C175&amp;"|"&amp;COUNTIF($C$2:$C175,C175))</f>
        <v/>
      </c>
    </row>
    <row r="176">
      <c r="A176" s="15" t="n"/>
      <c r="B176">
        <f>IF($X176="","",INDEX('Per Line'!$A$2:$A$1501,$X176)&amp;"")</f>
        <v/>
      </c>
      <c r="C176">
        <f>IF($X176="","",IF(OR(TRIM(H176)="",TRIM(H176)="All",TRIM(H176)="All Comp"),TRIM(J176),TRIM(H176)))</f>
        <v/>
      </c>
      <c r="D176">
        <f>IF($X176="","",INDEX('Per Line'!$B$2:$B$1501,$X176)&amp;"")</f>
        <v/>
      </c>
      <c r="E176">
        <f>IF($X176="","",INDEX('Per Line'!$C$2:$C$1501,$X176)&amp;"")</f>
        <v/>
      </c>
      <c r="F176">
        <f>IF($X176="","",INDEX('Per Line'!$D$2:$D$1501,$X176)&amp;"")</f>
        <v/>
      </c>
      <c r="G176" s="15" t="n"/>
      <c r="H176" s="15" t="n"/>
      <c r="I176" s="15" t="n"/>
      <c r="J176" s="15" t="n"/>
      <c r="K176" s="14">
        <f>IF($X176="","",INDEX('Per Line'!$R$2:$R$1501,$X176))</f>
        <v/>
      </c>
      <c r="L176">
        <f>IF($X176="","",INDEX('Per Line'!$E$2:$E$1501,$X176))</f>
        <v/>
      </c>
      <c r="M176" s="7">
        <f>IF($X176="","",L176*U176/100)</f>
        <v/>
      </c>
      <c r="N176">
        <f>IF($X176="","",IF(ISNUMBER(SEARCH("3&amp;12",SUBSTITUTE(J176," ",""))),Settings!$G$7,Settings!$C$7))</f>
        <v/>
      </c>
      <c r="O176" s="7">
        <f>IF($X176="","",SUMIFS('Per Line'!$N$2:$N$1501,'Per Line'!$A$2:$A$1501,$B176,'Per Line'!$X$2:$X$1501,0))</f>
        <v/>
      </c>
      <c r="P176" s="7">
        <f>IF($X176="","",O176*N176)</f>
        <v/>
      </c>
      <c r="Q176">
        <f>IF($X176="","",IF(ISNUMBER(SEARCH("3&amp;12",SUBSTITUTE(J176," ",""))),Settings!$G$6,Settings!$C$6))</f>
        <v/>
      </c>
      <c r="R176" s="7">
        <f>IF($X176="","",SUMIFS('Per Line'!$N$2:$N$1501,'Per Line'!$A$2:$A$1501,$B176,'Per Line'!$X$2:$X$1501,1))</f>
        <v/>
      </c>
      <c r="S176" s="7">
        <f>IF($X176="","",R176*Q176)</f>
        <v/>
      </c>
      <c r="T176" s="7">
        <f>IF($X176="","",S176+P176)</f>
        <v/>
      </c>
      <c r="U176" s="7">
        <f>IF($X176="","",V176-T176)</f>
        <v/>
      </c>
      <c r="V176" s="7">
        <f>IF($X176="","",O176+R176)</f>
        <v/>
      </c>
      <c r="W176" s="7">
        <f>IF($X176="","",V176-T176-M176)</f>
        <v/>
      </c>
      <c r="X176" s="16">
        <f>IF(ROWS($X$2:$X176)&lt;=MAX('Per Line'!$W$2:$W$1501),MATCH(ROWS($X$2:$X176),'Per Line'!$W$2:$W$1501,0),"")</f>
        <v/>
      </c>
      <c r="Y176">
        <f>IF($X176="","",C176&amp;"|"&amp;COUNTIF($C$2:$C176,C176))</f>
        <v/>
      </c>
    </row>
    <row r="177">
      <c r="A177" s="15" t="n"/>
      <c r="B177">
        <f>IF($X177="","",INDEX('Per Line'!$A$2:$A$1501,$X177)&amp;"")</f>
        <v/>
      </c>
      <c r="C177">
        <f>IF($X177="","",IF(OR(TRIM(H177)="",TRIM(H177)="All",TRIM(H177)="All Comp"),TRIM(J177),TRIM(H177)))</f>
        <v/>
      </c>
      <c r="D177">
        <f>IF($X177="","",INDEX('Per Line'!$B$2:$B$1501,$X177)&amp;"")</f>
        <v/>
      </c>
      <c r="E177">
        <f>IF($X177="","",INDEX('Per Line'!$C$2:$C$1501,$X177)&amp;"")</f>
        <v/>
      </c>
      <c r="F177">
        <f>IF($X177="","",INDEX('Per Line'!$D$2:$D$1501,$X177)&amp;"")</f>
        <v/>
      </c>
      <c r="G177" s="15" t="n"/>
      <c r="H177" s="15" t="n"/>
      <c r="I177" s="15" t="n"/>
      <c r="J177" s="15" t="n"/>
      <c r="K177" s="14">
        <f>IF($X177="","",INDEX('Per Line'!$R$2:$R$1501,$X177))</f>
        <v/>
      </c>
      <c r="L177">
        <f>IF($X177="","",INDEX('Per Line'!$E$2:$E$1501,$X177))</f>
        <v/>
      </c>
      <c r="M177" s="7">
        <f>IF($X177="","",L177*U177/100)</f>
        <v/>
      </c>
      <c r="N177">
        <f>IF($X177="","",IF(ISNUMBER(SEARCH("3&amp;12",SUBSTITUTE(J177," ",""))),Settings!$G$7,Settings!$C$7))</f>
        <v/>
      </c>
      <c r="O177" s="7">
        <f>IF($X177="","",SUMIFS('Per Line'!$N$2:$N$1501,'Per Line'!$A$2:$A$1501,$B177,'Per Line'!$X$2:$X$1501,0))</f>
        <v/>
      </c>
      <c r="P177" s="7">
        <f>IF($X177="","",O177*N177)</f>
        <v/>
      </c>
      <c r="Q177">
        <f>IF($X177="","",IF(ISNUMBER(SEARCH("3&amp;12",SUBSTITUTE(J177," ",""))),Settings!$G$6,Settings!$C$6))</f>
        <v/>
      </c>
      <c r="R177" s="7">
        <f>IF($X177="","",SUMIFS('Per Line'!$N$2:$N$1501,'Per Line'!$A$2:$A$1501,$B177,'Per Line'!$X$2:$X$1501,1))</f>
        <v/>
      </c>
      <c r="S177" s="7">
        <f>IF($X177="","",R177*Q177)</f>
        <v/>
      </c>
      <c r="T177" s="7">
        <f>IF($X177="","",S177+P177)</f>
        <v/>
      </c>
      <c r="U177" s="7">
        <f>IF($X177="","",V177-T177)</f>
        <v/>
      </c>
      <c r="V177" s="7">
        <f>IF($X177="","",O177+R177)</f>
        <v/>
      </c>
      <c r="W177" s="7">
        <f>IF($X177="","",V177-T177-M177)</f>
        <v/>
      </c>
      <c r="X177" s="16">
        <f>IF(ROWS($X$2:$X177)&lt;=MAX('Per Line'!$W$2:$W$1501),MATCH(ROWS($X$2:$X177),'Per Line'!$W$2:$W$1501,0),"")</f>
        <v/>
      </c>
      <c r="Y177">
        <f>IF($X177="","",C177&amp;"|"&amp;COUNTIF($C$2:$C177,C177))</f>
        <v/>
      </c>
    </row>
    <row r="178">
      <c r="A178" s="15" t="n"/>
      <c r="B178">
        <f>IF($X178="","",INDEX('Per Line'!$A$2:$A$1501,$X178)&amp;"")</f>
        <v/>
      </c>
      <c r="C178">
        <f>IF($X178="","",IF(OR(TRIM(H178)="",TRIM(H178)="All",TRIM(H178)="All Comp"),TRIM(J178),TRIM(H178)))</f>
        <v/>
      </c>
      <c r="D178">
        <f>IF($X178="","",INDEX('Per Line'!$B$2:$B$1501,$X178)&amp;"")</f>
        <v/>
      </c>
      <c r="E178">
        <f>IF($X178="","",INDEX('Per Line'!$C$2:$C$1501,$X178)&amp;"")</f>
        <v/>
      </c>
      <c r="F178">
        <f>IF($X178="","",INDEX('Per Line'!$D$2:$D$1501,$X178)&amp;"")</f>
        <v/>
      </c>
      <c r="G178" s="15" t="n"/>
      <c r="H178" s="15" t="n"/>
      <c r="I178" s="15" t="n"/>
      <c r="J178" s="15" t="n"/>
      <c r="K178" s="14">
        <f>IF($X178="","",INDEX('Per Line'!$R$2:$R$1501,$X178))</f>
        <v/>
      </c>
      <c r="L178">
        <f>IF($X178="","",INDEX('Per Line'!$E$2:$E$1501,$X178))</f>
        <v/>
      </c>
      <c r="M178" s="7">
        <f>IF($X178="","",L178*U178/100)</f>
        <v/>
      </c>
      <c r="N178">
        <f>IF($X178="","",IF(ISNUMBER(SEARCH("3&amp;12",SUBSTITUTE(J178," ",""))),Settings!$G$7,Settings!$C$7))</f>
        <v/>
      </c>
      <c r="O178" s="7">
        <f>IF($X178="","",SUMIFS('Per Line'!$N$2:$N$1501,'Per Line'!$A$2:$A$1501,$B178,'Per Line'!$X$2:$X$1501,0))</f>
        <v/>
      </c>
      <c r="P178" s="7">
        <f>IF($X178="","",O178*N178)</f>
        <v/>
      </c>
      <c r="Q178">
        <f>IF($X178="","",IF(ISNUMBER(SEARCH("3&amp;12",SUBSTITUTE(J178," ",""))),Settings!$G$6,Settings!$C$6))</f>
        <v/>
      </c>
      <c r="R178" s="7">
        <f>IF($X178="","",SUMIFS('Per Line'!$N$2:$N$1501,'Per Line'!$A$2:$A$1501,$B178,'Per Line'!$X$2:$X$1501,1))</f>
        <v/>
      </c>
      <c r="S178" s="7">
        <f>IF($X178="","",R178*Q178)</f>
        <v/>
      </c>
      <c r="T178" s="7">
        <f>IF($X178="","",S178+P178)</f>
        <v/>
      </c>
      <c r="U178" s="7">
        <f>IF($X178="","",V178-T178)</f>
        <v/>
      </c>
      <c r="V178" s="7">
        <f>IF($X178="","",O178+R178)</f>
        <v/>
      </c>
      <c r="W178" s="7">
        <f>IF($X178="","",V178-T178-M178)</f>
        <v/>
      </c>
      <c r="X178" s="16">
        <f>IF(ROWS($X$2:$X178)&lt;=MAX('Per Line'!$W$2:$W$1501),MATCH(ROWS($X$2:$X178),'Per Line'!$W$2:$W$1501,0),"")</f>
        <v/>
      </c>
      <c r="Y178">
        <f>IF($X178="","",C178&amp;"|"&amp;COUNTIF($C$2:$C178,C178))</f>
        <v/>
      </c>
    </row>
    <row r="179">
      <c r="A179" s="15" t="n"/>
      <c r="B179">
        <f>IF($X179="","",INDEX('Per Line'!$A$2:$A$1501,$X179)&amp;"")</f>
        <v/>
      </c>
      <c r="C179">
        <f>IF($X179="","",IF(OR(TRIM(H179)="",TRIM(H179)="All",TRIM(H179)="All Comp"),TRIM(J179),TRIM(H179)))</f>
        <v/>
      </c>
      <c r="D179">
        <f>IF($X179="","",INDEX('Per Line'!$B$2:$B$1501,$X179)&amp;"")</f>
        <v/>
      </c>
      <c r="E179">
        <f>IF($X179="","",INDEX('Per Line'!$C$2:$C$1501,$X179)&amp;"")</f>
        <v/>
      </c>
      <c r="F179">
        <f>IF($X179="","",INDEX('Per Line'!$D$2:$D$1501,$X179)&amp;"")</f>
        <v/>
      </c>
      <c r="G179" s="15" t="n"/>
      <c r="H179" s="15" t="n"/>
      <c r="I179" s="15" t="n"/>
      <c r="J179" s="15" t="n"/>
      <c r="K179" s="14">
        <f>IF($X179="","",INDEX('Per Line'!$R$2:$R$1501,$X179))</f>
        <v/>
      </c>
      <c r="L179">
        <f>IF($X179="","",INDEX('Per Line'!$E$2:$E$1501,$X179))</f>
        <v/>
      </c>
      <c r="M179" s="7">
        <f>IF($X179="","",L179*U179/100)</f>
        <v/>
      </c>
      <c r="N179">
        <f>IF($X179="","",IF(ISNUMBER(SEARCH("3&amp;12",SUBSTITUTE(J179," ",""))),Settings!$G$7,Settings!$C$7))</f>
        <v/>
      </c>
      <c r="O179" s="7">
        <f>IF($X179="","",SUMIFS('Per Line'!$N$2:$N$1501,'Per Line'!$A$2:$A$1501,$B179,'Per Line'!$X$2:$X$1501,0))</f>
        <v/>
      </c>
      <c r="P179" s="7">
        <f>IF($X179="","",O179*N179)</f>
        <v/>
      </c>
      <c r="Q179">
        <f>IF($X179="","",IF(ISNUMBER(SEARCH("3&amp;12",SUBSTITUTE(J179," ",""))),Settings!$G$6,Settings!$C$6))</f>
        <v/>
      </c>
      <c r="R179" s="7">
        <f>IF($X179="","",SUMIFS('Per Line'!$N$2:$N$1501,'Per Line'!$A$2:$A$1501,$B179,'Per Line'!$X$2:$X$1501,1))</f>
        <v/>
      </c>
      <c r="S179" s="7">
        <f>IF($X179="","",R179*Q179)</f>
        <v/>
      </c>
      <c r="T179" s="7">
        <f>IF($X179="","",S179+P179)</f>
        <v/>
      </c>
      <c r="U179" s="7">
        <f>IF($X179="","",V179-T179)</f>
        <v/>
      </c>
      <c r="V179" s="7">
        <f>IF($X179="","",O179+R179)</f>
        <v/>
      </c>
      <c r="W179" s="7">
        <f>IF($X179="","",V179-T179-M179)</f>
        <v/>
      </c>
      <c r="X179" s="16">
        <f>IF(ROWS($X$2:$X179)&lt;=MAX('Per Line'!$W$2:$W$1501),MATCH(ROWS($X$2:$X179),'Per Line'!$W$2:$W$1501,0),"")</f>
        <v/>
      </c>
      <c r="Y179">
        <f>IF($X179="","",C179&amp;"|"&amp;COUNTIF($C$2:$C179,C179))</f>
        <v/>
      </c>
    </row>
    <row r="180">
      <c r="A180" s="15" t="n"/>
      <c r="B180">
        <f>IF($X180="","",INDEX('Per Line'!$A$2:$A$1501,$X180)&amp;"")</f>
        <v/>
      </c>
      <c r="C180">
        <f>IF($X180="","",IF(OR(TRIM(H180)="",TRIM(H180)="All",TRIM(H180)="All Comp"),TRIM(J180),TRIM(H180)))</f>
        <v/>
      </c>
      <c r="D180">
        <f>IF($X180="","",INDEX('Per Line'!$B$2:$B$1501,$X180)&amp;"")</f>
        <v/>
      </c>
      <c r="E180">
        <f>IF($X180="","",INDEX('Per Line'!$C$2:$C$1501,$X180)&amp;"")</f>
        <v/>
      </c>
      <c r="F180">
        <f>IF($X180="","",INDEX('Per Line'!$D$2:$D$1501,$X180)&amp;"")</f>
        <v/>
      </c>
      <c r="G180" s="15" t="n"/>
      <c r="H180" s="15" t="n"/>
      <c r="I180" s="15" t="n"/>
      <c r="J180" s="15" t="n"/>
      <c r="K180" s="14">
        <f>IF($X180="","",INDEX('Per Line'!$R$2:$R$1501,$X180))</f>
        <v/>
      </c>
      <c r="L180">
        <f>IF($X180="","",INDEX('Per Line'!$E$2:$E$1501,$X180))</f>
        <v/>
      </c>
      <c r="M180" s="7">
        <f>IF($X180="","",L180*U180/100)</f>
        <v/>
      </c>
      <c r="N180">
        <f>IF($X180="","",IF(ISNUMBER(SEARCH("3&amp;12",SUBSTITUTE(J180," ",""))),Settings!$G$7,Settings!$C$7))</f>
        <v/>
      </c>
      <c r="O180" s="7">
        <f>IF($X180="","",SUMIFS('Per Line'!$N$2:$N$1501,'Per Line'!$A$2:$A$1501,$B180,'Per Line'!$X$2:$X$1501,0))</f>
        <v/>
      </c>
      <c r="P180" s="7">
        <f>IF($X180="","",O180*N180)</f>
        <v/>
      </c>
      <c r="Q180">
        <f>IF($X180="","",IF(ISNUMBER(SEARCH("3&amp;12",SUBSTITUTE(J180," ",""))),Settings!$G$6,Settings!$C$6))</f>
        <v/>
      </c>
      <c r="R180" s="7">
        <f>IF($X180="","",SUMIFS('Per Line'!$N$2:$N$1501,'Per Line'!$A$2:$A$1501,$B180,'Per Line'!$X$2:$X$1501,1))</f>
        <v/>
      </c>
      <c r="S180" s="7">
        <f>IF($X180="","",R180*Q180)</f>
        <v/>
      </c>
      <c r="T180" s="7">
        <f>IF($X180="","",S180+P180)</f>
        <v/>
      </c>
      <c r="U180" s="7">
        <f>IF($X180="","",V180-T180)</f>
        <v/>
      </c>
      <c r="V180" s="7">
        <f>IF($X180="","",O180+R180)</f>
        <v/>
      </c>
      <c r="W180" s="7">
        <f>IF($X180="","",V180-T180-M180)</f>
        <v/>
      </c>
      <c r="X180" s="16">
        <f>IF(ROWS($X$2:$X180)&lt;=MAX('Per Line'!$W$2:$W$1501),MATCH(ROWS($X$2:$X180),'Per Line'!$W$2:$W$1501,0),"")</f>
        <v/>
      </c>
      <c r="Y180">
        <f>IF($X180="","",C180&amp;"|"&amp;COUNTIF($C$2:$C180,C180))</f>
        <v/>
      </c>
    </row>
    <row r="181">
      <c r="A181" s="15" t="n"/>
      <c r="B181">
        <f>IF($X181="","",INDEX('Per Line'!$A$2:$A$1501,$X181)&amp;"")</f>
        <v/>
      </c>
      <c r="C181">
        <f>IF($X181="","",IF(OR(TRIM(H181)="",TRIM(H181)="All",TRIM(H181)="All Comp"),TRIM(J181),TRIM(H181)))</f>
        <v/>
      </c>
      <c r="D181">
        <f>IF($X181="","",INDEX('Per Line'!$B$2:$B$1501,$X181)&amp;"")</f>
        <v/>
      </c>
      <c r="E181">
        <f>IF($X181="","",INDEX('Per Line'!$C$2:$C$1501,$X181)&amp;"")</f>
        <v/>
      </c>
      <c r="F181">
        <f>IF($X181="","",INDEX('Per Line'!$D$2:$D$1501,$X181)&amp;"")</f>
        <v/>
      </c>
      <c r="G181" s="15" t="n"/>
      <c r="H181" s="15" t="n"/>
      <c r="I181" s="15" t="n"/>
      <c r="J181" s="15" t="n"/>
      <c r="K181" s="14">
        <f>IF($X181="","",INDEX('Per Line'!$R$2:$R$1501,$X181))</f>
        <v/>
      </c>
      <c r="L181">
        <f>IF($X181="","",INDEX('Per Line'!$E$2:$E$1501,$X181))</f>
        <v/>
      </c>
      <c r="M181" s="7">
        <f>IF($X181="","",L181*U181/100)</f>
        <v/>
      </c>
      <c r="N181">
        <f>IF($X181="","",IF(ISNUMBER(SEARCH("3&amp;12",SUBSTITUTE(J181," ",""))),Settings!$G$7,Settings!$C$7))</f>
        <v/>
      </c>
      <c r="O181" s="7">
        <f>IF($X181="","",SUMIFS('Per Line'!$N$2:$N$1501,'Per Line'!$A$2:$A$1501,$B181,'Per Line'!$X$2:$X$1501,0))</f>
        <v/>
      </c>
      <c r="P181" s="7">
        <f>IF($X181="","",O181*N181)</f>
        <v/>
      </c>
      <c r="Q181">
        <f>IF($X181="","",IF(ISNUMBER(SEARCH("3&amp;12",SUBSTITUTE(J181," ",""))),Settings!$G$6,Settings!$C$6))</f>
        <v/>
      </c>
      <c r="R181" s="7">
        <f>IF($X181="","",SUMIFS('Per Line'!$N$2:$N$1501,'Per Line'!$A$2:$A$1501,$B181,'Per Line'!$X$2:$X$1501,1))</f>
        <v/>
      </c>
      <c r="S181" s="7">
        <f>IF($X181="","",R181*Q181)</f>
        <v/>
      </c>
      <c r="T181" s="7">
        <f>IF($X181="","",S181+P181)</f>
        <v/>
      </c>
      <c r="U181" s="7">
        <f>IF($X181="","",V181-T181)</f>
        <v/>
      </c>
      <c r="V181" s="7">
        <f>IF($X181="","",O181+R181)</f>
        <v/>
      </c>
      <c r="W181" s="7">
        <f>IF($X181="","",V181-T181-M181)</f>
        <v/>
      </c>
      <c r="X181" s="16">
        <f>IF(ROWS($X$2:$X181)&lt;=MAX('Per Line'!$W$2:$W$1501),MATCH(ROWS($X$2:$X181),'Per Line'!$W$2:$W$1501,0),"")</f>
        <v/>
      </c>
      <c r="Y181">
        <f>IF($X181="","",C181&amp;"|"&amp;COUNTIF($C$2:$C181,C181))</f>
        <v/>
      </c>
    </row>
    <row r="182">
      <c r="A182" s="15" t="n"/>
      <c r="B182">
        <f>IF($X182="","",INDEX('Per Line'!$A$2:$A$1501,$X182)&amp;"")</f>
        <v/>
      </c>
      <c r="C182">
        <f>IF($X182="","",IF(OR(TRIM(H182)="",TRIM(H182)="All",TRIM(H182)="All Comp"),TRIM(J182),TRIM(H182)))</f>
        <v/>
      </c>
      <c r="D182">
        <f>IF($X182="","",INDEX('Per Line'!$B$2:$B$1501,$X182)&amp;"")</f>
        <v/>
      </c>
      <c r="E182">
        <f>IF($X182="","",INDEX('Per Line'!$C$2:$C$1501,$X182)&amp;"")</f>
        <v/>
      </c>
      <c r="F182">
        <f>IF($X182="","",INDEX('Per Line'!$D$2:$D$1501,$X182)&amp;"")</f>
        <v/>
      </c>
      <c r="G182" s="15" t="n"/>
      <c r="H182" s="15" t="n"/>
      <c r="I182" s="15" t="n"/>
      <c r="J182" s="15" t="n"/>
      <c r="K182" s="14">
        <f>IF($X182="","",INDEX('Per Line'!$R$2:$R$1501,$X182))</f>
        <v/>
      </c>
      <c r="L182">
        <f>IF($X182="","",INDEX('Per Line'!$E$2:$E$1501,$X182))</f>
        <v/>
      </c>
      <c r="M182" s="7">
        <f>IF($X182="","",L182*U182/100)</f>
        <v/>
      </c>
      <c r="N182">
        <f>IF($X182="","",IF(ISNUMBER(SEARCH("3&amp;12",SUBSTITUTE(J182," ",""))),Settings!$G$7,Settings!$C$7))</f>
        <v/>
      </c>
      <c r="O182" s="7">
        <f>IF($X182="","",SUMIFS('Per Line'!$N$2:$N$1501,'Per Line'!$A$2:$A$1501,$B182,'Per Line'!$X$2:$X$1501,0))</f>
        <v/>
      </c>
      <c r="P182" s="7">
        <f>IF($X182="","",O182*N182)</f>
        <v/>
      </c>
      <c r="Q182">
        <f>IF($X182="","",IF(ISNUMBER(SEARCH("3&amp;12",SUBSTITUTE(J182," ",""))),Settings!$G$6,Settings!$C$6))</f>
        <v/>
      </c>
      <c r="R182" s="7">
        <f>IF($X182="","",SUMIFS('Per Line'!$N$2:$N$1501,'Per Line'!$A$2:$A$1501,$B182,'Per Line'!$X$2:$X$1501,1))</f>
        <v/>
      </c>
      <c r="S182" s="7">
        <f>IF($X182="","",R182*Q182)</f>
        <v/>
      </c>
      <c r="T182" s="7">
        <f>IF($X182="","",S182+P182)</f>
        <v/>
      </c>
      <c r="U182" s="7">
        <f>IF($X182="","",V182-T182)</f>
        <v/>
      </c>
      <c r="V182" s="7">
        <f>IF($X182="","",O182+R182)</f>
        <v/>
      </c>
      <c r="W182" s="7">
        <f>IF($X182="","",V182-T182-M182)</f>
        <v/>
      </c>
      <c r="X182" s="16">
        <f>IF(ROWS($X$2:$X182)&lt;=MAX('Per Line'!$W$2:$W$1501),MATCH(ROWS($X$2:$X182),'Per Line'!$W$2:$W$1501,0),"")</f>
        <v/>
      </c>
      <c r="Y182">
        <f>IF($X182="","",C182&amp;"|"&amp;COUNTIF($C$2:$C182,C182))</f>
        <v/>
      </c>
    </row>
    <row r="183">
      <c r="A183" s="15" t="n"/>
      <c r="B183">
        <f>IF($X183="","",INDEX('Per Line'!$A$2:$A$1501,$X183)&amp;"")</f>
        <v/>
      </c>
      <c r="C183">
        <f>IF($X183="","",IF(OR(TRIM(H183)="",TRIM(H183)="All",TRIM(H183)="All Comp"),TRIM(J183),TRIM(H183)))</f>
        <v/>
      </c>
      <c r="D183">
        <f>IF($X183="","",INDEX('Per Line'!$B$2:$B$1501,$X183)&amp;"")</f>
        <v/>
      </c>
      <c r="E183">
        <f>IF($X183="","",INDEX('Per Line'!$C$2:$C$1501,$X183)&amp;"")</f>
        <v/>
      </c>
      <c r="F183">
        <f>IF($X183="","",INDEX('Per Line'!$D$2:$D$1501,$X183)&amp;"")</f>
        <v/>
      </c>
      <c r="G183" s="15" t="n"/>
      <c r="H183" s="15" t="n"/>
      <c r="I183" s="15" t="n"/>
      <c r="J183" s="15" t="n"/>
      <c r="K183" s="14">
        <f>IF($X183="","",INDEX('Per Line'!$R$2:$R$1501,$X183))</f>
        <v/>
      </c>
      <c r="L183">
        <f>IF($X183="","",INDEX('Per Line'!$E$2:$E$1501,$X183))</f>
        <v/>
      </c>
      <c r="M183" s="7">
        <f>IF($X183="","",L183*U183/100)</f>
        <v/>
      </c>
      <c r="N183">
        <f>IF($X183="","",IF(ISNUMBER(SEARCH("3&amp;12",SUBSTITUTE(J183," ",""))),Settings!$G$7,Settings!$C$7))</f>
        <v/>
      </c>
      <c r="O183" s="7">
        <f>IF($X183="","",SUMIFS('Per Line'!$N$2:$N$1501,'Per Line'!$A$2:$A$1501,$B183,'Per Line'!$X$2:$X$1501,0))</f>
        <v/>
      </c>
      <c r="P183" s="7">
        <f>IF($X183="","",O183*N183)</f>
        <v/>
      </c>
      <c r="Q183">
        <f>IF($X183="","",IF(ISNUMBER(SEARCH("3&amp;12",SUBSTITUTE(J183," ",""))),Settings!$G$6,Settings!$C$6))</f>
        <v/>
      </c>
      <c r="R183" s="7">
        <f>IF($X183="","",SUMIFS('Per Line'!$N$2:$N$1501,'Per Line'!$A$2:$A$1501,$B183,'Per Line'!$X$2:$X$1501,1))</f>
        <v/>
      </c>
      <c r="S183" s="7">
        <f>IF($X183="","",R183*Q183)</f>
        <v/>
      </c>
      <c r="T183" s="7">
        <f>IF($X183="","",S183+P183)</f>
        <v/>
      </c>
      <c r="U183" s="7">
        <f>IF($X183="","",V183-T183)</f>
        <v/>
      </c>
      <c r="V183" s="7">
        <f>IF($X183="","",O183+R183)</f>
        <v/>
      </c>
      <c r="W183" s="7">
        <f>IF($X183="","",V183-T183-M183)</f>
        <v/>
      </c>
      <c r="X183" s="16">
        <f>IF(ROWS($X$2:$X183)&lt;=MAX('Per Line'!$W$2:$W$1501),MATCH(ROWS($X$2:$X183),'Per Line'!$W$2:$W$1501,0),"")</f>
        <v/>
      </c>
      <c r="Y183">
        <f>IF($X183="","",C183&amp;"|"&amp;COUNTIF($C$2:$C183,C183))</f>
        <v/>
      </c>
    </row>
    <row r="184">
      <c r="A184" s="15" t="n"/>
      <c r="B184">
        <f>IF($X184="","",INDEX('Per Line'!$A$2:$A$1501,$X184)&amp;"")</f>
        <v/>
      </c>
      <c r="C184">
        <f>IF($X184="","",IF(OR(TRIM(H184)="",TRIM(H184)="All",TRIM(H184)="All Comp"),TRIM(J184),TRIM(H184)))</f>
        <v/>
      </c>
      <c r="D184">
        <f>IF($X184="","",INDEX('Per Line'!$B$2:$B$1501,$X184)&amp;"")</f>
        <v/>
      </c>
      <c r="E184">
        <f>IF($X184="","",INDEX('Per Line'!$C$2:$C$1501,$X184)&amp;"")</f>
        <v/>
      </c>
      <c r="F184">
        <f>IF($X184="","",INDEX('Per Line'!$D$2:$D$1501,$X184)&amp;"")</f>
        <v/>
      </c>
      <c r="G184" s="15" t="n"/>
      <c r="H184" s="15" t="n"/>
      <c r="I184" s="15" t="n"/>
      <c r="J184" s="15" t="n"/>
      <c r="K184" s="14">
        <f>IF($X184="","",INDEX('Per Line'!$R$2:$R$1501,$X184))</f>
        <v/>
      </c>
      <c r="L184">
        <f>IF($X184="","",INDEX('Per Line'!$E$2:$E$1501,$X184))</f>
        <v/>
      </c>
      <c r="M184" s="7">
        <f>IF($X184="","",L184*U184/100)</f>
        <v/>
      </c>
      <c r="N184">
        <f>IF($X184="","",IF(ISNUMBER(SEARCH("3&amp;12",SUBSTITUTE(J184," ",""))),Settings!$G$7,Settings!$C$7))</f>
        <v/>
      </c>
      <c r="O184" s="7">
        <f>IF($X184="","",SUMIFS('Per Line'!$N$2:$N$1501,'Per Line'!$A$2:$A$1501,$B184,'Per Line'!$X$2:$X$1501,0))</f>
        <v/>
      </c>
      <c r="P184" s="7">
        <f>IF($X184="","",O184*N184)</f>
        <v/>
      </c>
      <c r="Q184">
        <f>IF($X184="","",IF(ISNUMBER(SEARCH("3&amp;12",SUBSTITUTE(J184," ",""))),Settings!$G$6,Settings!$C$6))</f>
        <v/>
      </c>
      <c r="R184" s="7">
        <f>IF($X184="","",SUMIFS('Per Line'!$N$2:$N$1501,'Per Line'!$A$2:$A$1501,$B184,'Per Line'!$X$2:$X$1501,1))</f>
        <v/>
      </c>
      <c r="S184" s="7">
        <f>IF($X184="","",R184*Q184)</f>
        <v/>
      </c>
      <c r="T184" s="7">
        <f>IF($X184="","",S184+P184)</f>
        <v/>
      </c>
      <c r="U184" s="7">
        <f>IF($X184="","",V184-T184)</f>
        <v/>
      </c>
      <c r="V184" s="7">
        <f>IF($X184="","",O184+R184)</f>
        <v/>
      </c>
      <c r="W184" s="7">
        <f>IF($X184="","",V184-T184-M184)</f>
        <v/>
      </c>
      <c r="X184" s="16">
        <f>IF(ROWS($X$2:$X184)&lt;=MAX('Per Line'!$W$2:$W$1501),MATCH(ROWS($X$2:$X184),'Per Line'!$W$2:$W$1501,0),"")</f>
        <v/>
      </c>
      <c r="Y184">
        <f>IF($X184="","",C184&amp;"|"&amp;COUNTIF($C$2:$C184,C184))</f>
        <v/>
      </c>
    </row>
    <row r="185">
      <c r="A185" s="15" t="n"/>
      <c r="B185">
        <f>IF($X185="","",INDEX('Per Line'!$A$2:$A$1501,$X185)&amp;"")</f>
        <v/>
      </c>
      <c r="C185">
        <f>IF($X185="","",IF(OR(TRIM(H185)="",TRIM(H185)="All",TRIM(H185)="All Comp"),TRIM(J185),TRIM(H185)))</f>
        <v/>
      </c>
      <c r="D185">
        <f>IF($X185="","",INDEX('Per Line'!$B$2:$B$1501,$X185)&amp;"")</f>
        <v/>
      </c>
      <c r="E185">
        <f>IF($X185="","",INDEX('Per Line'!$C$2:$C$1501,$X185)&amp;"")</f>
        <v/>
      </c>
      <c r="F185">
        <f>IF($X185="","",INDEX('Per Line'!$D$2:$D$1501,$X185)&amp;"")</f>
        <v/>
      </c>
      <c r="G185" s="15" t="n"/>
      <c r="H185" s="15" t="n"/>
      <c r="I185" s="15" t="n"/>
      <c r="J185" s="15" t="n"/>
      <c r="K185" s="14">
        <f>IF($X185="","",INDEX('Per Line'!$R$2:$R$1501,$X185))</f>
        <v/>
      </c>
      <c r="L185">
        <f>IF($X185="","",INDEX('Per Line'!$E$2:$E$1501,$X185))</f>
        <v/>
      </c>
      <c r="M185" s="7">
        <f>IF($X185="","",L185*U185/100)</f>
        <v/>
      </c>
      <c r="N185">
        <f>IF($X185="","",IF(ISNUMBER(SEARCH("3&amp;12",SUBSTITUTE(J185," ",""))),Settings!$G$7,Settings!$C$7))</f>
        <v/>
      </c>
      <c r="O185" s="7">
        <f>IF($X185="","",SUMIFS('Per Line'!$N$2:$N$1501,'Per Line'!$A$2:$A$1501,$B185,'Per Line'!$X$2:$X$1501,0))</f>
        <v/>
      </c>
      <c r="P185" s="7">
        <f>IF($X185="","",O185*N185)</f>
        <v/>
      </c>
      <c r="Q185">
        <f>IF($X185="","",IF(ISNUMBER(SEARCH("3&amp;12",SUBSTITUTE(J185," ",""))),Settings!$G$6,Settings!$C$6))</f>
        <v/>
      </c>
      <c r="R185" s="7">
        <f>IF($X185="","",SUMIFS('Per Line'!$N$2:$N$1501,'Per Line'!$A$2:$A$1501,$B185,'Per Line'!$X$2:$X$1501,1))</f>
        <v/>
      </c>
      <c r="S185" s="7">
        <f>IF($X185="","",R185*Q185)</f>
        <v/>
      </c>
      <c r="T185" s="7">
        <f>IF($X185="","",S185+P185)</f>
        <v/>
      </c>
      <c r="U185" s="7">
        <f>IF($X185="","",V185-T185)</f>
        <v/>
      </c>
      <c r="V185" s="7">
        <f>IF($X185="","",O185+R185)</f>
        <v/>
      </c>
      <c r="W185" s="7">
        <f>IF($X185="","",V185-T185-M185)</f>
        <v/>
      </c>
      <c r="X185" s="16">
        <f>IF(ROWS($X$2:$X185)&lt;=MAX('Per Line'!$W$2:$W$1501),MATCH(ROWS($X$2:$X185),'Per Line'!$W$2:$W$1501,0),"")</f>
        <v/>
      </c>
      <c r="Y185">
        <f>IF($X185="","",C185&amp;"|"&amp;COUNTIF($C$2:$C185,C185))</f>
        <v/>
      </c>
    </row>
    <row r="186">
      <c r="A186" s="15" t="n"/>
      <c r="B186">
        <f>IF($X186="","",INDEX('Per Line'!$A$2:$A$1501,$X186)&amp;"")</f>
        <v/>
      </c>
      <c r="C186">
        <f>IF($X186="","",IF(OR(TRIM(H186)="",TRIM(H186)="All",TRIM(H186)="All Comp"),TRIM(J186),TRIM(H186)))</f>
        <v/>
      </c>
      <c r="D186">
        <f>IF($X186="","",INDEX('Per Line'!$B$2:$B$1501,$X186)&amp;"")</f>
        <v/>
      </c>
      <c r="E186">
        <f>IF($X186="","",INDEX('Per Line'!$C$2:$C$1501,$X186)&amp;"")</f>
        <v/>
      </c>
      <c r="F186">
        <f>IF($X186="","",INDEX('Per Line'!$D$2:$D$1501,$X186)&amp;"")</f>
        <v/>
      </c>
      <c r="G186" s="15" t="n"/>
      <c r="H186" s="15" t="n"/>
      <c r="I186" s="15" t="n"/>
      <c r="J186" s="15" t="n"/>
      <c r="K186" s="14">
        <f>IF($X186="","",INDEX('Per Line'!$R$2:$R$1501,$X186))</f>
        <v/>
      </c>
      <c r="L186">
        <f>IF($X186="","",INDEX('Per Line'!$E$2:$E$1501,$X186))</f>
        <v/>
      </c>
      <c r="M186" s="7">
        <f>IF($X186="","",L186*U186/100)</f>
        <v/>
      </c>
      <c r="N186">
        <f>IF($X186="","",IF(ISNUMBER(SEARCH("3&amp;12",SUBSTITUTE(J186," ",""))),Settings!$G$7,Settings!$C$7))</f>
        <v/>
      </c>
      <c r="O186" s="7">
        <f>IF($X186="","",SUMIFS('Per Line'!$N$2:$N$1501,'Per Line'!$A$2:$A$1501,$B186,'Per Line'!$X$2:$X$1501,0))</f>
        <v/>
      </c>
      <c r="P186" s="7">
        <f>IF($X186="","",O186*N186)</f>
        <v/>
      </c>
      <c r="Q186">
        <f>IF($X186="","",IF(ISNUMBER(SEARCH("3&amp;12",SUBSTITUTE(J186," ",""))),Settings!$G$6,Settings!$C$6))</f>
        <v/>
      </c>
      <c r="R186" s="7">
        <f>IF($X186="","",SUMIFS('Per Line'!$N$2:$N$1501,'Per Line'!$A$2:$A$1501,$B186,'Per Line'!$X$2:$X$1501,1))</f>
        <v/>
      </c>
      <c r="S186" s="7">
        <f>IF($X186="","",R186*Q186)</f>
        <v/>
      </c>
      <c r="T186" s="7">
        <f>IF($X186="","",S186+P186)</f>
        <v/>
      </c>
      <c r="U186" s="7">
        <f>IF($X186="","",V186-T186)</f>
        <v/>
      </c>
      <c r="V186" s="7">
        <f>IF($X186="","",O186+R186)</f>
        <v/>
      </c>
      <c r="W186" s="7">
        <f>IF($X186="","",V186-T186-M186)</f>
        <v/>
      </c>
      <c r="X186" s="16">
        <f>IF(ROWS($X$2:$X186)&lt;=MAX('Per Line'!$W$2:$W$1501),MATCH(ROWS($X$2:$X186),'Per Line'!$W$2:$W$1501,0),"")</f>
        <v/>
      </c>
      <c r="Y186">
        <f>IF($X186="","",C186&amp;"|"&amp;COUNTIF($C$2:$C186,C186))</f>
        <v/>
      </c>
    </row>
    <row r="187">
      <c r="A187" s="15" t="n"/>
      <c r="B187">
        <f>IF($X187="","",INDEX('Per Line'!$A$2:$A$1501,$X187)&amp;"")</f>
        <v/>
      </c>
      <c r="C187">
        <f>IF($X187="","",IF(OR(TRIM(H187)="",TRIM(H187)="All",TRIM(H187)="All Comp"),TRIM(J187),TRIM(H187)))</f>
        <v/>
      </c>
      <c r="D187">
        <f>IF($X187="","",INDEX('Per Line'!$B$2:$B$1501,$X187)&amp;"")</f>
        <v/>
      </c>
      <c r="E187">
        <f>IF($X187="","",INDEX('Per Line'!$C$2:$C$1501,$X187)&amp;"")</f>
        <v/>
      </c>
      <c r="F187">
        <f>IF($X187="","",INDEX('Per Line'!$D$2:$D$1501,$X187)&amp;"")</f>
        <v/>
      </c>
      <c r="G187" s="15" t="n"/>
      <c r="H187" s="15" t="n"/>
      <c r="I187" s="15" t="n"/>
      <c r="J187" s="15" t="n"/>
      <c r="K187" s="14">
        <f>IF($X187="","",INDEX('Per Line'!$R$2:$R$1501,$X187))</f>
        <v/>
      </c>
      <c r="L187">
        <f>IF($X187="","",INDEX('Per Line'!$E$2:$E$1501,$X187))</f>
        <v/>
      </c>
      <c r="M187" s="7">
        <f>IF($X187="","",L187*U187/100)</f>
        <v/>
      </c>
      <c r="N187">
        <f>IF($X187="","",IF(ISNUMBER(SEARCH("3&amp;12",SUBSTITUTE(J187," ",""))),Settings!$G$7,Settings!$C$7))</f>
        <v/>
      </c>
      <c r="O187" s="7">
        <f>IF($X187="","",SUMIFS('Per Line'!$N$2:$N$1501,'Per Line'!$A$2:$A$1501,$B187,'Per Line'!$X$2:$X$1501,0))</f>
        <v/>
      </c>
      <c r="P187" s="7">
        <f>IF($X187="","",O187*N187)</f>
        <v/>
      </c>
      <c r="Q187">
        <f>IF($X187="","",IF(ISNUMBER(SEARCH("3&amp;12",SUBSTITUTE(J187," ",""))),Settings!$G$6,Settings!$C$6))</f>
        <v/>
      </c>
      <c r="R187" s="7">
        <f>IF($X187="","",SUMIFS('Per Line'!$N$2:$N$1501,'Per Line'!$A$2:$A$1501,$B187,'Per Line'!$X$2:$X$1501,1))</f>
        <v/>
      </c>
      <c r="S187" s="7">
        <f>IF($X187="","",R187*Q187)</f>
        <v/>
      </c>
      <c r="T187" s="7">
        <f>IF($X187="","",S187+P187)</f>
        <v/>
      </c>
      <c r="U187" s="7">
        <f>IF($X187="","",V187-T187)</f>
        <v/>
      </c>
      <c r="V187" s="7">
        <f>IF($X187="","",O187+R187)</f>
        <v/>
      </c>
      <c r="W187" s="7">
        <f>IF($X187="","",V187-T187-M187)</f>
        <v/>
      </c>
      <c r="X187" s="16">
        <f>IF(ROWS($X$2:$X187)&lt;=MAX('Per Line'!$W$2:$W$1501),MATCH(ROWS($X$2:$X187),'Per Line'!$W$2:$W$1501,0),"")</f>
        <v/>
      </c>
      <c r="Y187">
        <f>IF($X187="","",C187&amp;"|"&amp;COUNTIF($C$2:$C187,C187))</f>
        <v/>
      </c>
    </row>
    <row r="188">
      <c r="A188" s="15" t="n"/>
      <c r="B188">
        <f>IF($X188="","",INDEX('Per Line'!$A$2:$A$1501,$X188)&amp;"")</f>
        <v/>
      </c>
      <c r="C188">
        <f>IF($X188="","",IF(OR(TRIM(H188)="",TRIM(H188)="All",TRIM(H188)="All Comp"),TRIM(J188),TRIM(H188)))</f>
        <v/>
      </c>
      <c r="D188">
        <f>IF($X188="","",INDEX('Per Line'!$B$2:$B$1501,$X188)&amp;"")</f>
        <v/>
      </c>
      <c r="E188">
        <f>IF($X188="","",INDEX('Per Line'!$C$2:$C$1501,$X188)&amp;"")</f>
        <v/>
      </c>
      <c r="F188">
        <f>IF($X188="","",INDEX('Per Line'!$D$2:$D$1501,$X188)&amp;"")</f>
        <v/>
      </c>
      <c r="G188" s="15" t="n"/>
      <c r="H188" s="15" t="n"/>
      <c r="I188" s="15" t="n"/>
      <c r="J188" s="15" t="n"/>
      <c r="K188" s="14">
        <f>IF($X188="","",INDEX('Per Line'!$R$2:$R$1501,$X188))</f>
        <v/>
      </c>
      <c r="L188">
        <f>IF($X188="","",INDEX('Per Line'!$E$2:$E$1501,$X188))</f>
        <v/>
      </c>
      <c r="M188" s="7">
        <f>IF($X188="","",L188*U188/100)</f>
        <v/>
      </c>
      <c r="N188">
        <f>IF($X188="","",IF(ISNUMBER(SEARCH("3&amp;12",SUBSTITUTE(J188," ",""))),Settings!$G$7,Settings!$C$7))</f>
        <v/>
      </c>
      <c r="O188" s="7">
        <f>IF($X188="","",SUMIFS('Per Line'!$N$2:$N$1501,'Per Line'!$A$2:$A$1501,$B188,'Per Line'!$X$2:$X$1501,0))</f>
        <v/>
      </c>
      <c r="P188" s="7">
        <f>IF($X188="","",O188*N188)</f>
        <v/>
      </c>
      <c r="Q188">
        <f>IF($X188="","",IF(ISNUMBER(SEARCH("3&amp;12",SUBSTITUTE(J188," ",""))),Settings!$G$6,Settings!$C$6))</f>
        <v/>
      </c>
      <c r="R188" s="7">
        <f>IF($X188="","",SUMIFS('Per Line'!$N$2:$N$1501,'Per Line'!$A$2:$A$1501,$B188,'Per Line'!$X$2:$X$1501,1))</f>
        <v/>
      </c>
      <c r="S188" s="7">
        <f>IF($X188="","",R188*Q188)</f>
        <v/>
      </c>
      <c r="T188" s="7">
        <f>IF($X188="","",S188+P188)</f>
        <v/>
      </c>
      <c r="U188" s="7">
        <f>IF($X188="","",V188-T188)</f>
        <v/>
      </c>
      <c r="V188" s="7">
        <f>IF($X188="","",O188+R188)</f>
        <v/>
      </c>
      <c r="W188" s="7">
        <f>IF($X188="","",V188-T188-M188)</f>
        <v/>
      </c>
      <c r="X188" s="16">
        <f>IF(ROWS($X$2:$X188)&lt;=MAX('Per Line'!$W$2:$W$1501),MATCH(ROWS($X$2:$X188),'Per Line'!$W$2:$W$1501,0),"")</f>
        <v/>
      </c>
      <c r="Y188">
        <f>IF($X188="","",C188&amp;"|"&amp;COUNTIF($C$2:$C188,C188))</f>
        <v/>
      </c>
    </row>
    <row r="189">
      <c r="A189" s="15" t="n"/>
      <c r="B189">
        <f>IF($X189="","",INDEX('Per Line'!$A$2:$A$1501,$X189)&amp;"")</f>
        <v/>
      </c>
      <c r="C189">
        <f>IF($X189="","",IF(OR(TRIM(H189)="",TRIM(H189)="All",TRIM(H189)="All Comp"),TRIM(J189),TRIM(H189)))</f>
        <v/>
      </c>
      <c r="D189">
        <f>IF($X189="","",INDEX('Per Line'!$B$2:$B$1501,$X189)&amp;"")</f>
        <v/>
      </c>
      <c r="E189">
        <f>IF($X189="","",INDEX('Per Line'!$C$2:$C$1501,$X189)&amp;"")</f>
        <v/>
      </c>
      <c r="F189">
        <f>IF($X189="","",INDEX('Per Line'!$D$2:$D$1501,$X189)&amp;"")</f>
        <v/>
      </c>
      <c r="G189" s="15" t="n"/>
      <c r="H189" s="15" t="n"/>
      <c r="I189" s="15" t="n"/>
      <c r="J189" s="15" t="n"/>
      <c r="K189" s="14">
        <f>IF($X189="","",INDEX('Per Line'!$R$2:$R$1501,$X189))</f>
        <v/>
      </c>
      <c r="L189">
        <f>IF($X189="","",INDEX('Per Line'!$E$2:$E$1501,$X189))</f>
        <v/>
      </c>
      <c r="M189" s="7">
        <f>IF($X189="","",L189*U189/100)</f>
        <v/>
      </c>
      <c r="N189">
        <f>IF($X189="","",IF(ISNUMBER(SEARCH("3&amp;12",SUBSTITUTE(J189," ",""))),Settings!$G$7,Settings!$C$7))</f>
        <v/>
      </c>
      <c r="O189" s="7">
        <f>IF($X189="","",SUMIFS('Per Line'!$N$2:$N$1501,'Per Line'!$A$2:$A$1501,$B189,'Per Line'!$X$2:$X$1501,0))</f>
        <v/>
      </c>
      <c r="P189" s="7">
        <f>IF($X189="","",O189*N189)</f>
        <v/>
      </c>
      <c r="Q189">
        <f>IF($X189="","",IF(ISNUMBER(SEARCH("3&amp;12",SUBSTITUTE(J189," ",""))),Settings!$G$6,Settings!$C$6))</f>
        <v/>
      </c>
      <c r="R189" s="7">
        <f>IF($X189="","",SUMIFS('Per Line'!$N$2:$N$1501,'Per Line'!$A$2:$A$1501,$B189,'Per Line'!$X$2:$X$1501,1))</f>
        <v/>
      </c>
      <c r="S189" s="7">
        <f>IF($X189="","",R189*Q189)</f>
        <v/>
      </c>
      <c r="T189" s="7">
        <f>IF($X189="","",S189+P189)</f>
        <v/>
      </c>
      <c r="U189" s="7">
        <f>IF($X189="","",V189-T189)</f>
        <v/>
      </c>
      <c r="V189" s="7">
        <f>IF($X189="","",O189+R189)</f>
        <v/>
      </c>
      <c r="W189" s="7">
        <f>IF($X189="","",V189-T189-M189)</f>
        <v/>
      </c>
      <c r="X189" s="16">
        <f>IF(ROWS($X$2:$X189)&lt;=MAX('Per Line'!$W$2:$W$1501),MATCH(ROWS($X$2:$X189),'Per Line'!$W$2:$W$1501,0),"")</f>
        <v/>
      </c>
      <c r="Y189">
        <f>IF($X189="","",C189&amp;"|"&amp;COUNTIF($C$2:$C189,C189))</f>
        <v/>
      </c>
    </row>
    <row r="190">
      <c r="A190" s="15" t="n"/>
      <c r="B190">
        <f>IF($X190="","",INDEX('Per Line'!$A$2:$A$1501,$X190)&amp;"")</f>
        <v/>
      </c>
      <c r="C190">
        <f>IF($X190="","",IF(OR(TRIM(H190)="",TRIM(H190)="All",TRIM(H190)="All Comp"),TRIM(J190),TRIM(H190)))</f>
        <v/>
      </c>
      <c r="D190">
        <f>IF($X190="","",INDEX('Per Line'!$B$2:$B$1501,$X190)&amp;"")</f>
        <v/>
      </c>
      <c r="E190">
        <f>IF($X190="","",INDEX('Per Line'!$C$2:$C$1501,$X190)&amp;"")</f>
        <v/>
      </c>
      <c r="F190">
        <f>IF($X190="","",INDEX('Per Line'!$D$2:$D$1501,$X190)&amp;"")</f>
        <v/>
      </c>
      <c r="G190" s="15" t="n"/>
      <c r="H190" s="15" t="n"/>
      <c r="I190" s="15" t="n"/>
      <c r="J190" s="15" t="n"/>
      <c r="K190" s="14">
        <f>IF($X190="","",INDEX('Per Line'!$R$2:$R$1501,$X190))</f>
        <v/>
      </c>
      <c r="L190">
        <f>IF($X190="","",INDEX('Per Line'!$E$2:$E$1501,$X190))</f>
        <v/>
      </c>
      <c r="M190" s="7">
        <f>IF($X190="","",L190*U190/100)</f>
        <v/>
      </c>
      <c r="N190">
        <f>IF($X190="","",IF(ISNUMBER(SEARCH("3&amp;12",SUBSTITUTE(J190," ",""))),Settings!$G$7,Settings!$C$7))</f>
        <v/>
      </c>
      <c r="O190" s="7">
        <f>IF($X190="","",SUMIFS('Per Line'!$N$2:$N$1501,'Per Line'!$A$2:$A$1501,$B190,'Per Line'!$X$2:$X$1501,0))</f>
        <v/>
      </c>
      <c r="P190" s="7">
        <f>IF($X190="","",O190*N190)</f>
        <v/>
      </c>
      <c r="Q190">
        <f>IF($X190="","",IF(ISNUMBER(SEARCH("3&amp;12",SUBSTITUTE(J190," ",""))),Settings!$G$6,Settings!$C$6))</f>
        <v/>
      </c>
      <c r="R190" s="7">
        <f>IF($X190="","",SUMIFS('Per Line'!$N$2:$N$1501,'Per Line'!$A$2:$A$1501,$B190,'Per Line'!$X$2:$X$1501,1))</f>
        <v/>
      </c>
      <c r="S190" s="7">
        <f>IF($X190="","",R190*Q190)</f>
        <v/>
      </c>
      <c r="T190" s="7">
        <f>IF($X190="","",S190+P190)</f>
        <v/>
      </c>
      <c r="U190" s="7">
        <f>IF($X190="","",V190-T190)</f>
        <v/>
      </c>
      <c r="V190" s="7">
        <f>IF($X190="","",O190+R190)</f>
        <v/>
      </c>
      <c r="W190" s="7">
        <f>IF($X190="","",V190-T190-M190)</f>
        <v/>
      </c>
      <c r="X190" s="16">
        <f>IF(ROWS($X$2:$X190)&lt;=MAX('Per Line'!$W$2:$W$1501),MATCH(ROWS($X$2:$X190),'Per Line'!$W$2:$W$1501,0),"")</f>
        <v/>
      </c>
      <c r="Y190">
        <f>IF($X190="","",C190&amp;"|"&amp;COUNTIF($C$2:$C190,C190))</f>
        <v/>
      </c>
    </row>
    <row r="191">
      <c r="A191" s="15" t="n"/>
      <c r="B191">
        <f>IF($X191="","",INDEX('Per Line'!$A$2:$A$1501,$X191)&amp;"")</f>
        <v/>
      </c>
      <c r="C191">
        <f>IF($X191="","",IF(OR(TRIM(H191)="",TRIM(H191)="All",TRIM(H191)="All Comp"),TRIM(J191),TRIM(H191)))</f>
        <v/>
      </c>
      <c r="D191">
        <f>IF($X191="","",INDEX('Per Line'!$B$2:$B$1501,$X191)&amp;"")</f>
        <v/>
      </c>
      <c r="E191">
        <f>IF($X191="","",INDEX('Per Line'!$C$2:$C$1501,$X191)&amp;"")</f>
        <v/>
      </c>
      <c r="F191">
        <f>IF($X191="","",INDEX('Per Line'!$D$2:$D$1501,$X191)&amp;"")</f>
        <v/>
      </c>
      <c r="G191" s="15" t="n"/>
      <c r="H191" s="15" t="n"/>
      <c r="I191" s="15" t="n"/>
      <c r="J191" s="15" t="n"/>
      <c r="K191" s="14">
        <f>IF($X191="","",INDEX('Per Line'!$R$2:$R$1501,$X191))</f>
        <v/>
      </c>
      <c r="L191">
        <f>IF($X191="","",INDEX('Per Line'!$E$2:$E$1501,$X191))</f>
        <v/>
      </c>
      <c r="M191" s="7">
        <f>IF($X191="","",L191*U191/100)</f>
        <v/>
      </c>
      <c r="N191">
        <f>IF($X191="","",IF(ISNUMBER(SEARCH("3&amp;12",SUBSTITUTE(J191," ",""))),Settings!$G$7,Settings!$C$7))</f>
        <v/>
      </c>
      <c r="O191" s="7">
        <f>IF($X191="","",SUMIFS('Per Line'!$N$2:$N$1501,'Per Line'!$A$2:$A$1501,$B191,'Per Line'!$X$2:$X$1501,0))</f>
        <v/>
      </c>
      <c r="P191" s="7">
        <f>IF($X191="","",O191*N191)</f>
        <v/>
      </c>
      <c r="Q191">
        <f>IF($X191="","",IF(ISNUMBER(SEARCH("3&amp;12",SUBSTITUTE(J191," ",""))),Settings!$G$6,Settings!$C$6))</f>
        <v/>
      </c>
      <c r="R191" s="7">
        <f>IF($X191="","",SUMIFS('Per Line'!$N$2:$N$1501,'Per Line'!$A$2:$A$1501,$B191,'Per Line'!$X$2:$X$1501,1))</f>
        <v/>
      </c>
      <c r="S191" s="7">
        <f>IF($X191="","",R191*Q191)</f>
        <v/>
      </c>
      <c r="T191" s="7">
        <f>IF($X191="","",S191+P191)</f>
        <v/>
      </c>
      <c r="U191" s="7">
        <f>IF($X191="","",V191-T191)</f>
        <v/>
      </c>
      <c r="V191" s="7">
        <f>IF($X191="","",O191+R191)</f>
        <v/>
      </c>
      <c r="W191" s="7">
        <f>IF($X191="","",V191-T191-M191)</f>
        <v/>
      </c>
      <c r="X191" s="16">
        <f>IF(ROWS($X$2:$X191)&lt;=MAX('Per Line'!$W$2:$W$1501),MATCH(ROWS($X$2:$X191),'Per Line'!$W$2:$W$1501,0),"")</f>
        <v/>
      </c>
      <c r="Y191">
        <f>IF($X191="","",C191&amp;"|"&amp;COUNTIF($C$2:$C191,C191))</f>
        <v/>
      </c>
    </row>
    <row r="192">
      <c r="A192" s="15" t="n"/>
      <c r="B192">
        <f>IF($X192="","",INDEX('Per Line'!$A$2:$A$1501,$X192)&amp;"")</f>
        <v/>
      </c>
      <c r="C192">
        <f>IF($X192="","",IF(OR(TRIM(H192)="",TRIM(H192)="All",TRIM(H192)="All Comp"),TRIM(J192),TRIM(H192)))</f>
        <v/>
      </c>
      <c r="D192">
        <f>IF($X192="","",INDEX('Per Line'!$B$2:$B$1501,$X192)&amp;"")</f>
        <v/>
      </c>
      <c r="E192">
        <f>IF($X192="","",INDEX('Per Line'!$C$2:$C$1501,$X192)&amp;"")</f>
        <v/>
      </c>
      <c r="F192">
        <f>IF($X192="","",INDEX('Per Line'!$D$2:$D$1501,$X192)&amp;"")</f>
        <v/>
      </c>
      <c r="G192" s="15" t="n"/>
      <c r="H192" s="15" t="n"/>
      <c r="I192" s="15" t="n"/>
      <c r="J192" s="15" t="n"/>
      <c r="K192" s="14">
        <f>IF($X192="","",INDEX('Per Line'!$R$2:$R$1501,$X192))</f>
        <v/>
      </c>
      <c r="L192">
        <f>IF($X192="","",INDEX('Per Line'!$E$2:$E$1501,$X192))</f>
        <v/>
      </c>
      <c r="M192" s="7">
        <f>IF($X192="","",L192*U192/100)</f>
        <v/>
      </c>
      <c r="N192">
        <f>IF($X192="","",IF(ISNUMBER(SEARCH("3&amp;12",SUBSTITUTE(J192," ",""))),Settings!$G$7,Settings!$C$7))</f>
        <v/>
      </c>
      <c r="O192" s="7">
        <f>IF($X192="","",SUMIFS('Per Line'!$N$2:$N$1501,'Per Line'!$A$2:$A$1501,$B192,'Per Line'!$X$2:$X$1501,0))</f>
        <v/>
      </c>
      <c r="P192" s="7">
        <f>IF($X192="","",O192*N192)</f>
        <v/>
      </c>
      <c r="Q192">
        <f>IF($X192="","",IF(ISNUMBER(SEARCH("3&amp;12",SUBSTITUTE(J192," ",""))),Settings!$G$6,Settings!$C$6))</f>
        <v/>
      </c>
      <c r="R192" s="7">
        <f>IF($X192="","",SUMIFS('Per Line'!$N$2:$N$1501,'Per Line'!$A$2:$A$1501,$B192,'Per Line'!$X$2:$X$1501,1))</f>
        <v/>
      </c>
      <c r="S192" s="7">
        <f>IF($X192="","",R192*Q192)</f>
        <v/>
      </c>
      <c r="T192" s="7">
        <f>IF($X192="","",S192+P192)</f>
        <v/>
      </c>
      <c r="U192" s="7">
        <f>IF($X192="","",V192-T192)</f>
        <v/>
      </c>
      <c r="V192" s="7">
        <f>IF($X192="","",O192+R192)</f>
        <v/>
      </c>
      <c r="W192" s="7">
        <f>IF($X192="","",V192-T192-M192)</f>
        <v/>
      </c>
      <c r="X192" s="16">
        <f>IF(ROWS($X$2:$X192)&lt;=MAX('Per Line'!$W$2:$W$1501),MATCH(ROWS($X$2:$X192),'Per Line'!$W$2:$W$1501,0),"")</f>
        <v/>
      </c>
      <c r="Y192">
        <f>IF($X192="","",C192&amp;"|"&amp;COUNTIF($C$2:$C192,C192))</f>
        <v/>
      </c>
    </row>
    <row r="193">
      <c r="A193" s="15" t="n"/>
      <c r="B193">
        <f>IF($X193="","",INDEX('Per Line'!$A$2:$A$1501,$X193)&amp;"")</f>
        <v/>
      </c>
      <c r="C193">
        <f>IF($X193="","",IF(OR(TRIM(H193)="",TRIM(H193)="All",TRIM(H193)="All Comp"),TRIM(J193),TRIM(H193)))</f>
        <v/>
      </c>
      <c r="D193">
        <f>IF($X193="","",INDEX('Per Line'!$B$2:$B$1501,$X193)&amp;"")</f>
        <v/>
      </c>
      <c r="E193">
        <f>IF($X193="","",INDEX('Per Line'!$C$2:$C$1501,$X193)&amp;"")</f>
        <v/>
      </c>
      <c r="F193">
        <f>IF($X193="","",INDEX('Per Line'!$D$2:$D$1501,$X193)&amp;"")</f>
        <v/>
      </c>
      <c r="G193" s="15" t="n"/>
      <c r="H193" s="15" t="n"/>
      <c r="I193" s="15" t="n"/>
      <c r="J193" s="15" t="n"/>
      <c r="K193" s="14">
        <f>IF($X193="","",INDEX('Per Line'!$R$2:$R$1501,$X193))</f>
        <v/>
      </c>
      <c r="L193">
        <f>IF($X193="","",INDEX('Per Line'!$E$2:$E$1501,$X193))</f>
        <v/>
      </c>
      <c r="M193" s="7">
        <f>IF($X193="","",L193*U193/100)</f>
        <v/>
      </c>
      <c r="N193">
        <f>IF($X193="","",IF(ISNUMBER(SEARCH("3&amp;12",SUBSTITUTE(J193," ",""))),Settings!$G$7,Settings!$C$7))</f>
        <v/>
      </c>
      <c r="O193" s="7">
        <f>IF($X193="","",SUMIFS('Per Line'!$N$2:$N$1501,'Per Line'!$A$2:$A$1501,$B193,'Per Line'!$X$2:$X$1501,0))</f>
        <v/>
      </c>
      <c r="P193" s="7">
        <f>IF($X193="","",O193*N193)</f>
        <v/>
      </c>
      <c r="Q193">
        <f>IF($X193="","",IF(ISNUMBER(SEARCH("3&amp;12",SUBSTITUTE(J193," ",""))),Settings!$G$6,Settings!$C$6))</f>
        <v/>
      </c>
      <c r="R193" s="7">
        <f>IF($X193="","",SUMIFS('Per Line'!$N$2:$N$1501,'Per Line'!$A$2:$A$1501,$B193,'Per Line'!$X$2:$X$1501,1))</f>
        <v/>
      </c>
      <c r="S193" s="7">
        <f>IF($X193="","",R193*Q193)</f>
        <v/>
      </c>
      <c r="T193" s="7">
        <f>IF($X193="","",S193+P193)</f>
        <v/>
      </c>
      <c r="U193" s="7">
        <f>IF($X193="","",V193-T193)</f>
        <v/>
      </c>
      <c r="V193" s="7">
        <f>IF($X193="","",O193+R193)</f>
        <v/>
      </c>
      <c r="W193" s="7">
        <f>IF($X193="","",V193-T193-M193)</f>
        <v/>
      </c>
      <c r="X193" s="16">
        <f>IF(ROWS($X$2:$X193)&lt;=MAX('Per Line'!$W$2:$W$1501),MATCH(ROWS($X$2:$X193),'Per Line'!$W$2:$W$1501,0),"")</f>
        <v/>
      </c>
      <c r="Y193">
        <f>IF($X193="","",C193&amp;"|"&amp;COUNTIF($C$2:$C193,C193))</f>
        <v/>
      </c>
    </row>
    <row r="194">
      <c r="A194" s="15" t="n"/>
      <c r="B194">
        <f>IF($X194="","",INDEX('Per Line'!$A$2:$A$1501,$X194)&amp;"")</f>
        <v/>
      </c>
      <c r="C194">
        <f>IF($X194="","",IF(OR(TRIM(H194)="",TRIM(H194)="All",TRIM(H194)="All Comp"),TRIM(J194),TRIM(H194)))</f>
        <v/>
      </c>
      <c r="D194">
        <f>IF($X194="","",INDEX('Per Line'!$B$2:$B$1501,$X194)&amp;"")</f>
        <v/>
      </c>
      <c r="E194">
        <f>IF($X194="","",INDEX('Per Line'!$C$2:$C$1501,$X194)&amp;"")</f>
        <v/>
      </c>
      <c r="F194">
        <f>IF($X194="","",INDEX('Per Line'!$D$2:$D$1501,$X194)&amp;"")</f>
        <v/>
      </c>
      <c r="G194" s="15" t="n"/>
      <c r="H194" s="15" t="n"/>
      <c r="I194" s="15" t="n"/>
      <c r="J194" s="15" t="n"/>
      <c r="K194" s="14">
        <f>IF($X194="","",INDEX('Per Line'!$R$2:$R$1501,$X194))</f>
        <v/>
      </c>
      <c r="L194">
        <f>IF($X194="","",INDEX('Per Line'!$E$2:$E$1501,$X194))</f>
        <v/>
      </c>
      <c r="M194" s="7">
        <f>IF($X194="","",L194*U194/100)</f>
        <v/>
      </c>
      <c r="N194">
        <f>IF($X194="","",IF(ISNUMBER(SEARCH("3&amp;12",SUBSTITUTE(J194," ",""))),Settings!$G$7,Settings!$C$7))</f>
        <v/>
      </c>
      <c r="O194" s="7">
        <f>IF($X194="","",SUMIFS('Per Line'!$N$2:$N$1501,'Per Line'!$A$2:$A$1501,$B194,'Per Line'!$X$2:$X$1501,0))</f>
        <v/>
      </c>
      <c r="P194" s="7">
        <f>IF($X194="","",O194*N194)</f>
        <v/>
      </c>
      <c r="Q194">
        <f>IF($X194="","",IF(ISNUMBER(SEARCH("3&amp;12",SUBSTITUTE(J194," ",""))),Settings!$G$6,Settings!$C$6))</f>
        <v/>
      </c>
      <c r="R194" s="7">
        <f>IF($X194="","",SUMIFS('Per Line'!$N$2:$N$1501,'Per Line'!$A$2:$A$1501,$B194,'Per Line'!$X$2:$X$1501,1))</f>
        <v/>
      </c>
      <c r="S194" s="7">
        <f>IF($X194="","",R194*Q194)</f>
        <v/>
      </c>
      <c r="T194" s="7">
        <f>IF($X194="","",S194+P194)</f>
        <v/>
      </c>
      <c r="U194" s="7">
        <f>IF($X194="","",V194-T194)</f>
        <v/>
      </c>
      <c r="V194" s="7">
        <f>IF($X194="","",O194+R194)</f>
        <v/>
      </c>
      <c r="W194" s="7">
        <f>IF($X194="","",V194-T194-M194)</f>
        <v/>
      </c>
      <c r="X194" s="16">
        <f>IF(ROWS($X$2:$X194)&lt;=MAX('Per Line'!$W$2:$W$1501),MATCH(ROWS($X$2:$X194),'Per Line'!$W$2:$W$1501,0),"")</f>
        <v/>
      </c>
      <c r="Y194">
        <f>IF($X194="","",C194&amp;"|"&amp;COUNTIF($C$2:$C194,C194))</f>
        <v/>
      </c>
    </row>
    <row r="195">
      <c r="A195" s="15" t="n"/>
      <c r="B195">
        <f>IF($X195="","",INDEX('Per Line'!$A$2:$A$1501,$X195)&amp;"")</f>
        <v/>
      </c>
      <c r="C195">
        <f>IF($X195="","",IF(OR(TRIM(H195)="",TRIM(H195)="All",TRIM(H195)="All Comp"),TRIM(J195),TRIM(H195)))</f>
        <v/>
      </c>
      <c r="D195">
        <f>IF($X195="","",INDEX('Per Line'!$B$2:$B$1501,$X195)&amp;"")</f>
        <v/>
      </c>
      <c r="E195">
        <f>IF($X195="","",INDEX('Per Line'!$C$2:$C$1501,$X195)&amp;"")</f>
        <v/>
      </c>
      <c r="F195">
        <f>IF($X195="","",INDEX('Per Line'!$D$2:$D$1501,$X195)&amp;"")</f>
        <v/>
      </c>
      <c r="G195" s="15" t="n"/>
      <c r="H195" s="15" t="n"/>
      <c r="I195" s="15" t="n"/>
      <c r="J195" s="15" t="n"/>
      <c r="K195" s="14">
        <f>IF($X195="","",INDEX('Per Line'!$R$2:$R$1501,$X195))</f>
        <v/>
      </c>
      <c r="L195">
        <f>IF($X195="","",INDEX('Per Line'!$E$2:$E$1501,$X195))</f>
        <v/>
      </c>
      <c r="M195" s="7">
        <f>IF($X195="","",L195*U195/100)</f>
        <v/>
      </c>
      <c r="N195">
        <f>IF($X195="","",IF(ISNUMBER(SEARCH("3&amp;12",SUBSTITUTE(J195," ",""))),Settings!$G$7,Settings!$C$7))</f>
        <v/>
      </c>
      <c r="O195" s="7">
        <f>IF($X195="","",SUMIFS('Per Line'!$N$2:$N$1501,'Per Line'!$A$2:$A$1501,$B195,'Per Line'!$X$2:$X$1501,0))</f>
        <v/>
      </c>
      <c r="P195" s="7">
        <f>IF($X195="","",O195*N195)</f>
        <v/>
      </c>
      <c r="Q195">
        <f>IF($X195="","",IF(ISNUMBER(SEARCH("3&amp;12",SUBSTITUTE(J195," ",""))),Settings!$G$6,Settings!$C$6))</f>
        <v/>
      </c>
      <c r="R195" s="7">
        <f>IF($X195="","",SUMIFS('Per Line'!$N$2:$N$1501,'Per Line'!$A$2:$A$1501,$B195,'Per Line'!$X$2:$X$1501,1))</f>
        <v/>
      </c>
      <c r="S195" s="7">
        <f>IF($X195="","",R195*Q195)</f>
        <v/>
      </c>
      <c r="T195" s="7">
        <f>IF($X195="","",S195+P195)</f>
        <v/>
      </c>
      <c r="U195" s="7">
        <f>IF($X195="","",V195-T195)</f>
        <v/>
      </c>
      <c r="V195" s="7">
        <f>IF($X195="","",O195+R195)</f>
        <v/>
      </c>
      <c r="W195" s="7">
        <f>IF($X195="","",V195-T195-M195)</f>
        <v/>
      </c>
      <c r="X195" s="16">
        <f>IF(ROWS($X$2:$X195)&lt;=MAX('Per Line'!$W$2:$W$1501),MATCH(ROWS($X$2:$X195),'Per Line'!$W$2:$W$1501,0),"")</f>
        <v/>
      </c>
      <c r="Y195">
        <f>IF($X195="","",C195&amp;"|"&amp;COUNTIF($C$2:$C195,C195))</f>
        <v/>
      </c>
    </row>
    <row r="196">
      <c r="A196" s="15" t="n"/>
      <c r="B196">
        <f>IF($X196="","",INDEX('Per Line'!$A$2:$A$1501,$X196)&amp;"")</f>
        <v/>
      </c>
      <c r="C196">
        <f>IF($X196="","",IF(OR(TRIM(H196)="",TRIM(H196)="All",TRIM(H196)="All Comp"),TRIM(J196),TRIM(H196)))</f>
        <v/>
      </c>
      <c r="D196">
        <f>IF($X196="","",INDEX('Per Line'!$B$2:$B$1501,$X196)&amp;"")</f>
        <v/>
      </c>
      <c r="E196">
        <f>IF($X196="","",INDEX('Per Line'!$C$2:$C$1501,$X196)&amp;"")</f>
        <v/>
      </c>
      <c r="F196">
        <f>IF($X196="","",INDEX('Per Line'!$D$2:$D$1501,$X196)&amp;"")</f>
        <v/>
      </c>
      <c r="G196" s="15" t="n"/>
      <c r="H196" s="15" t="n"/>
      <c r="I196" s="15" t="n"/>
      <c r="J196" s="15" t="n"/>
      <c r="K196" s="14">
        <f>IF($X196="","",INDEX('Per Line'!$R$2:$R$1501,$X196))</f>
        <v/>
      </c>
      <c r="L196">
        <f>IF($X196="","",INDEX('Per Line'!$E$2:$E$1501,$X196))</f>
        <v/>
      </c>
      <c r="M196" s="7">
        <f>IF($X196="","",L196*U196/100)</f>
        <v/>
      </c>
      <c r="N196">
        <f>IF($X196="","",IF(ISNUMBER(SEARCH("3&amp;12",SUBSTITUTE(J196," ",""))),Settings!$G$7,Settings!$C$7))</f>
        <v/>
      </c>
      <c r="O196" s="7">
        <f>IF($X196="","",SUMIFS('Per Line'!$N$2:$N$1501,'Per Line'!$A$2:$A$1501,$B196,'Per Line'!$X$2:$X$1501,0))</f>
        <v/>
      </c>
      <c r="P196" s="7">
        <f>IF($X196="","",O196*N196)</f>
        <v/>
      </c>
      <c r="Q196">
        <f>IF($X196="","",IF(ISNUMBER(SEARCH("3&amp;12",SUBSTITUTE(J196," ",""))),Settings!$G$6,Settings!$C$6))</f>
        <v/>
      </c>
      <c r="R196" s="7">
        <f>IF($X196="","",SUMIFS('Per Line'!$N$2:$N$1501,'Per Line'!$A$2:$A$1501,$B196,'Per Line'!$X$2:$X$1501,1))</f>
        <v/>
      </c>
      <c r="S196" s="7">
        <f>IF($X196="","",R196*Q196)</f>
        <v/>
      </c>
      <c r="T196" s="7">
        <f>IF($X196="","",S196+P196)</f>
        <v/>
      </c>
      <c r="U196" s="7">
        <f>IF($X196="","",V196-T196)</f>
        <v/>
      </c>
      <c r="V196" s="7">
        <f>IF($X196="","",O196+R196)</f>
        <v/>
      </c>
      <c r="W196" s="7">
        <f>IF($X196="","",V196-T196-M196)</f>
        <v/>
      </c>
      <c r="X196" s="16">
        <f>IF(ROWS($X$2:$X196)&lt;=MAX('Per Line'!$W$2:$W$1501),MATCH(ROWS($X$2:$X196),'Per Line'!$W$2:$W$1501,0),"")</f>
        <v/>
      </c>
      <c r="Y196">
        <f>IF($X196="","",C196&amp;"|"&amp;COUNTIF($C$2:$C196,C196))</f>
        <v/>
      </c>
    </row>
    <row r="197">
      <c r="A197" s="15" t="n"/>
      <c r="B197">
        <f>IF($X197="","",INDEX('Per Line'!$A$2:$A$1501,$X197)&amp;"")</f>
        <v/>
      </c>
      <c r="C197">
        <f>IF($X197="","",IF(OR(TRIM(H197)="",TRIM(H197)="All",TRIM(H197)="All Comp"),TRIM(J197),TRIM(H197)))</f>
        <v/>
      </c>
      <c r="D197">
        <f>IF($X197="","",INDEX('Per Line'!$B$2:$B$1501,$X197)&amp;"")</f>
        <v/>
      </c>
      <c r="E197">
        <f>IF($X197="","",INDEX('Per Line'!$C$2:$C$1501,$X197)&amp;"")</f>
        <v/>
      </c>
      <c r="F197">
        <f>IF($X197="","",INDEX('Per Line'!$D$2:$D$1501,$X197)&amp;"")</f>
        <v/>
      </c>
      <c r="G197" s="15" t="n"/>
      <c r="H197" s="15" t="n"/>
      <c r="I197" s="15" t="n"/>
      <c r="J197" s="15" t="n"/>
      <c r="K197" s="14">
        <f>IF($X197="","",INDEX('Per Line'!$R$2:$R$1501,$X197))</f>
        <v/>
      </c>
      <c r="L197">
        <f>IF($X197="","",INDEX('Per Line'!$E$2:$E$1501,$X197))</f>
        <v/>
      </c>
      <c r="M197" s="7">
        <f>IF($X197="","",L197*U197/100)</f>
        <v/>
      </c>
      <c r="N197">
        <f>IF($X197="","",IF(ISNUMBER(SEARCH("3&amp;12",SUBSTITUTE(J197," ",""))),Settings!$G$7,Settings!$C$7))</f>
        <v/>
      </c>
      <c r="O197" s="7">
        <f>IF($X197="","",SUMIFS('Per Line'!$N$2:$N$1501,'Per Line'!$A$2:$A$1501,$B197,'Per Line'!$X$2:$X$1501,0))</f>
        <v/>
      </c>
      <c r="P197" s="7">
        <f>IF($X197="","",O197*N197)</f>
        <v/>
      </c>
      <c r="Q197">
        <f>IF($X197="","",IF(ISNUMBER(SEARCH("3&amp;12",SUBSTITUTE(J197," ",""))),Settings!$G$6,Settings!$C$6))</f>
        <v/>
      </c>
      <c r="R197" s="7">
        <f>IF($X197="","",SUMIFS('Per Line'!$N$2:$N$1501,'Per Line'!$A$2:$A$1501,$B197,'Per Line'!$X$2:$X$1501,1))</f>
        <v/>
      </c>
      <c r="S197" s="7">
        <f>IF($X197="","",R197*Q197)</f>
        <v/>
      </c>
      <c r="T197" s="7">
        <f>IF($X197="","",S197+P197)</f>
        <v/>
      </c>
      <c r="U197" s="7">
        <f>IF($X197="","",V197-T197)</f>
        <v/>
      </c>
      <c r="V197" s="7">
        <f>IF($X197="","",O197+R197)</f>
        <v/>
      </c>
      <c r="W197" s="7">
        <f>IF($X197="","",V197-T197-M197)</f>
        <v/>
      </c>
      <c r="X197" s="16">
        <f>IF(ROWS($X$2:$X197)&lt;=MAX('Per Line'!$W$2:$W$1501),MATCH(ROWS($X$2:$X197),'Per Line'!$W$2:$W$1501,0),"")</f>
        <v/>
      </c>
      <c r="Y197">
        <f>IF($X197="","",C197&amp;"|"&amp;COUNTIF($C$2:$C197,C197))</f>
        <v/>
      </c>
    </row>
    <row r="198">
      <c r="A198" s="15" t="n"/>
      <c r="B198">
        <f>IF($X198="","",INDEX('Per Line'!$A$2:$A$1501,$X198)&amp;"")</f>
        <v/>
      </c>
      <c r="C198">
        <f>IF($X198="","",IF(OR(TRIM(H198)="",TRIM(H198)="All",TRIM(H198)="All Comp"),TRIM(J198),TRIM(H198)))</f>
        <v/>
      </c>
      <c r="D198">
        <f>IF($X198="","",INDEX('Per Line'!$B$2:$B$1501,$X198)&amp;"")</f>
        <v/>
      </c>
      <c r="E198">
        <f>IF($X198="","",INDEX('Per Line'!$C$2:$C$1501,$X198)&amp;"")</f>
        <v/>
      </c>
      <c r="F198">
        <f>IF($X198="","",INDEX('Per Line'!$D$2:$D$1501,$X198)&amp;"")</f>
        <v/>
      </c>
      <c r="G198" s="15" t="n"/>
      <c r="H198" s="15" t="n"/>
      <c r="I198" s="15" t="n"/>
      <c r="J198" s="15" t="n"/>
      <c r="K198" s="14">
        <f>IF($X198="","",INDEX('Per Line'!$R$2:$R$1501,$X198))</f>
        <v/>
      </c>
      <c r="L198">
        <f>IF($X198="","",INDEX('Per Line'!$E$2:$E$1501,$X198))</f>
        <v/>
      </c>
      <c r="M198" s="7">
        <f>IF($X198="","",L198*U198/100)</f>
        <v/>
      </c>
      <c r="N198">
        <f>IF($X198="","",IF(ISNUMBER(SEARCH("3&amp;12",SUBSTITUTE(J198," ",""))),Settings!$G$7,Settings!$C$7))</f>
        <v/>
      </c>
      <c r="O198" s="7">
        <f>IF($X198="","",SUMIFS('Per Line'!$N$2:$N$1501,'Per Line'!$A$2:$A$1501,$B198,'Per Line'!$X$2:$X$1501,0))</f>
        <v/>
      </c>
      <c r="P198" s="7">
        <f>IF($X198="","",O198*N198)</f>
        <v/>
      </c>
      <c r="Q198">
        <f>IF($X198="","",IF(ISNUMBER(SEARCH("3&amp;12",SUBSTITUTE(J198," ",""))),Settings!$G$6,Settings!$C$6))</f>
        <v/>
      </c>
      <c r="R198" s="7">
        <f>IF($X198="","",SUMIFS('Per Line'!$N$2:$N$1501,'Per Line'!$A$2:$A$1501,$B198,'Per Line'!$X$2:$X$1501,1))</f>
        <v/>
      </c>
      <c r="S198" s="7">
        <f>IF($X198="","",R198*Q198)</f>
        <v/>
      </c>
      <c r="T198" s="7">
        <f>IF($X198="","",S198+P198)</f>
        <v/>
      </c>
      <c r="U198" s="7">
        <f>IF($X198="","",V198-T198)</f>
        <v/>
      </c>
      <c r="V198" s="7">
        <f>IF($X198="","",O198+R198)</f>
        <v/>
      </c>
      <c r="W198" s="7">
        <f>IF($X198="","",V198-T198-M198)</f>
        <v/>
      </c>
      <c r="X198" s="16">
        <f>IF(ROWS($X$2:$X198)&lt;=MAX('Per Line'!$W$2:$W$1501),MATCH(ROWS($X$2:$X198),'Per Line'!$W$2:$W$1501,0),"")</f>
        <v/>
      </c>
      <c r="Y198">
        <f>IF($X198="","",C198&amp;"|"&amp;COUNTIF($C$2:$C198,C198))</f>
        <v/>
      </c>
    </row>
    <row r="199">
      <c r="A199" s="15" t="n"/>
      <c r="B199">
        <f>IF($X199="","",INDEX('Per Line'!$A$2:$A$1501,$X199)&amp;"")</f>
        <v/>
      </c>
      <c r="C199">
        <f>IF($X199="","",IF(OR(TRIM(H199)="",TRIM(H199)="All",TRIM(H199)="All Comp"),TRIM(J199),TRIM(H199)))</f>
        <v/>
      </c>
      <c r="D199">
        <f>IF($X199="","",INDEX('Per Line'!$B$2:$B$1501,$X199)&amp;"")</f>
        <v/>
      </c>
      <c r="E199">
        <f>IF($X199="","",INDEX('Per Line'!$C$2:$C$1501,$X199)&amp;"")</f>
        <v/>
      </c>
      <c r="F199">
        <f>IF($X199="","",INDEX('Per Line'!$D$2:$D$1501,$X199)&amp;"")</f>
        <v/>
      </c>
      <c r="G199" s="15" t="n"/>
      <c r="H199" s="15" t="n"/>
      <c r="I199" s="15" t="n"/>
      <c r="J199" s="15" t="n"/>
      <c r="K199" s="14">
        <f>IF($X199="","",INDEX('Per Line'!$R$2:$R$1501,$X199))</f>
        <v/>
      </c>
      <c r="L199">
        <f>IF($X199="","",INDEX('Per Line'!$E$2:$E$1501,$X199))</f>
        <v/>
      </c>
      <c r="M199" s="7">
        <f>IF($X199="","",L199*U199/100)</f>
        <v/>
      </c>
      <c r="N199">
        <f>IF($X199="","",IF(ISNUMBER(SEARCH("3&amp;12",SUBSTITUTE(J199," ",""))),Settings!$G$7,Settings!$C$7))</f>
        <v/>
      </c>
      <c r="O199" s="7">
        <f>IF($X199="","",SUMIFS('Per Line'!$N$2:$N$1501,'Per Line'!$A$2:$A$1501,$B199,'Per Line'!$X$2:$X$1501,0))</f>
        <v/>
      </c>
      <c r="P199" s="7">
        <f>IF($X199="","",O199*N199)</f>
        <v/>
      </c>
      <c r="Q199">
        <f>IF($X199="","",IF(ISNUMBER(SEARCH("3&amp;12",SUBSTITUTE(J199," ",""))),Settings!$G$6,Settings!$C$6))</f>
        <v/>
      </c>
      <c r="R199" s="7">
        <f>IF($X199="","",SUMIFS('Per Line'!$N$2:$N$1501,'Per Line'!$A$2:$A$1501,$B199,'Per Line'!$X$2:$X$1501,1))</f>
        <v/>
      </c>
      <c r="S199" s="7">
        <f>IF($X199="","",R199*Q199)</f>
        <v/>
      </c>
      <c r="T199" s="7">
        <f>IF($X199="","",S199+P199)</f>
        <v/>
      </c>
      <c r="U199" s="7">
        <f>IF($X199="","",V199-T199)</f>
        <v/>
      </c>
      <c r="V199" s="7">
        <f>IF($X199="","",O199+R199)</f>
        <v/>
      </c>
      <c r="W199" s="7">
        <f>IF($X199="","",V199-T199-M199)</f>
        <v/>
      </c>
      <c r="X199" s="16">
        <f>IF(ROWS($X$2:$X199)&lt;=MAX('Per Line'!$W$2:$W$1501),MATCH(ROWS($X$2:$X199),'Per Line'!$W$2:$W$1501,0),"")</f>
        <v/>
      </c>
      <c r="Y199">
        <f>IF($X199="","",C199&amp;"|"&amp;COUNTIF($C$2:$C199,C199))</f>
        <v/>
      </c>
    </row>
    <row r="200">
      <c r="A200" s="15" t="n"/>
      <c r="B200">
        <f>IF($X200="","",INDEX('Per Line'!$A$2:$A$1501,$X200)&amp;"")</f>
        <v/>
      </c>
      <c r="C200">
        <f>IF($X200="","",IF(OR(TRIM(H200)="",TRIM(H200)="All",TRIM(H200)="All Comp"),TRIM(J200),TRIM(H200)))</f>
        <v/>
      </c>
      <c r="D200">
        <f>IF($X200="","",INDEX('Per Line'!$B$2:$B$1501,$X200)&amp;"")</f>
        <v/>
      </c>
      <c r="E200">
        <f>IF($X200="","",INDEX('Per Line'!$C$2:$C$1501,$X200)&amp;"")</f>
        <v/>
      </c>
      <c r="F200">
        <f>IF($X200="","",INDEX('Per Line'!$D$2:$D$1501,$X200)&amp;"")</f>
        <v/>
      </c>
      <c r="G200" s="15" t="n"/>
      <c r="H200" s="15" t="n"/>
      <c r="I200" s="15" t="n"/>
      <c r="J200" s="15" t="n"/>
      <c r="K200" s="14">
        <f>IF($X200="","",INDEX('Per Line'!$R$2:$R$1501,$X200))</f>
        <v/>
      </c>
      <c r="L200">
        <f>IF($X200="","",INDEX('Per Line'!$E$2:$E$1501,$X200))</f>
        <v/>
      </c>
      <c r="M200" s="7">
        <f>IF($X200="","",L200*U200/100)</f>
        <v/>
      </c>
      <c r="N200">
        <f>IF($X200="","",IF(ISNUMBER(SEARCH("3&amp;12",SUBSTITUTE(J200," ",""))),Settings!$G$7,Settings!$C$7))</f>
        <v/>
      </c>
      <c r="O200" s="7">
        <f>IF($X200="","",SUMIFS('Per Line'!$N$2:$N$1501,'Per Line'!$A$2:$A$1501,$B200,'Per Line'!$X$2:$X$1501,0))</f>
        <v/>
      </c>
      <c r="P200" s="7">
        <f>IF($X200="","",O200*N200)</f>
        <v/>
      </c>
      <c r="Q200">
        <f>IF($X200="","",IF(ISNUMBER(SEARCH("3&amp;12",SUBSTITUTE(J200," ",""))),Settings!$G$6,Settings!$C$6))</f>
        <v/>
      </c>
      <c r="R200" s="7">
        <f>IF($X200="","",SUMIFS('Per Line'!$N$2:$N$1501,'Per Line'!$A$2:$A$1501,$B200,'Per Line'!$X$2:$X$1501,1))</f>
        <v/>
      </c>
      <c r="S200" s="7">
        <f>IF($X200="","",R200*Q200)</f>
        <v/>
      </c>
      <c r="T200" s="7">
        <f>IF($X200="","",S200+P200)</f>
        <v/>
      </c>
      <c r="U200" s="7">
        <f>IF($X200="","",V200-T200)</f>
        <v/>
      </c>
      <c r="V200" s="7">
        <f>IF($X200="","",O200+R200)</f>
        <v/>
      </c>
      <c r="W200" s="7">
        <f>IF($X200="","",V200-T200-M200)</f>
        <v/>
      </c>
      <c r="X200" s="16">
        <f>IF(ROWS($X$2:$X200)&lt;=MAX('Per Line'!$W$2:$W$1501),MATCH(ROWS($X$2:$X200),'Per Line'!$W$2:$W$1501,0),"")</f>
        <v/>
      </c>
      <c r="Y200">
        <f>IF($X200="","",C200&amp;"|"&amp;COUNTIF($C$2:$C200,C200))</f>
        <v/>
      </c>
    </row>
    <row r="201">
      <c r="A201" s="15" t="n"/>
      <c r="B201">
        <f>IF($X201="","",INDEX('Per Line'!$A$2:$A$1501,$X201)&amp;"")</f>
        <v/>
      </c>
      <c r="C201">
        <f>IF($X201="","",IF(OR(TRIM(H201)="",TRIM(H201)="All",TRIM(H201)="All Comp"),TRIM(J201),TRIM(H201)))</f>
        <v/>
      </c>
      <c r="D201">
        <f>IF($X201="","",INDEX('Per Line'!$B$2:$B$1501,$X201)&amp;"")</f>
        <v/>
      </c>
      <c r="E201">
        <f>IF($X201="","",INDEX('Per Line'!$C$2:$C$1501,$X201)&amp;"")</f>
        <v/>
      </c>
      <c r="F201">
        <f>IF($X201="","",INDEX('Per Line'!$D$2:$D$1501,$X201)&amp;"")</f>
        <v/>
      </c>
      <c r="G201" s="15" t="n"/>
      <c r="H201" s="15" t="n"/>
      <c r="I201" s="15" t="n"/>
      <c r="J201" s="15" t="n"/>
      <c r="K201" s="14">
        <f>IF($X201="","",INDEX('Per Line'!$R$2:$R$1501,$X201))</f>
        <v/>
      </c>
      <c r="L201">
        <f>IF($X201="","",INDEX('Per Line'!$E$2:$E$1501,$X201))</f>
        <v/>
      </c>
      <c r="M201" s="7">
        <f>IF($X201="","",L201*U201/100)</f>
        <v/>
      </c>
      <c r="N201">
        <f>IF($X201="","",IF(ISNUMBER(SEARCH("3&amp;12",SUBSTITUTE(J201," ",""))),Settings!$G$7,Settings!$C$7))</f>
        <v/>
      </c>
      <c r="O201" s="7">
        <f>IF($X201="","",SUMIFS('Per Line'!$N$2:$N$1501,'Per Line'!$A$2:$A$1501,$B201,'Per Line'!$X$2:$X$1501,0))</f>
        <v/>
      </c>
      <c r="P201" s="7">
        <f>IF($X201="","",O201*N201)</f>
        <v/>
      </c>
      <c r="Q201">
        <f>IF($X201="","",IF(ISNUMBER(SEARCH("3&amp;12",SUBSTITUTE(J201," ",""))),Settings!$G$6,Settings!$C$6))</f>
        <v/>
      </c>
      <c r="R201" s="7">
        <f>IF($X201="","",SUMIFS('Per Line'!$N$2:$N$1501,'Per Line'!$A$2:$A$1501,$B201,'Per Line'!$X$2:$X$1501,1))</f>
        <v/>
      </c>
      <c r="S201" s="7">
        <f>IF($X201="","",R201*Q201)</f>
        <v/>
      </c>
      <c r="T201" s="7">
        <f>IF($X201="","",S201+P201)</f>
        <v/>
      </c>
      <c r="U201" s="7">
        <f>IF($X201="","",V201-T201)</f>
        <v/>
      </c>
      <c r="V201" s="7">
        <f>IF($X201="","",O201+R201)</f>
        <v/>
      </c>
      <c r="W201" s="7">
        <f>IF($X201="","",V201-T201-M201)</f>
        <v/>
      </c>
      <c r="X201" s="16">
        <f>IF(ROWS($X$2:$X201)&lt;=MAX('Per Line'!$W$2:$W$1501),MATCH(ROWS($X$2:$X201),'Per Line'!$W$2:$W$1501,0),"")</f>
        <v/>
      </c>
      <c r="Y201">
        <f>IF($X201="","",C201&amp;"|"&amp;COUNTIF($C$2:$C201,C201))</f>
        <v/>
      </c>
    </row>
    <row r="202">
      <c r="A202" s="15" t="n"/>
      <c r="B202">
        <f>IF($X202="","",INDEX('Per Line'!$A$2:$A$1501,$X202)&amp;"")</f>
        <v/>
      </c>
      <c r="C202">
        <f>IF($X202="","",IF(OR(TRIM(H202)="",TRIM(H202)="All",TRIM(H202)="All Comp"),TRIM(J202),TRIM(H202)))</f>
        <v/>
      </c>
      <c r="D202">
        <f>IF($X202="","",INDEX('Per Line'!$B$2:$B$1501,$X202)&amp;"")</f>
        <v/>
      </c>
      <c r="E202">
        <f>IF($X202="","",INDEX('Per Line'!$C$2:$C$1501,$X202)&amp;"")</f>
        <v/>
      </c>
      <c r="F202">
        <f>IF($X202="","",INDEX('Per Line'!$D$2:$D$1501,$X202)&amp;"")</f>
        <v/>
      </c>
      <c r="G202" s="15" t="n"/>
      <c r="H202" s="15" t="n"/>
      <c r="I202" s="15" t="n"/>
      <c r="J202" s="15" t="n"/>
      <c r="K202" s="14">
        <f>IF($X202="","",INDEX('Per Line'!$R$2:$R$1501,$X202))</f>
        <v/>
      </c>
      <c r="L202">
        <f>IF($X202="","",INDEX('Per Line'!$E$2:$E$1501,$X202))</f>
        <v/>
      </c>
      <c r="M202" s="7">
        <f>IF($X202="","",L202*U202/100)</f>
        <v/>
      </c>
      <c r="N202">
        <f>IF($X202="","",IF(ISNUMBER(SEARCH("3&amp;12",SUBSTITUTE(J202," ",""))),Settings!$G$7,Settings!$C$7))</f>
        <v/>
      </c>
      <c r="O202" s="7">
        <f>IF($X202="","",SUMIFS('Per Line'!$N$2:$N$1501,'Per Line'!$A$2:$A$1501,$B202,'Per Line'!$X$2:$X$1501,0))</f>
        <v/>
      </c>
      <c r="P202" s="7">
        <f>IF($X202="","",O202*N202)</f>
        <v/>
      </c>
      <c r="Q202">
        <f>IF($X202="","",IF(ISNUMBER(SEARCH("3&amp;12",SUBSTITUTE(J202," ",""))),Settings!$G$6,Settings!$C$6))</f>
        <v/>
      </c>
      <c r="R202" s="7">
        <f>IF($X202="","",SUMIFS('Per Line'!$N$2:$N$1501,'Per Line'!$A$2:$A$1501,$B202,'Per Line'!$X$2:$X$1501,1))</f>
        <v/>
      </c>
      <c r="S202" s="7">
        <f>IF($X202="","",R202*Q202)</f>
        <v/>
      </c>
      <c r="T202" s="7">
        <f>IF($X202="","",S202+P202)</f>
        <v/>
      </c>
      <c r="U202" s="7">
        <f>IF($X202="","",V202-T202)</f>
        <v/>
      </c>
      <c r="V202" s="7">
        <f>IF($X202="","",O202+R202)</f>
        <v/>
      </c>
      <c r="W202" s="7">
        <f>IF($X202="","",V202-T202-M202)</f>
        <v/>
      </c>
      <c r="X202" s="16">
        <f>IF(ROWS($X$2:$X202)&lt;=MAX('Per Line'!$W$2:$W$1501),MATCH(ROWS($X$2:$X202),'Per Line'!$W$2:$W$1501,0),"")</f>
        <v/>
      </c>
      <c r="Y202">
        <f>IF($X202="","",C202&amp;"|"&amp;COUNTIF($C$2:$C202,C202))</f>
        <v/>
      </c>
    </row>
    <row r="203">
      <c r="A203" s="15" t="n"/>
      <c r="B203">
        <f>IF($X203="","",INDEX('Per Line'!$A$2:$A$1501,$X203)&amp;"")</f>
        <v/>
      </c>
      <c r="C203">
        <f>IF($X203="","",IF(OR(TRIM(H203)="",TRIM(H203)="All",TRIM(H203)="All Comp"),TRIM(J203),TRIM(H203)))</f>
        <v/>
      </c>
      <c r="D203">
        <f>IF($X203="","",INDEX('Per Line'!$B$2:$B$1501,$X203)&amp;"")</f>
        <v/>
      </c>
      <c r="E203">
        <f>IF($X203="","",INDEX('Per Line'!$C$2:$C$1501,$X203)&amp;"")</f>
        <v/>
      </c>
      <c r="F203">
        <f>IF($X203="","",INDEX('Per Line'!$D$2:$D$1501,$X203)&amp;"")</f>
        <v/>
      </c>
      <c r="G203" s="15" t="n"/>
      <c r="H203" s="15" t="n"/>
      <c r="I203" s="15" t="n"/>
      <c r="J203" s="15" t="n"/>
      <c r="K203" s="14">
        <f>IF($X203="","",INDEX('Per Line'!$R$2:$R$1501,$X203))</f>
        <v/>
      </c>
      <c r="L203">
        <f>IF($X203="","",INDEX('Per Line'!$E$2:$E$1501,$X203))</f>
        <v/>
      </c>
      <c r="M203" s="7">
        <f>IF($X203="","",L203*U203/100)</f>
        <v/>
      </c>
      <c r="N203">
        <f>IF($X203="","",IF(ISNUMBER(SEARCH("3&amp;12",SUBSTITUTE(J203," ",""))),Settings!$G$7,Settings!$C$7))</f>
        <v/>
      </c>
      <c r="O203" s="7">
        <f>IF($X203="","",SUMIFS('Per Line'!$N$2:$N$1501,'Per Line'!$A$2:$A$1501,$B203,'Per Line'!$X$2:$X$1501,0))</f>
        <v/>
      </c>
      <c r="P203" s="7">
        <f>IF($X203="","",O203*N203)</f>
        <v/>
      </c>
      <c r="Q203">
        <f>IF($X203="","",IF(ISNUMBER(SEARCH("3&amp;12",SUBSTITUTE(J203," ",""))),Settings!$G$6,Settings!$C$6))</f>
        <v/>
      </c>
      <c r="R203" s="7">
        <f>IF($X203="","",SUMIFS('Per Line'!$N$2:$N$1501,'Per Line'!$A$2:$A$1501,$B203,'Per Line'!$X$2:$X$1501,1))</f>
        <v/>
      </c>
      <c r="S203" s="7">
        <f>IF($X203="","",R203*Q203)</f>
        <v/>
      </c>
      <c r="T203" s="7">
        <f>IF($X203="","",S203+P203)</f>
        <v/>
      </c>
      <c r="U203" s="7">
        <f>IF($X203="","",V203-T203)</f>
        <v/>
      </c>
      <c r="V203" s="7">
        <f>IF($X203="","",O203+R203)</f>
        <v/>
      </c>
      <c r="W203" s="7">
        <f>IF($X203="","",V203-T203-M203)</f>
        <v/>
      </c>
      <c r="X203" s="16">
        <f>IF(ROWS($X$2:$X203)&lt;=MAX('Per Line'!$W$2:$W$1501),MATCH(ROWS($X$2:$X203),'Per Line'!$W$2:$W$1501,0),"")</f>
        <v/>
      </c>
      <c r="Y203">
        <f>IF($X203="","",C203&amp;"|"&amp;COUNTIF($C$2:$C203,C203))</f>
        <v/>
      </c>
    </row>
    <row r="204">
      <c r="A204" s="15" t="n"/>
      <c r="B204">
        <f>IF($X204="","",INDEX('Per Line'!$A$2:$A$1501,$X204)&amp;"")</f>
        <v/>
      </c>
      <c r="C204">
        <f>IF($X204="","",IF(OR(TRIM(H204)="",TRIM(H204)="All",TRIM(H204)="All Comp"),TRIM(J204),TRIM(H204)))</f>
        <v/>
      </c>
      <c r="D204">
        <f>IF($X204="","",INDEX('Per Line'!$B$2:$B$1501,$X204)&amp;"")</f>
        <v/>
      </c>
      <c r="E204">
        <f>IF($X204="","",INDEX('Per Line'!$C$2:$C$1501,$X204)&amp;"")</f>
        <v/>
      </c>
      <c r="F204">
        <f>IF($X204="","",INDEX('Per Line'!$D$2:$D$1501,$X204)&amp;"")</f>
        <v/>
      </c>
      <c r="G204" s="15" t="n"/>
      <c r="H204" s="15" t="n"/>
      <c r="I204" s="15" t="n"/>
      <c r="J204" s="15" t="n"/>
      <c r="K204" s="14">
        <f>IF($X204="","",INDEX('Per Line'!$R$2:$R$1501,$X204))</f>
        <v/>
      </c>
      <c r="L204">
        <f>IF($X204="","",INDEX('Per Line'!$E$2:$E$1501,$X204))</f>
        <v/>
      </c>
      <c r="M204" s="7">
        <f>IF($X204="","",L204*U204/100)</f>
        <v/>
      </c>
      <c r="N204">
        <f>IF($X204="","",IF(ISNUMBER(SEARCH("3&amp;12",SUBSTITUTE(J204," ",""))),Settings!$G$7,Settings!$C$7))</f>
        <v/>
      </c>
      <c r="O204" s="7">
        <f>IF($X204="","",SUMIFS('Per Line'!$N$2:$N$1501,'Per Line'!$A$2:$A$1501,$B204,'Per Line'!$X$2:$X$1501,0))</f>
        <v/>
      </c>
      <c r="P204" s="7">
        <f>IF($X204="","",O204*N204)</f>
        <v/>
      </c>
      <c r="Q204">
        <f>IF($X204="","",IF(ISNUMBER(SEARCH("3&amp;12",SUBSTITUTE(J204," ",""))),Settings!$G$6,Settings!$C$6))</f>
        <v/>
      </c>
      <c r="R204" s="7">
        <f>IF($X204="","",SUMIFS('Per Line'!$N$2:$N$1501,'Per Line'!$A$2:$A$1501,$B204,'Per Line'!$X$2:$X$1501,1))</f>
        <v/>
      </c>
      <c r="S204" s="7">
        <f>IF($X204="","",R204*Q204)</f>
        <v/>
      </c>
      <c r="T204" s="7">
        <f>IF($X204="","",S204+P204)</f>
        <v/>
      </c>
      <c r="U204" s="7">
        <f>IF($X204="","",V204-T204)</f>
        <v/>
      </c>
      <c r="V204" s="7">
        <f>IF($X204="","",O204+R204)</f>
        <v/>
      </c>
      <c r="W204" s="7">
        <f>IF($X204="","",V204-T204-M204)</f>
        <v/>
      </c>
      <c r="X204" s="16">
        <f>IF(ROWS($X$2:$X204)&lt;=MAX('Per Line'!$W$2:$W$1501),MATCH(ROWS($X$2:$X204),'Per Line'!$W$2:$W$1501,0),"")</f>
        <v/>
      </c>
      <c r="Y204">
        <f>IF($X204="","",C204&amp;"|"&amp;COUNTIF($C$2:$C204,C204))</f>
        <v/>
      </c>
    </row>
    <row r="205">
      <c r="A205" s="15" t="n"/>
      <c r="B205">
        <f>IF($X205="","",INDEX('Per Line'!$A$2:$A$1501,$X205)&amp;"")</f>
        <v/>
      </c>
      <c r="C205">
        <f>IF($X205="","",IF(OR(TRIM(H205)="",TRIM(H205)="All",TRIM(H205)="All Comp"),TRIM(J205),TRIM(H205)))</f>
        <v/>
      </c>
      <c r="D205">
        <f>IF($X205="","",INDEX('Per Line'!$B$2:$B$1501,$X205)&amp;"")</f>
        <v/>
      </c>
      <c r="E205">
        <f>IF($X205="","",INDEX('Per Line'!$C$2:$C$1501,$X205)&amp;"")</f>
        <v/>
      </c>
      <c r="F205">
        <f>IF($X205="","",INDEX('Per Line'!$D$2:$D$1501,$X205)&amp;"")</f>
        <v/>
      </c>
      <c r="G205" s="15" t="n"/>
      <c r="H205" s="15" t="n"/>
      <c r="I205" s="15" t="n"/>
      <c r="J205" s="15" t="n"/>
      <c r="K205" s="14">
        <f>IF($X205="","",INDEX('Per Line'!$R$2:$R$1501,$X205))</f>
        <v/>
      </c>
      <c r="L205">
        <f>IF($X205="","",INDEX('Per Line'!$E$2:$E$1501,$X205))</f>
        <v/>
      </c>
      <c r="M205" s="7">
        <f>IF($X205="","",L205*U205/100)</f>
        <v/>
      </c>
      <c r="N205">
        <f>IF($X205="","",IF(ISNUMBER(SEARCH("3&amp;12",SUBSTITUTE(J205," ",""))),Settings!$G$7,Settings!$C$7))</f>
        <v/>
      </c>
      <c r="O205" s="7">
        <f>IF($X205="","",SUMIFS('Per Line'!$N$2:$N$1501,'Per Line'!$A$2:$A$1501,$B205,'Per Line'!$X$2:$X$1501,0))</f>
        <v/>
      </c>
      <c r="P205" s="7">
        <f>IF($X205="","",O205*N205)</f>
        <v/>
      </c>
      <c r="Q205">
        <f>IF($X205="","",IF(ISNUMBER(SEARCH("3&amp;12",SUBSTITUTE(J205," ",""))),Settings!$G$6,Settings!$C$6))</f>
        <v/>
      </c>
      <c r="R205" s="7">
        <f>IF($X205="","",SUMIFS('Per Line'!$N$2:$N$1501,'Per Line'!$A$2:$A$1501,$B205,'Per Line'!$X$2:$X$1501,1))</f>
        <v/>
      </c>
      <c r="S205" s="7">
        <f>IF($X205="","",R205*Q205)</f>
        <v/>
      </c>
      <c r="T205" s="7">
        <f>IF($X205="","",S205+P205)</f>
        <v/>
      </c>
      <c r="U205" s="7">
        <f>IF($X205="","",V205-T205)</f>
        <v/>
      </c>
      <c r="V205" s="7">
        <f>IF($X205="","",O205+R205)</f>
        <v/>
      </c>
      <c r="W205" s="7">
        <f>IF($X205="","",V205-T205-M205)</f>
        <v/>
      </c>
      <c r="X205" s="16">
        <f>IF(ROWS($X$2:$X205)&lt;=MAX('Per Line'!$W$2:$W$1501),MATCH(ROWS($X$2:$X205),'Per Line'!$W$2:$W$1501,0),"")</f>
        <v/>
      </c>
      <c r="Y205">
        <f>IF($X205="","",C205&amp;"|"&amp;COUNTIF($C$2:$C205,C205))</f>
        <v/>
      </c>
    </row>
    <row r="206">
      <c r="A206" s="15" t="n"/>
      <c r="B206">
        <f>IF($X206="","",INDEX('Per Line'!$A$2:$A$1501,$X206)&amp;"")</f>
        <v/>
      </c>
      <c r="C206">
        <f>IF($X206="","",IF(OR(TRIM(H206)="",TRIM(H206)="All",TRIM(H206)="All Comp"),TRIM(J206),TRIM(H206)))</f>
        <v/>
      </c>
      <c r="D206">
        <f>IF($X206="","",INDEX('Per Line'!$B$2:$B$1501,$X206)&amp;"")</f>
        <v/>
      </c>
      <c r="E206">
        <f>IF($X206="","",INDEX('Per Line'!$C$2:$C$1501,$X206)&amp;"")</f>
        <v/>
      </c>
      <c r="F206">
        <f>IF($X206="","",INDEX('Per Line'!$D$2:$D$1501,$X206)&amp;"")</f>
        <v/>
      </c>
      <c r="G206" s="15" t="n"/>
      <c r="H206" s="15" t="n"/>
      <c r="I206" s="15" t="n"/>
      <c r="J206" s="15" t="n"/>
      <c r="K206" s="14">
        <f>IF($X206="","",INDEX('Per Line'!$R$2:$R$1501,$X206))</f>
        <v/>
      </c>
      <c r="L206">
        <f>IF($X206="","",INDEX('Per Line'!$E$2:$E$1501,$X206))</f>
        <v/>
      </c>
      <c r="M206" s="7">
        <f>IF($X206="","",L206*U206/100)</f>
        <v/>
      </c>
      <c r="N206">
        <f>IF($X206="","",IF(ISNUMBER(SEARCH("3&amp;12",SUBSTITUTE(J206," ",""))),Settings!$G$7,Settings!$C$7))</f>
        <v/>
      </c>
      <c r="O206" s="7">
        <f>IF($X206="","",SUMIFS('Per Line'!$N$2:$N$1501,'Per Line'!$A$2:$A$1501,$B206,'Per Line'!$X$2:$X$1501,0))</f>
        <v/>
      </c>
      <c r="P206" s="7">
        <f>IF($X206="","",O206*N206)</f>
        <v/>
      </c>
      <c r="Q206">
        <f>IF($X206="","",IF(ISNUMBER(SEARCH("3&amp;12",SUBSTITUTE(J206," ",""))),Settings!$G$6,Settings!$C$6))</f>
        <v/>
      </c>
      <c r="R206" s="7">
        <f>IF($X206="","",SUMIFS('Per Line'!$N$2:$N$1501,'Per Line'!$A$2:$A$1501,$B206,'Per Line'!$X$2:$X$1501,1))</f>
        <v/>
      </c>
      <c r="S206" s="7">
        <f>IF($X206="","",R206*Q206)</f>
        <v/>
      </c>
      <c r="T206" s="7">
        <f>IF($X206="","",S206+P206)</f>
        <v/>
      </c>
      <c r="U206" s="7">
        <f>IF($X206="","",V206-T206)</f>
        <v/>
      </c>
      <c r="V206" s="7">
        <f>IF($X206="","",O206+R206)</f>
        <v/>
      </c>
      <c r="W206" s="7">
        <f>IF($X206="","",V206-T206-M206)</f>
        <v/>
      </c>
      <c r="X206" s="16">
        <f>IF(ROWS($X$2:$X206)&lt;=MAX('Per Line'!$W$2:$W$1501),MATCH(ROWS($X$2:$X206),'Per Line'!$W$2:$W$1501,0),"")</f>
        <v/>
      </c>
      <c r="Y206">
        <f>IF($X206="","",C206&amp;"|"&amp;COUNTIF($C$2:$C206,C206))</f>
        <v/>
      </c>
    </row>
    <row r="207">
      <c r="A207" s="15" t="n"/>
      <c r="B207">
        <f>IF($X207="","",INDEX('Per Line'!$A$2:$A$1501,$X207)&amp;"")</f>
        <v/>
      </c>
      <c r="C207">
        <f>IF($X207="","",IF(OR(TRIM(H207)="",TRIM(H207)="All",TRIM(H207)="All Comp"),TRIM(J207),TRIM(H207)))</f>
        <v/>
      </c>
      <c r="D207">
        <f>IF($X207="","",INDEX('Per Line'!$B$2:$B$1501,$X207)&amp;"")</f>
        <v/>
      </c>
      <c r="E207">
        <f>IF($X207="","",INDEX('Per Line'!$C$2:$C$1501,$X207)&amp;"")</f>
        <v/>
      </c>
      <c r="F207">
        <f>IF($X207="","",INDEX('Per Line'!$D$2:$D$1501,$X207)&amp;"")</f>
        <v/>
      </c>
      <c r="G207" s="15" t="n"/>
      <c r="H207" s="15" t="n"/>
      <c r="I207" s="15" t="n"/>
      <c r="J207" s="15" t="n"/>
      <c r="K207" s="14">
        <f>IF($X207="","",INDEX('Per Line'!$R$2:$R$1501,$X207))</f>
        <v/>
      </c>
      <c r="L207">
        <f>IF($X207="","",INDEX('Per Line'!$E$2:$E$1501,$X207))</f>
        <v/>
      </c>
      <c r="M207" s="7">
        <f>IF($X207="","",L207*U207/100)</f>
        <v/>
      </c>
      <c r="N207">
        <f>IF($X207="","",IF(ISNUMBER(SEARCH("3&amp;12",SUBSTITUTE(J207," ",""))),Settings!$G$7,Settings!$C$7))</f>
        <v/>
      </c>
      <c r="O207" s="7">
        <f>IF($X207="","",SUMIFS('Per Line'!$N$2:$N$1501,'Per Line'!$A$2:$A$1501,$B207,'Per Line'!$X$2:$X$1501,0))</f>
        <v/>
      </c>
      <c r="P207" s="7">
        <f>IF($X207="","",O207*N207)</f>
        <v/>
      </c>
      <c r="Q207">
        <f>IF($X207="","",IF(ISNUMBER(SEARCH("3&amp;12",SUBSTITUTE(J207," ",""))),Settings!$G$6,Settings!$C$6))</f>
        <v/>
      </c>
      <c r="R207" s="7">
        <f>IF($X207="","",SUMIFS('Per Line'!$N$2:$N$1501,'Per Line'!$A$2:$A$1501,$B207,'Per Line'!$X$2:$X$1501,1))</f>
        <v/>
      </c>
      <c r="S207" s="7">
        <f>IF($X207="","",R207*Q207)</f>
        <v/>
      </c>
      <c r="T207" s="7">
        <f>IF($X207="","",S207+P207)</f>
        <v/>
      </c>
      <c r="U207" s="7">
        <f>IF($X207="","",V207-T207)</f>
        <v/>
      </c>
      <c r="V207" s="7">
        <f>IF($X207="","",O207+R207)</f>
        <v/>
      </c>
      <c r="W207" s="7">
        <f>IF($X207="","",V207-T207-M207)</f>
        <v/>
      </c>
      <c r="X207" s="16">
        <f>IF(ROWS($X$2:$X207)&lt;=MAX('Per Line'!$W$2:$W$1501),MATCH(ROWS($X$2:$X207),'Per Line'!$W$2:$W$1501,0),"")</f>
        <v/>
      </c>
      <c r="Y207">
        <f>IF($X207="","",C207&amp;"|"&amp;COUNTIF($C$2:$C207,C207))</f>
        <v/>
      </c>
    </row>
    <row r="208">
      <c r="A208" s="15" t="n"/>
      <c r="B208">
        <f>IF($X208="","",INDEX('Per Line'!$A$2:$A$1501,$X208)&amp;"")</f>
        <v/>
      </c>
      <c r="C208">
        <f>IF($X208="","",IF(OR(TRIM(H208)="",TRIM(H208)="All",TRIM(H208)="All Comp"),TRIM(J208),TRIM(H208)))</f>
        <v/>
      </c>
      <c r="D208">
        <f>IF($X208="","",INDEX('Per Line'!$B$2:$B$1501,$X208)&amp;"")</f>
        <v/>
      </c>
      <c r="E208">
        <f>IF($X208="","",INDEX('Per Line'!$C$2:$C$1501,$X208)&amp;"")</f>
        <v/>
      </c>
      <c r="F208">
        <f>IF($X208="","",INDEX('Per Line'!$D$2:$D$1501,$X208)&amp;"")</f>
        <v/>
      </c>
      <c r="G208" s="15" t="n"/>
      <c r="H208" s="15" t="n"/>
      <c r="I208" s="15" t="n"/>
      <c r="J208" s="15" t="n"/>
      <c r="K208" s="14">
        <f>IF($X208="","",INDEX('Per Line'!$R$2:$R$1501,$X208))</f>
        <v/>
      </c>
      <c r="L208">
        <f>IF($X208="","",INDEX('Per Line'!$E$2:$E$1501,$X208))</f>
        <v/>
      </c>
      <c r="M208" s="7">
        <f>IF($X208="","",L208*U208/100)</f>
        <v/>
      </c>
      <c r="N208">
        <f>IF($X208="","",IF(ISNUMBER(SEARCH("3&amp;12",SUBSTITUTE(J208," ",""))),Settings!$G$7,Settings!$C$7))</f>
        <v/>
      </c>
      <c r="O208" s="7">
        <f>IF($X208="","",SUMIFS('Per Line'!$N$2:$N$1501,'Per Line'!$A$2:$A$1501,$B208,'Per Line'!$X$2:$X$1501,0))</f>
        <v/>
      </c>
      <c r="P208" s="7">
        <f>IF($X208="","",O208*N208)</f>
        <v/>
      </c>
      <c r="Q208">
        <f>IF($X208="","",IF(ISNUMBER(SEARCH("3&amp;12",SUBSTITUTE(J208," ",""))),Settings!$G$6,Settings!$C$6))</f>
        <v/>
      </c>
      <c r="R208" s="7">
        <f>IF($X208="","",SUMIFS('Per Line'!$N$2:$N$1501,'Per Line'!$A$2:$A$1501,$B208,'Per Line'!$X$2:$X$1501,1))</f>
        <v/>
      </c>
      <c r="S208" s="7">
        <f>IF($X208="","",R208*Q208)</f>
        <v/>
      </c>
      <c r="T208" s="7">
        <f>IF($X208="","",S208+P208)</f>
        <v/>
      </c>
      <c r="U208" s="7">
        <f>IF($X208="","",V208-T208)</f>
        <v/>
      </c>
      <c r="V208" s="7">
        <f>IF($X208="","",O208+R208)</f>
        <v/>
      </c>
      <c r="W208" s="7">
        <f>IF($X208="","",V208-T208-M208)</f>
        <v/>
      </c>
      <c r="X208" s="16">
        <f>IF(ROWS($X$2:$X208)&lt;=MAX('Per Line'!$W$2:$W$1501),MATCH(ROWS($X$2:$X208),'Per Line'!$W$2:$W$1501,0),"")</f>
        <v/>
      </c>
      <c r="Y208">
        <f>IF($X208="","",C208&amp;"|"&amp;COUNTIF($C$2:$C208,C208))</f>
        <v/>
      </c>
    </row>
    <row r="209">
      <c r="A209" s="15" t="n"/>
      <c r="B209">
        <f>IF($X209="","",INDEX('Per Line'!$A$2:$A$1501,$X209)&amp;"")</f>
        <v/>
      </c>
      <c r="C209">
        <f>IF($X209="","",IF(OR(TRIM(H209)="",TRIM(H209)="All",TRIM(H209)="All Comp"),TRIM(J209),TRIM(H209)))</f>
        <v/>
      </c>
      <c r="D209">
        <f>IF($X209="","",INDEX('Per Line'!$B$2:$B$1501,$X209)&amp;"")</f>
        <v/>
      </c>
      <c r="E209">
        <f>IF($X209="","",INDEX('Per Line'!$C$2:$C$1501,$X209)&amp;"")</f>
        <v/>
      </c>
      <c r="F209">
        <f>IF($X209="","",INDEX('Per Line'!$D$2:$D$1501,$X209)&amp;"")</f>
        <v/>
      </c>
      <c r="G209" s="15" t="n"/>
      <c r="H209" s="15" t="n"/>
      <c r="I209" s="15" t="n"/>
      <c r="J209" s="15" t="n"/>
      <c r="K209" s="14">
        <f>IF($X209="","",INDEX('Per Line'!$R$2:$R$1501,$X209))</f>
        <v/>
      </c>
      <c r="L209">
        <f>IF($X209="","",INDEX('Per Line'!$E$2:$E$1501,$X209))</f>
        <v/>
      </c>
      <c r="M209" s="7">
        <f>IF($X209="","",L209*U209/100)</f>
        <v/>
      </c>
      <c r="N209">
        <f>IF($X209="","",IF(ISNUMBER(SEARCH("3&amp;12",SUBSTITUTE(J209," ",""))),Settings!$G$7,Settings!$C$7))</f>
        <v/>
      </c>
      <c r="O209" s="7">
        <f>IF($X209="","",SUMIFS('Per Line'!$N$2:$N$1501,'Per Line'!$A$2:$A$1501,$B209,'Per Line'!$X$2:$X$1501,0))</f>
        <v/>
      </c>
      <c r="P209" s="7">
        <f>IF($X209="","",O209*N209)</f>
        <v/>
      </c>
      <c r="Q209">
        <f>IF($X209="","",IF(ISNUMBER(SEARCH("3&amp;12",SUBSTITUTE(J209," ",""))),Settings!$G$6,Settings!$C$6))</f>
        <v/>
      </c>
      <c r="R209" s="7">
        <f>IF($X209="","",SUMIFS('Per Line'!$N$2:$N$1501,'Per Line'!$A$2:$A$1501,$B209,'Per Line'!$X$2:$X$1501,1))</f>
        <v/>
      </c>
      <c r="S209" s="7">
        <f>IF($X209="","",R209*Q209)</f>
        <v/>
      </c>
      <c r="T209" s="7">
        <f>IF($X209="","",S209+P209)</f>
        <v/>
      </c>
      <c r="U209" s="7">
        <f>IF($X209="","",V209-T209)</f>
        <v/>
      </c>
      <c r="V209" s="7">
        <f>IF($X209="","",O209+R209)</f>
        <v/>
      </c>
      <c r="W209" s="7">
        <f>IF($X209="","",V209-T209-M209)</f>
        <v/>
      </c>
      <c r="X209" s="16">
        <f>IF(ROWS($X$2:$X209)&lt;=MAX('Per Line'!$W$2:$W$1501),MATCH(ROWS($X$2:$X209),'Per Line'!$W$2:$W$1501,0),"")</f>
        <v/>
      </c>
      <c r="Y209">
        <f>IF($X209="","",C209&amp;"|"&amp;COUNTIF($C$2:$C209,C209))</f>
        <v/>
      </c>
    </row>
    <row r="210">
      <c r="A210" s="15" t="n"/>
      <c r="B210">
        <f>IF($X210="","",INDEX('Per Line'!$A$2:$A$1501,$X210)&amp;"")</f>
        <v/>
      </c>
      <c r="C210">
        <f>IF($X210="","",IF(OR(TRIM(H210)="",TRIM(H210)="All",TRIM(H210)="All Comp"),TRIM(J210),TRIM(H210)))</f>
        <v/>
      </c>
      <c r="D210">
        <f>IF($X210="","",INDEX('Per Line'!$B$2:$B$1501,$X210)&amp;"")</f>
        <v/>
      </c>
      <c r="E210">
        <f>IF($X210="","",INDEX('Per Line'!$C$2:$C$1501,$X210)&amp;"")</f>
        <v/>
      </c>
      <c r="F210">
        <f>IF($X210="","",INDEX('Per Line'!$D$2:$D$1501,$X210)&amp;"")</f>
        <v/>
      </c>
      <c r="G210" s="15" t="n"/>
      <c r="H210" s="15" t="n"/>
      <c r="I210" s="15" t="n"/>
      <c r="J210" s="15" t="n"/>
      <c r="K210" s="14">
        <f>IF($X210="","",INDEX('Per Line'!$R$2:$R$1501,$X210))</f>
        <v/>
      </c>
      <c r="L210">
        <f>IF($X210="","",INDEX('Per Line'!$E$2:$E$1501,$X210))</f>
        <v/>
      </c>
      <c r="M210" s="7">
        <f>IF($X210="","",L210*U210/100)</f>
        <v/>
      </c>
      <c r="N210">
        <f>IF($X210="","",IF(ISNUMBER(SEARCH("3&amp;12",SUBSTITUTE(J210," ",""))),Settings!$G$7,Settings!$C$7))</f>
        <v/>
      </c>
      <c r="O210" s="7">
        <f>IF($X210="","",SUMIFS('Per Line'!$N$2:$N$1501,'Per Line'!$A$2:$A$1501,$B210,'Per Line'!$X$2:$X$1501,0))</f>
        <v/>
      </c>
      <c r="P210" s="7">
        <f>IF($X210="","",O210*N210)</f>
        <v/>
      </c>
      <c r="Q210">
        <f>IF($X210="","",IF(ISNUMBER(SEARCH("3&amp;12",SUBSTITUTE(J210," ",""))),Settings!$G$6,Settings!$C$6))</f>
        <v/>
      </c>
      <c r="R210" s="7">
        <f>IF($X210="","",SUMIFS('Per Line'!$N$2:$N$1501,'Per Line'!$A$2:$A$1501,$B210,'Per Line'!$X$2:$X$1501,1))</f>
        <v/>
      </c>
      <c r="S210" s="7">
        <f>IF($X210="","",R210*Q210)</f>
        <v/>
      </c>
      <c r="T210" s="7">
        <f>IF($X210="","",S210+P210)</f>
        <v/>
      </c>
      <c r="U210" s="7">
        <f>IF($X210="","",V210-T210)</f>
        <v/>
      </c>
      <c r="V210" s="7">
        <f>IF($X210="","",O210+R210)</f>
        <v/>
      </c>
      <c r="W210" s="7">
        <f>IF($X210="","",V210-T210-M210)</f>
        <v/>
      </c>
      <c r="X210" s="16">
        <f>IF(ROWS($X$2:$X210)&lt;=MAX('Per Line'!$W$2:$W$1501),MATCH(ROWS($X$2:$X210),'Per Line'!$W$2:$W$1501,0),"")</f>
        <v/>
      </c>
      <c r="Y210">
        <f>IF($X210="","",C210&amp;"|"&amp;COUNTIF($C$2:$C210,C210))</f>
        <v/>
      </c>
    </row>
    <row r="211">
      <c r="A211" s="15" t="n"/>
      <c r="B211">
        <f>IF($X211="","",INDEX('Per Line'!$A$2:$A$1501,$X211)&amp;"")</f>
        <v/>
      </c>
      <c r="C211">
        <f>IF($X211="","",IF(OR(TRIM(H211)="",TRIM(H211)="All",TRIM(H211)="All Comp"),TRIM(J211),TRIM(H211)))</f>
        <v/>
      </c>
      <c r="D211">
        <f>IF($X211="","",INDEX('Per Line'!$B$2:$B$1501,$X211)&amp;"")</f>
        <v/>
      </c>
      <c r="E211">
        <f>IF($X211="","",INDEX('Per Line'!$C$2:$C$1501,$X211)&amp;"")</f>
        <v/>
      </c>
      <c r="F211">
        <f>IF($X211="","",INDEX('Per Line'!$D$2:$D$1501,$X211)&amp;"")</f>
        <v/>
      </c>
      <c r="G211" s="15" t="n"/>
      <c r="H211" s="15" t="n"/>
      <c r="I211" s="15" t="n"/>
      <c r="J211" s="15" t="n"/>
      <c r="K211" s="14">
        <f>IF($X211="","",INDEX('Per Line'!$R$2:$R$1501,$X211))</f>
        <v/>
      </c>
      <c r="L211">
        <f>IF($X211="","",INDEX('Per Line'!$E$2:$E$1501,$X211))</f>
        <v/>
      </c>
      <c r="M211" s="7">
        <f>IF($X211="","",L211*U211/100)</f>
        <v/>
      </c>
      <c r="N211">
        <f>IF($X211="","",IF(ISNUMBER(SEARCH("3&amp;12",SUBSTITUTE(J211," ",""))),Settings!$G$7,Settings!$C$7))</f>
        <v/>
      </c>
      <c r="O211" s="7">
        <f>IF($X211="","",SUMIFS('Per Line'!$N$2:$N$1501,'Per Line'!$A$2:$A$1501,$B211,'Per Line'!$X$2:$X$1501,0))</f>
        <v/>
      </c>
      <c r="P211" s="7">
        <f>IF($X211="","",O211*N211)</f>
        <v/>
      </c>
      <c r="Q211">
        <f>IF($X211="","",IF(ISNUMBER(SEARCH("3&amp;12",SUBSTITUTE(J211," ",""))),Settings!$G$6,Settings!$C$6))</f>
        <v/>
      </c>
      <c r="R211" s="7">
        <f>IF($X211="","",SUMIFS('Per Line'!$N$2:$N$1501,'Per Line'!$A$2:$A$1501,$B211,'Per Line'!$X$2:$X$1501,1))</f>
        <v/>
      </c>
      <c r="S211" s="7">
        <f>IF($X211="","",R211*Q211)</f>
        <v/>
      </c>
      <c r="T211" s="7">
        <f>IF($X211="","",S211+P211)</f>
        <v/>
      </c>
      <c r="U211" s="7">
        <f>IF($X211="","",V211-T211)</f>
        <v/>
      </c>
      <c r="V211" s="7">
        <f>IF($X211="","",O211+R211)</f>
        <v/>
      </c>
      <c r="W211" s="7">
        <f>IF($X211="","",V211-T211-M211)</f>
        <v/>
      </c>
      <c r="X211" s="16">
        <f>IF(ROWS($X$2:$X211)&lt;=MAX('Per Line'!$W$2:$W$1501),MATCH(ROWS($X$2:$X211),'Per Line'!$W$2:$W$1501,0),"")</f>
        <v/>
      </c>
      <c r="Y211">
        <f>IF($X211="","",C211&amp;"|"&amp;COUNTIF($C$2:$C211,C211))</f>
        <v/>
      </c>
    </row>
    <row r="212">
      <c r="A212" s="15" t="n"/>
      <c r="B212">
        <f>IF($X212="","",INDEX('Per Line'!$A$2:$A$1501,$X212)&amp;"")</f>
        <v/>
      </c>
      <c r="C212">
        <f>IF($X212="","",IF(OR(TRIM(H212)="",TRIM(H212)="All",TRIM(H212)="All Comp"),TRIM(J212),TRIM(H212)))</f>
        <v/>
      </c>
      <c r="D212">
        <f>IF($X212="","",INDEX('Per Line'!$B$2:$B$1501,$X212)&amp;"")</f>
        <v/>
      </c>
      <c r="E212">
        <f>IF($X212="","",INDEX('Per Line'!$C$2:$C$1501,$X212)&amp;"")</f>
        <v/>
      </c>
      <c r="F212">
        <f>IF($X212="","",INDEX('Per Line'!$D$2:$D$1501,$X212)&amp;"")</f>
        <v/>
      </c>
      <c r="G212" s="15" t="n"/>
      <c r="H212" s="15" t="n"/>
      <c r="I212" s="15" t="n"/>
      <c r="J212" s="15" t="n"/>
      <c r="K212" s="14">
        <f>IF($X212="","",INDEX('Per Line'!$R$2:$R$1501,$X212))</f>
        <v/>
      </c>
      <c r="L212">
        <f>IF($X212="","",INDEX('Per Line'!$E$2:$E$1501,$X212))</f>
        <v/>
      </c>
      <c r="M212" s="7">
        <f>IF($X212="","",L212*U212/100)</f>
        <v/>
      </c>
      <c r="N212">
        <f>IF($X212="","",IF(ISNUMBER(SEARCH("3&amp;12",SUBSTITUTE(J212," ",""))),Settings!$G$7,Settings!$C$7))</f>
        <v/>
      </c>
      <c r="O212" s="7">
        <f>IF($X212="","",SUMIFS('Per Line'!$N$2:$N$1501,'Per Line'!$A$2:$A$1501,$B212,'Per Line'!$X$2:$X$1501,0))</f>
        <v/>
      </c>
      <c r="P212" s="7">
        <f>IF($X212="","",O212*N212)</f>
        <v/>
      </c>
      <c r="Q212">
        <f>IF($X212="","",IF(ISNUMBER(SEARCH("3&amp;12",SUBSTITUTE(J212," ",""))),Settings!$G$6,Settings!$C$6))</f>
        <v/>
      </c>
      <c r="R212" s="7">
        <f>IF($X212="","",SUMIFS('Per Line'!$N$2:$N$1501,'Per Line'!$A$2:$A$1501,$B212,'Per Line'!$X$2:$X$1501,1))</f>
        <v/>
      </c>
      <c r="S212" s="7">
        <f>IF($X212="","",R212*Q212)</f>
        <v/>
      </c>
      <c r="T212" s="7">
        <f>IF($X212="","",S212+P212)</f>
        <v/>
      </c>
      <c r="U212" s="7">
        <f>IF($X212="","",V212-T212)</f>
        <v/>
      </c>
      <c r="V212" s="7">
        <f>IF($X212="","",O212+R212)</f>
        <v/>
      </c>
      <c r="W212" s="7">
        <f>IF($X212="","",V212-T212-M212)</f>
        <v/>
      </c>
      <c r="X212" s="16">
        <f>IF(ROWS($X$2:$X212)&lt;=MAX('Per Line'!$W$2:$W$1501),MATCH(ROWS($X$2:$X212),'Per Line'!$W$2:$W$1501,0),"")</f>
        <v/>
      </c>
      <c r="Y212">
        <f>IF($X212="","",C212&amp;"|"&amp;COUNTIF($C$2:$C212,C212))</f>
        <v/>
      </c>
    </row>
    <row r="213">
      <c r="A213" s="15" t="n"/>
      <c r="B213">
        <f>IF($X213="","",INDEX('Per Line'!$A$2:$A$1501,$X213)&amp;"")</f>
        <v/>
      </c>
      <c r="C213">
        <f>IF($X213="","",IF(OR(TRIM(H213)="",TRIM(H213)="All",TRIM(H213)="All Comp"),TRIM(J213),TRIM(H213)))</f>
        <v/>
      </c>
      <c r="D213">
        <f>IF($X213="","",INDEX('Per Line'!$B$2:$B$1501,$X213)&amp;"")</f>
        <v/>
      </c>
      <c r="E213">
        <f>IF($X213="","",INDEX('Per Line'!$C$2:$C$1501,$X213)&amp;"")</f>
        <v/>
      </c>
      <c r="F213">
        <f>IF($X213="","",INDEX('Per Line'!$D$2:$D$1501,$X213)&amp;"")</f>
        <v/>
      </c>
      <c r="G213" s="15" t="n"/>
      <c r="H213" s="15" t="n"/>
      <c r="I213" s="15" t="n"/>
      <c r="J213" s="15" t="n"/>
      <c r="K213" s="14">
        <f>IF($X213="","",INDEX('Per Line'!$R$2:$R$1501,$X213))</f>
        <v/>
      </c>
      <c r="L213">
        <f>IF($X213="","",INDEX('Per Line'!$E$2:$E$1501,$X213))</f>
        <v/>
      </c>
      <c r="M213" s="7">
        <f>IF($X213="","",L213*U213/100)</f>
        <v/>
      </c>
      <c r="N213">
        <f>IF($X213="","",IF(ISNUMBER(SEARCH("3&amp;12",SUBSTITUTE(J213," ",""))),Settings!$G$7,Settings!$C$7))</f>
        <v/>
      </c>
      <c r="O213" s="7">
        <f>IF($X213="","",SUMIFS('Per Line'!$N$2:$N$1501,'Per Line'!$A$2:$A$1501,$B213,'Per Line'!$X$2:$X$1501,0))</f>
        <v/>
      </c>
      <c r="P213" s="7">
        <f>IF($X213="","",O213*N213)</f>
        <v/>
      </c>
      <c r="Q213">
        <f>IF($X213="","",IF(ISNUMBER(SEARCH("3&amp;12",SUBSTITUTE(J213," ",""))),Settings!$G$6,Settings!$C$6))</f>
        <v/>
      </c>
      <c r="R213" s="7">
        <f>IF($X213="","",SUMIFS('Per Line'!$N$2:$N$1501,'Per Line'!$A$2:$A$1501,$B213,'Per Line'!$X$2:$X$1501,1))</f>
        <v/>
      </c>
      <c r="S213" s="7">
        <f>IF($X213="","",R213*Q213)</f>
        <v/>
      </c>
      <c r="T213" s="7">
        <f>IF($X213="","",S213+P213)</f>
        <v/>
      </c>
      <c r="U213" s="7">
        <f>IF($X213="","",V213-T213)</f>
        <v/>
      </c>
      <c r="V213" s="7">
        <f>IF($X213="","",O213+R213)</f>
        <v/>
      </c>
      <c r="W213" s="7">
        <f>IF($X213="","",V213-T213-M213)</f>
        <v/>
      </c>
      <c r="X213" s="16">
        <f>IF(ROWS($X$2:$X213)&lt;=MAX('Per Line'!$W$2:$W$1501),MATCH(ROWS($X$2:$X213),'Per Line'!$W$2:$W$1501,0),"")</f>
        <v/>
      </c>
      <c r="Y213">
        <f>IF($X213="","",C213&amp;"|"&amp;COUNTIF($C$2:$C213,C213))</f>
        <v/>
      </c>
    </row>
    <row r="214">
      <c r="A214" s="15" t="n"/>
      <c r="B214">
        <f>IF($X214="","",INDEX('Per Line'!$A$2:$A$1501,$X214)&amp;"")</f>
        <v/>
      </c>
      <c r="C214">
        <f>IF($X214="","",IF(OR(TRIM(H214)="",TRIM(H214)="All",TRIM(H214)="All Comp"),TRIM(J214),TRIM(H214)))</f>
        <v/>
      </c>
      <c r="D214">
        <f>IF($X214="","",INDEX('Per Line'!$B$2:$B$1501,$X214)&amp;"")</f>
        <v/>
      </c>
      <c r="E214">
        <f>IF($X214="","",INDEX('Per Line'!$C$2:$C$1501,$X214)&amp;"")</f>
        <v/>
      </c>
      <c r="F214">
        <f>IF($X214="","",INDEX('Per Line'!$D$2:$D$1501,$X214)&amp;"")</f>
        <v/>
      </c>
      <c r="G214" s="15" t="n"/>
      <c r="H214" s="15" t="n"/>
      <c r="I214" s="15" t="n"/>
      <c r="J214" s="15" t="n"/>
      <c r="K214" s="14">
        <f>IF($X214="","",INDEX('Per Line'!$R$2:$R$1501,$X214))</f>
        <v/>
      </c>
      <c r="L214">
        <f>IF($X214="","",INDEX('Per Line'!$E$2:$E$1501,$X214))</f>
        <v/>
      </c>
      <c r="M214" s="7">
        <f>IF($X214="","",L214*U214/100)</f>
        <v/>
      </c>
      <c r="N214">
        <f>IF($X214="","",IF(ISNUMBER(SEARCH("3&amp;12",SUBSTITUTE(J214," ",""))),Settings!$G$7,Settings!$C$7))</f>
        <v/>
      </c>
      <c r="O214" s="7">
        <f>IF($X214="","",SUMIFS('Per Line'!$N$2:$N$1501,'Per Line'!$A$2:$A$1501,$B214,'Per Line'!$X$2:$X$1501,0))</f>
        <v/>
      </c>
      <c r="P214" s="7">
        <f>IF($X214="","",O214*N214)</f>
        <v/>
      </c>
      <c r="Q214">
        <f>IF($X214="","",IF(ISNUMBER(SEARCH("3&amp;12",SUBSTITUTE(J214," ",""))),Settings!$G$6,Settings!$C$6))</f>
        <v/>
      </c>
      <c r="R214" s="7">
        <f>IF($X214="","",SUMIFS('Per Line'!$N$2:$N$1501,'Per Line'!$A$2:$A$1501,$B214,'Per Line'!$X$2:$X$1501,1))</f>
        <v/>
      </c>
      <c r="S214" s="7">
        <f>IF($X214="","",R214*Q214)</f>
        <v/>
      </c>
      <c r="T214" s="7">
        <f>IF($X214="","",S214+P214)</f>
        <v/>
      </c>
      <c r="U214" s="7">
        <f>IF($X214="","",V214-T214)</f>
        <v/>
      </c>
      <c r="V214" s="7">
        <f>IF($X214="","",O214+R214)</f>
        <v/>
      </c>
      <c r="W214" s="7">
        <f>IF($X214="","",V214-T214-M214)</f>
        <v/>
      </c>
      <c r="X214" s="16">
        <f>IF(ROWS($X$2:$X214)&lt;=MAX('Per Line'!$W$2:$W$1501),MATCH(ROWS($X$2:$X214),'Per Line'!$W$2:$W$1501,0),"")</f>
        <v/>
      </c>
      <c r="Y214">
        <f>IF($X214="","",C214&amp;"|"&amp;COUNTIF($C$2:$C214,C214))</f>
        <v/>
      </c>
    </row>
    <row r="215">
      <c r="A215" s="15" t="n"/>
      <c r="B215">
        <f>IF($X215="","",INDEX('Per Line'!$A$2:$A$1501,$X215)&amp;"")</f>
        <v/>
      </c>
      <c r="C215">
        <f>IF($X215="","",IF(OR(TRIM(H215)="",TRIM(H215)="All",TRIM(H215)="All Comp"),TRIM(J215),TRIM(H215)))</f>
        <v/>
      </c>
      <c r="D215">
        <f>IF($X215="","",INDEX('Per Line'!$B$2:$B$1501,$X215)&amp;"")</f>
        <v/>
      </c>
      <c r="E215">
        <f>IF($X215="","",INDEX('Per Line'!$C$2:$C$1501,$X215)&amp;"")</f>
        <v/>
      </c>
      <c r="F215">
        <f>IF($X215="","",INDEX('Per Line'!$D$2:$D$1501,$X215)&amp;"")</f>
        <v/>
      </c>
      <c r="G215" s="15" t="n"/>
      <c r="H215" s="15" t="n"/>
      <c r="I215" s="15" t="n"/>
      <c r="J215" s="15" t="n"/>
      <c r="K215" s="14">
        <f>IF($X215="","",INDEX('Per Line'!$R$2:$R$1501,$X215))</f>
        <v/>
      </c>
      <c r="L215">
        <f>IF($X215="","",INDEX('Per Line'!$E$2:$E$1501,$X215))</f>
        <v/>
      </c>
      <c r="M215" s="7">
        <f>IF($X215="","",L215*U215/100)</f>
        <v/>
      </c>
      <c r="N215">
        <f>IF($X215="","",IF(ISNUMBER(SEARCH("3&amp;12",SUBSTITUTE(J215," ",""))),Settings!$G$7,Settings!$C$7))</f>
        <v/>
      </c>
      <c r="O215" s="7">
        <f>IF($X215="","",SUMIFS('Per Line'!$N$2:$N$1501,'Per Line'!$A$2:$A$1501,$B215,'Per Line'!$X$2:$X$1501,0))</f>
        <v/>
      </c>
      <c r="P215" s="7">
        <f>IF($X215="","",O215*N215)</f>
        <v/>
      </c>
      <c r="Q215">
        <f>IF($X215="","",IF(ISNUMBER(SEARCH("3&amp;12",SUBSTITUTE(J215," ",""))),Settings!$G$6,Settings!$C$6))</f>
        <v/>
      </c>
      <c r="R215" s="7">
        <f>IF($X215="","",SUMIFS('Per Line'!$N$2:$N$1501,'Per Line'!$A$2:$A$1501,$B215,'Per Line'!$X$2:$X$1501,1))</f>
        <v/>
      </c>
      <c r="S215" s="7">
        <f>IF($X215="","",R215*Q215)</f>
        <v/>
      </c>
      <c r="T215" s="7">
        <f>IF($X215="","",S215+P215)</f>
        <v/>
      </c>
      <c r="U215" s="7">
        <f>IF($X215="","",V215-T215)</f>
        <v/>
      </c>
      <c r="V215" s="7">
        <f>IF($X215="","",O215+R215)</f>
        <v/>
      </c>
      <c r="W215" s="7">
        <f>IF($X215="","",V215-T215-M215)</f>
        <v/>
      </c>
      <c r="X215" s="16">
        <f>IF(ROWS($X$2:$X215)&lt;=MAX('Per Line'!$W$2:$W$1501),MATCH(ROWS($X$2:$X215),'Per Line'!$W$2:$W$1501,0),"")</f>
        <v/>
      </c>
      <c r="Y215">
        <f>IF($X215="","",C215&amp;"|"&amp;COUNTIF($C$2:$C215,C215))</f>
        <v/>
      </c>
    </row>
    <row r="216">
      <c r="A216" s="15" t="n"/>
      <c r="B216">
        <f>IF($X216="","",INDEX('Per Line'!$A$2:$A$1501,$X216)&amp;"")</f>
        <v/>
      </c>
      <c r="C216">
        <f>IF($X216="","",IF(OR(TRIM(H216)="",TRIM(H216)="All",TRIM(H216)="All Comp"),TRIM(J216),TRIM(H216)))</f>
        <v/>
      </c>
      <c r="D216">
        <f>IF($X216="","",INDEX('Per Line'!$B$2:$B$1501,$X216)&amp;"")</f>
        <v/>
      </c>
      <c r="E216">
        <f>IF($X216="","",INDEX('Per Line'!$C$2:$C$1501,$X216)&amp;"")</f>
        <v/>
      </c>
      <c r="F216">
        <f>IF($X216="","",INDEX('Per Line'!$D$2:$D$1501,$X216)&amp;"")</f>
        <v/>
      </c>
      <c r="G216" s="15" t="n"/>
      <c r="H216" s="15" t="n"/>
      <c r="I216" s="15" t="n"/>
      <c r="J216" s="15" t="n"/>
      <c r="K216" s="14">
        <f>IF($X216="","",INDEX('Per Line'!$R$2:$R$1501,$X216))</f>
        <v/>
      </c>
      <c r="L216">
        <f>IF($X216="","",INDEX('Per Line'!$E$2:$E$1501,$X216))</f>
        <v/>
      </c>
      <c r="M216" s="7">
        <f>IF($X216="","",L216*U216/100)</f>
        <v/>
      </c>
      <c r="N216">
        <f>IF($X216="","",IF(ISNUMBER(SEARCH("3&amp;12",SUBSTITUTE(J216," ",""))),Settings!$G$7,Settings!$C$7))</f>
        <v/>
      </c>
      <c r="O216" s="7">
        <f>IF($X216="","",SUMIFS('Per Line'!$N$2:$N$1501,'Per Line'!$A$2:$A$1501,$B216,'Per Line'!$X$2:$X$1501,0))</f>
        <v/>
      </c>
      <c r="P216" s="7">
        <f>IF($X216="","",O216*N216)</f>
        <v/>
      </c>
      <c r="Q216">
        <f>IF($X216="","",IF(ISNUMBER(SEARCH("3&amp;12",SUBSTITUTE(J216," ",""))),Settings!$G$6,Settings!$C$6))</f>
        <v/>
      </c>
      <c r="R216" s="7">
        <f>IF($X216="","",SUMIFS('Per Line'!$N$2:$N$1501,'Per Line'!$A$2:$A$1501,$B216,'Per Line'!$X$2:$X$1501,1))</f>
        <v/>
      </c>
      <c r="S216" s="7">
        <f>IF($X216="","",R216*Q216)</f>
        <v/>
      </c>
      <c r="T216" s="7">
        <f>IF($X216="","",S216+P216)</f>
        <v/>
      </c>
      <c r="U216" s="7">
        <f>IF($X216="","",V216-T216)</f>
        <v/>
      </c>
      <c r="V216" s="7">
        <f>IF($X216="","",O216+R216)</f>
        <v/>
      </c>
      <c r="W216" s="7">
        <f>IF($X216="","",V216-T216-M216)</f>
        <v/>
      </c>
      <c r="X216" s="16">
        <f>IF(ROWS($X$2:$X216)&lt;=MAX('Per Line'!$W$2:$W$1501),MATCH(ROWS($X$2:$X216),'Per Line'!$W$2:$W$1501,0),"")</f>
        <v/>
      </c>
      <c r="Y216">
        <f>IF($X216="","",C216&amp;"|"&amp;COUNTIF($C$2:$C216,C216))</f>
        <v/>
      </c>
    </row>
    <row r="217">
      <c r="A217" s="15" t="n"/>
      <c r="B217">
        <f>IF($X217="","",INDEX('Per Line'!$A$2:$A$1501,$X217)&amp;"")</f>
        <v/>
      </c>
      <c r="C217">
        <f>IF($X217="","",IF(OR(TRIM(H217)="",TRIM(H217)="All",TRIM(H217)="All Comp"),TRIM(J217),TRIM(H217)))</f>
        <v/>
      </c>
      <c r="D217">
        <f>IF($X217="","",INDEX('Per Line'!$B$2:$B$1501,$X217)&amp;"")</f>
        <v/>
      </c>
      <c r="E217">
        <f>IF($X217="","",INDEX('Per Line'!$C$2:$C$1501,$X217)&amp;"")</f>
        <v/>
      </c>
      <c r="F217">
        <f>IF($X217="","",INDEX('Per Line'!$D$2:$D$1501,$X217)&amp;"")</f>
        <v/>
      </c>
      <c r="G217" s="15" t="n"/>
      <c r="H217" s="15" t="n"/>
      <c r="I217" s="15" t="n"/>
      <c r="J217" s="15" t="n"/>
      <c r="K217" s="14">
        <f>IF($X217="","",INDEX('Per Line'!$R$2:$R$1501,$X217))</f>
        <v/>
      </c>
      <c r="L217">
        <f>IF($X217="","",INDEX('Per Line'!$E$2:$E$1501,$X217))</f>
        <v/>
      </c>
      <c r="M217" s="7">
        <f>IF($X217="","",L217*U217/100)</f>
        <v/>
      </c>
      <c r="N217">
        <f>IF($X217="","",IF(ISNUMBER(SEARCH("3&amp;12",SUBSTITUTE(J217," ",""))),Settings!$G$7,Settings!$C$7))</f>
        <v/>
      </c>
      <c r="O217" s="7">
        <f>IF($X217="","",SUMIFS('Per Line'!$N$2:$N$1501,'Per Line'!$A$2:$A$1501,$B217,'Per Line'!$X$2:$X$1501,0))</f>
        <v/>
      </c>
      <c r="P217" s="7">
        <f>IF($X217="","",O217*N217)</f>
        <v/>
      </c>
      <c r="Q217">
        <f>IF($X217="","",IF(ISNUMBER(SEARCH("3&amp;12",SUBSTITUTE(J217," ",""))),Settings!$G$6,Settings!$C$6))</f>
        <v/>
      </c>
      <c r="R217" s="7">
        <f>IF($X217="","",SUMIFS('Per Line'!$N$2:$N$1501,'Per Line'!$A$2:$A$1501,$B217,'Per Line'!$X$2:$X$1501,1))</f>
        <v/>
      </c>
      <c r="S217" s="7">
        <f>IF($X217="","",R217*Q217)</f>
        <v/>
      </c>
      <c r="T217" s="7">
        <f>IF($X217="","",S217+P217)</f>
        <v/>
      </c>
      <c r="U217" s="7">
        <f>IF($X217="","",V217-T217)</f>
        <v/>
      </c>
      <c r="V217" s="7">
        <f>IF($X217="","",O217+R217)</f>
        <v/>
      </c>
      <c r="W217" s="7">
        <f>IF($X217="","",V217-T217-M217)</f>
        <v/>
      </c>
      <c r="X217" s="16">
        <f>IF(ROWS($X$2:$X217)&lt;=MAX('Per Line'!$W$2:$W$1501),MATCH(ROWS($X$2:$X217),'Per Line'!$W$2:$W$1501,0),"")</f>
        <v/>
      </c>
      <c r="Y217">
        <f>IF($X217="","",C217&amp;"|"&amp;COUNTIF($C$2:$C217,C217))</f>
        <v/>
      </c>
    </row>
    <row r="218">
      <c r="A218" s="15" t="n"/>
      <c r="B218">
        <f>IF($X218="","",INDEX('Per Line'!$A$2:$A$1501,$X218)&amp;"")</f>
        <v/>
      </c>
      <c r="C218">
        <f>IF($X218="","",IF(OR(TRIM(H218)="",TRIM(H218)="All",TRIM(H218)="All Comp"),TRIM(J218),TRIM(H218)))</f>
        <v/>
      </c>
      <c r="D218">
        <f>IF($X218="","",INDEX('Per Line'!$B$2:$B$1501,$X218)&amp;"")</f>
        <v/>
      </c>
      <c r="E218">
        <f>IF($X218="","",INDEX('Per Line'!$C$2:$C$1501,$X218)&amp;"")</f>
        <v/>
      </c>
      <c r="F218">
        <f>IF($X218="","",INDEX('Per Line'!$D$2:$D$1501,$X218)&amp;"")</f>
        <v/>
      </c>
      <c r="G218" s="15" t="n"/>
      <c r="H218" s="15" t="n"/>
      <c r="I218" s="15" t="n"/>
      <c r="J218" s="15" t="n"/>
      <c r="K218" s="14">
        <f>IF($X218="","",INDEX('Per Line'!$R$2:$R$1501,$X218))</f>
        <v/>
      </c>
      <c r="L218">
        <f>IF($X218="","",INDEX('Per Line'!$E$2:$E$1501,$X218))</f>
        <v/>
      </c>
      <c r="M218" s="7">
        <f>IF($X218="","",L218*U218/100)</f>
        <v/>
      </c>
      <c r="N218">
        <f>IF($X218="","",IF(ISNUMBER(SEARCH("3&amp;12",SUBSTITUTE(J218," ",""))),Settings!$G$7,Settings!$C$7))</f>
        <v/>
      </c>
      <c r="O218" s="7">
        <f>IF($X218="","",SUMIFS('Per Line'!$N$2:$N$1501,'Per Line'!$A$2:$A$1501,$B218,'Per Line'!$X$2:$X$1501,0))</f>
        <v/>
      </c>
      <c r="P218" s="7">
        <f>IF($X218="","",O218*N218)</f>
        <v/>
      </c>
      <c r="Q218">
        <f>IF($X218="","",IF(ISNUMBER(SEARCH("3&amp;12",SUBSTITUTE(J218," ",""))),Settings!$G$6,Settings!$C$6))</f>
        <v/>
      </c>
      <c r="R218" s="7">
        <f>IF($X218="","",SUMIFS('Per Line'!$N$2:$N$1501,'Per Line'!$A$2:$A$1501,$B218,'Per Line'!$X$2:$X$1501,1))</f>
        <v/>
      </c>
      <c r="S218" s="7">
        <f>IF($X218="","",R218*Q218)</f>
        <v/>
      </c>
      <c r="T218" s="7">
        <f>IF($X218="","",S218+P218)</f>
        <v/>
      </c>
      <c r="U218" s="7">
        <f>IF($X218="","",V218-T218)</f>
        <v/>
      </c>
      <c r="V218" s="7">
        <f>IF($X218="","",O218+R218)</f>
        <v/>
      </c>
      <c r="W218" s="7">
        <f>IF($X218="","",V218-T218-M218)</f>
        <v/>
      </c>
      <c r="X218" s="16">
        <f>IF(ROWS($X$2:$X218)&lt;=MAX('Per Line'!$W$2:$W$1501),MATCH(ROWS($X$2:$X218),'Per Line'!$W$2:$W$1501,0),"")</f>
        <v/>
      </c>
      <c r="Y218">
        <f>IF($X218="","",C218&amp;"|"&amp;COUNTIF($C$2:$C218,C218))</f>
        <v/>
      </c>
    </row>
    <row r="219">
      <c r="A219" s="15" t="n"/>
      <c r="B219">
        <f>IF($X219="","",INDEX('Per Line'!$A$2:$A$1501,$X219)&amp;"")</f>
        <v/>
      </c>
      <c r="C219">
        <f>IF($X219="","",IF(OR(TRIM(H219)="",TRIM(H219)="All",TRIM(H219)="All Comp"),TRIM(J219),TRIM(H219)))</f>
        <v/>
      </c>
      <c r="D219">
        <f>IF($X219="","",INDEX('Per Line'!$B$2:$B$1501,$X219)&amp;"")</f>
        <v/>
      </c>
      <c r="E219">
        <f>IF($X219="","",INDEX('Per Line'!$C$2:$C$1501,$X219)&amp;"")</f>
        <v/>
      </c>
      <c r="F219">
        <f>IF($X219="","",INDEX('Per Line'!$D$2:$D$1501,$X219)&amp;"")</f>
        <v/>
      </c>
      <c r="G219" s="15" t="n"/>
      <c r="H219" s="15" t="n"/>
      <c r="I219" s="15" t="n"/>
      <c r="J219" s="15" t="n"/>
      <c r="K219" s="14">
        <f>IF($X219="","",INDEX('Per Line'!$R$2:$R$1501,$X219))</f>
        <v/>
      </c>
      <c r="L219">
        <f>IF($X219="","",INDEX('Per Line'!$E$2:$E$1501,$X219))</f>
        <v/>
      </c>
      <c r="M219" s="7">
        <f>IF($X219="","",L219*U219/100)</f>
        <v/>
      </c>
      <c r="N219">
        <f>IF($X219="","",IF(ISNUMBER(SEARCH("3&amp;12",SUBSTITUTE(J219," ",""))),Settings!$G$7,Settings!$C$7))</f>
        <v/>
      </c>
      <c r="O219" s="7">
        <f>IF($X219="","",SUMIFS('Per Line'!$N$2:$N$1501,'Per Line'!$A$2:$A$1501,$B219,'Per Line'!$X$2:$X$1501,0))</f>
        <v/>
      </c>
      <c r="P219" s="7">
        <f>IF($X219="","",O219*N219)</f>
        <v/>
      </c>
      <c r="Q219">
        <f>IF($X219="","",IF(ISNUMBER(SEARCH("3&amp;12",SUBSTITUTE(J219," ",""))),Settings!$G$6,Settings!$C$6))</f>
        <v/>
      </c>
      <c r="R219" s="7">
        <f>IF($X219="","",SUMIFS('Per Line'!$N$2:$N$1501,'Per Line'!$A$2:$A$1501,$B219,'Per Line'!$X$2:$X$1501,1))</f>
        <v/>
      </c>
      <c r="S219" s="7">
        <f>IF($X219="","",R219*Q219)</f>
        <v/>
      </c>
      <c r="T219" s="7">
        <f>IF($X219="","",S219+P219)</f>
        <v/>
      </c>
      <c r="U219" s="7">
        <f>IF($X219="","",V219-T219)</f>
        <v/>
      </c>
      <c r="V219" s="7">
        <f>IF($X219="","",O219+R219)</f>
        <v/>
      </c>
      <c r="W219" s="7">
        <f>IF($X219="","",V219-T219-M219)</f>
        <v/>
      </c>
      <c r="X219" s="16">
        <f>IF(ROWS($X$2:$X219)&lt;=MAX('Per Line'!$W$2:$W$1501),MATCH(ROWS($X$2:$X219),'Per Line'!$W$2:$W$1501,0),"")</f>
        <v/>
      </c>
      <c r="Y219">
        <f>IF($X219="","",C219&amp;"|"&amp;COUNTIF($C$2:$C219,C219))</f>
        <v/>
      </c>
    </row>
    <row r="220">
      <c r="A220" s="15" t="n"/>
      <c r="B220">
        <f>IF($X220="","",INDEX('Per Line'!$A$2:$A$1501,$X220)&amp;"")</f>
        <v/>
      </c>
      <c r="C220">
        <f>IF($X220="","",IF(OR(TRIM(H220)="",TRIM(H220)="All",TRIM(H220)="All Comp"),TRIM(J220),TRIM(H220)))</f>
        <v/>
      </c>
      <c r="D220">
        <f>IF($X220="","",INDEX('Per Line'!$B$2:$B$1501,$X220)&amp;"")</f>
        <v/>
      </c>
      <c r="E220">
        <f>IF($X220="","",INDEX('Per Line'!$C$2:$C$1501,$X220)&amp;"")</f>
        <v/>
      </c>
      <c r="F220">
        <f>IF($X220="","",INDEX('Per Line'!$D$2:$D$1501,$X220)&amp;"")</f>
        <v/>
      </c>
      <c r="G220" s="15" t="n"/>
      <c r="H220" s="15" t="n"/>
      <c r="I220" s="15" t="n"/>
      <c r="J220" s="15" t="n"/>
      <c r="K220" s="14">
        <f>IF($X220="","",INDEX('Per Line'!$R$2:$R$1501,$X220))</f>
        <v/>
      </c>
      <c r="L220">
        <f>IF($X220="","",INDEX('Per Line'!$E$2:$E$1501,$X220))</f>
        <v/>
      </c>
      <c r="M220" s="7">
        <f>IF($X220="","",L220*U220/100)</f>
        <v/>
      </c>
      <c r="N220">
        <f>IF($X220="","",IF(ISNUMBER(SEARCH("3&amp;12",SUBSTITUTE(J220," ",""))),Settings!$G$7,Settings!$C$7))</f>
        <v/>
      </c>
      <c r="O220" s="7">
        <f>IF($X220="","",SUMIFS('Per Line'!$N$2:$N$1501,'Per Line'!$A$2:$A$1501,$B220,'Per Line'!$X$2:$X$1501,0))</f>
        <v/>
      </c>
      <c r="P220" s="7">
        <f>IF($X220="","",O220*N220)</f>
        <v/>
      </c>
      <c r="Q220">
        <f>IF($X220="","",IF(ISNUMBER(SEARCH("3&amp;12",SUBSTITUTE(J220," ",""))),Settings!$G$6,Settings!$C$6))</f>
        <v/>
      </c>
      <c r="R220" s="7">
        <f>IF($X220="","",SUMIFS('Per Line'!$N$2:$N$1501,'Per Line'!$A$2:$A$1501,$B220,'Per Line'!$X$2:$X$1501,1))</f>
        <v/>
      </c>
      <c r="S220" s="7">
        <f>IF($X220="","",R220*Q220)</f>
        <v/>
      </c>
      <c r="T220" s="7">
        <f>IF($X220="","",S220+P220)</f>
        <v/>
      </c>
      <c r="U220" s="7">
        <f>IF($X220="","",V220-T220)</f>
        <v/>
      </c>
      <c r="V220" s="7">
        <f>IF($X220="","",O220+R220)</f>
        <v/>
      </c>
      <c r="W220" s="7">
        <f>IF($X220="","",V220-T220-M220)</f>
        <v/>
      </c>
      <c r="X220" s="16">
        <f>IF(ROWS($X$2:$X220)&lt;=MAX('Per Line'!$W$2:$W$1501),MATCH(ROWS($X$2:$X220),'Per Line'!$W$2:$W$1501,0),"")</f>
        <v/>
      </c>
      <c r="Y220">
        <f>IF($X220="","",C220&amp;"|"&amp;COUNTIF($C$2:$C220,C220))</f>
        <v/>
      </c>
    </row>
    <row r="221">
      <c r="A221" s="15" t="n"/>
      <c r="B221">
        <f>IF($X221="","",INDEX('Per Line'!$A$2:$A$1501,$X221)&amp;"")</f>
        <v/>
      </c>
      <c r="C221">
        <f>IF($X221="","",IF(OR(TRIM(H221)="",TRIM(H221)="All",TRIM(H221)="All Comp"),TRIM(J221),TRIM(H221)))</f>
        <v/>
      </c>
      <c r="D221">
        <f>IF($X221="","",INDEX('Per Line'!$B$2:$B$1501,$X221)&amp;"")</f>
        <v/>
      </c>
      <c r="E221">
        <f>IF($X221="","",INDEX('Per Line'!$C$2:$C$1501,$X221)&amp;"")</f>
        <v/>
      </c>
      <c r="F221">
        <f>IF($X221="","",INDEX('Per Line'!$D$2:$D$1501,$X221)&amp;"")</f>
        <v/>
      </c>
      <c r="G221" s="15" t="n"/>
      <c r="H221" s="15" t="n"/>
      <c r="I221" s="15" t="n"/>
      <c r="J221" s="15" t="n"/>
      <c r="K221" s="14">
        <f>IF($X221="","",INDEX('Per Line'!$R$2:$R$1501,$X221))</f>
        <v/>
      </c>
      <c r="L221">
        <f>IF($X221="","",INDEX('Per Line'!$E$2:$E$1501,$X221))</f>
        <v/>
      </c>
      <c r="M221" s="7">
        <f>IF($X221="","",L221*U221/100)</f>
        <v/>
      </c>
      <c r="N221">
        <f>IF($X221="","",IF(ISNUMBER(SEARCH("3&amp;12",SUBSTITUTE(J221," ",""))),Settings!$G$7,Settings!$C$7))</f>
        <v/>
      </c>
      <c r="O221" s="7">
        <f>IF($X221="","",SUMIFS('Per Line'!$N$2:$N$1501,'Per Line'!$A$2:$A$1501,$B221,'Per Line'!$X$2:$X$1501,0))</f>
        <v/>
      </c>
      <c r="P221" s="7">
        <f>IF($X221="","",O221*N221)</f>
        <v/>
      </c>
      <c r="Q221">
        <f>IF($X221="","",IF(ISNUMBER(SEARCH("3&amp;12",SUBSTITUTE(J221," ",""))),Settings!$G$6,Settings!$C$6))</f>
        <v/>
      </c>
      <c r="R221" s="7">
        <f>IF($X221="","",SUMIFS('Per Line'!$N$2:$N$1501,'Per Line'!$A$2:$A$1501,$B221,'Per Line'!$X$2:$X$1501,1))</f>
        <v/>
      </c>
      <c r="S221" s="7">
        <f>IF($X221="","",R221*Q221)</f>
        <v/>
      </c>
      <c r="T221" s="7">
        <f>IF($X221="","",S221+P221)</f>
        <v/>
      </c>
      <c r="U221" s="7">
        <f>IF($X221="","",V221-T221)</f>
        <v/>
      </c>
      <c r="V221" s="7">
        <f>IF($X221="","",O221+R221)</f>
        <v/>
      </c>
      <c r="W221" s="7">
        <f>IF($X221="","",V221-T221-M221)</f>
        <v/>
      </c>
      <c r="X221" s="16">
        <f>IF(ROWS($X$2:$X221)&lt;=MAX('Per Line'!$W$2:$W$1501),MATCH(ROWS($X$2:$X221),'Per Line'!$W$2:$W$1501,0),"")</f>
        <v/>
      </c>
      <c r="Y221">
        <f>IF($X221="","",C221&amp;"|"&amp;COUNTIF($C$2:$C221,C221))</f>
        <v/>
      </c>
    </row>
    <row r="222">
      <c r="A222" s="15" t="n"/>
      <c r="B222">
        <f>IF($X222="","",INDEX('Per Line'!$A$2:$A$1501,$X222)&amp;"")</f>
        <v/>
      </c>
      <c r="C222">
        <f>IF($X222="","",IF(OR(TRIM(H222)="",TRIM(H222)="All",TRIM(H222)="All Comp"),TRIM(J222),TRIM(H222)))</f>
        <v/>
      </c>
      <c r="D222">
        <f>IF($X222="","",INDEX('Per Line'!$B$2:$B$1501,$X222)&amp;"")</f>
        <v/>
      </c>
      <c r="E222">
        <f>IF($X222="","",INDEX('Per Line'!$C$2:$C$1501,$X222)&amp;"")</f>
        <v/>
      </c>
      <c r="F222">
        <f>IF($X222="","",INDEX('Per Line'!$D$2:$D$1501,$X222)&amp;"")</f>
        <v/>
      </c>
      <c r="G222" s="15" t="n"/>
      <c r="H222" s="15" t="n"/>
      <c r="I222" s="15" t="n"/>
      <c r="J222" s="15" t="n"/>
      <c r="K222" s="14">
        <f>IF($X222="","",INDEX('Per Line'!$R$2:$R$1501,$X222))</f>
        <v/>
      </c>
      <c r="L222">
        <f>IF($X222="","",INDEX('Per Line'!$E$2:$E$1501,$X222))</f>
        <v/>
      </c>
      <c r="M222" s="7">
        <f>IF($X222="","",L222*U222/100)</f>
        <v/>
      </c>
      <c r="N222">
        <f>IF($X222="","",IF(ISNUMBER(SEARCH("3&amp;12",SUBSTITUTE(J222," ",""))),Settings!$G$7,Settings!$C$7))</f>
        <v/>
      </c>
      <c r="O222" s="7">
        <f>IF($X222="","",SUMIFS('Per Line'!$N$2:$N$1501,'Per Line'!$A$2:$A$1501,$B222,'Per Line'!$X$2:$X$1501,0))</f>
        <v/>
      </c>
      <c r="P222" s="7">
        <f>IF($X222="","",O222*N222)</f>
        <v/>
      </c>
      <c r="Q222">
        <f>IF($X222="","",IF(ISNUMBER(SEARCH("3&amp;12",SUBSTITUTE(J222," ",""))),Settings!$G$6,Settings!$C$6))</f>
        <v/>
      </c>
      <c r="R222" s="7">
        <f>IF($X222="","",SUMIFS('Per Line'!$N$2:$N$1501,'Per Line'!$A$2:$A$1501,$B222,'Per Line'!$X$2:$X$1501,1))</f>
        <v/>
      </c>
      <c r="S222" s="7">
        <f>IF($X222="","",R222*Q222)</f>
        <v/>
      </c>
      <c r="T222" s="7">
        <f>IF($X222="","",S222+P222)</f>
        <v/>
      </c>
      <c r="U222" s="7">
        <f>IF($X222="","",V222-T222)</f>
        <v/>
      </c>
      <c r="V222" s="7">
        <f>IF($X222="","",O222+R222)</f>
        <v/>
      </c>
      <c r="W222" s="7">
        <f>IF($X222="","",V222-T222-M222)</f>
        <v/>
      </c>
      <c r="X222" s="16">
        <f>IF(ROWS($X$2:$X222)&lt;=MAX('Per Line'!$W$2:$W$1501),MATCH(ROWS($X$2:$X222),'Per Line'!$W$2:$W$1501,0),"")</f>
        <v/>
      </c>
      <c r="Y222">
        <f>IF($X222="","",C222&amp;"|"&amp;COUNTIF($C$2:$C222,C222))</f>
        <v/>
      </c>
    </row>
    <row r="223">
      <c r="A223" s="15" t="n"/>
      <c r="B223">
        <f>IF($X223="","",INDEX('Per Line'!$A$2:$A$1501,$X223)&amp;"")</f>
        <v/>
      </c>
      <c r="C223">
        <f>IF($X223="","",IF(OR(TRIM(H223)="",TRIM(H223)="All",TRIM(H223)="All Comp"),TRIM(J223),TRIM(H223)))</f>
        <v/>
      </c>
      <c r="D223">
        <f>IF($X223="","",INDEX('Per Line'!$B$2:$B$1501,$X223)&amp;"")</f>
        <v/>
      </c>
      <c r="E223">
        <f>IF($X223="","",INDEX('Per Line'!$C$2:$C$1501,$X223)&amp;"")</f>
        <v/>
      </c>
      <c r="F223">
        <f>IF($X223="","",INDEX('Per Line'!$D$2:$D$1501,$X223)&amp;"")</f>
        <v/>
      </c>
      <c r="G223" s="15" t="n"/>
      <c r="H223" s="15" t="n"/>
      <c r="I223" s="15" t="n"/>
      <c r="J223" s="15" t="n"/>
      <c r="K223" s="14">
        <f>IF($X223="","",INDEX('Per Line'!$R$2:$R$1501,$X223))</f>
        <v/>
      </c>
      <c r="L223">
        <f>IF($X223="","",INDEX('Per Line'!$E$2:$E$1501,$X223))</f>
        <v/>
      </c>
      <c r="M223" s="7">
        <f>IF($X223="","",L223*U223/100)</f>
        <v/>
      </c>
      <c r="N223">
        <f>IF($X223="","",IF(ISNUMBER(SEARCH("3&amp;12",SUBSTITUTE(J223," ",""))),Settings!$G$7,Settings!$C$7))</f>
        <v/>
      </c>
      <c r="O223" s="7">
        <f>IF($X223="","",SUMIFS('Per Line'!$N$2:$N$1501,'Per Line'!$A$2:$A$1501,$B223,'Per Line'!$X$2:$X$1501,0))</f>
        <v/>
      </c>
      <c r="P223" s="7">
        <f>IF($X223="","",O223*N223)</f>
        <v/>
      </c>
      <c r="Q223">
        <f>IF($X223="","",IF(ISNUMBER(SEARCH("3&amp;12",SUBSTITUTE(J223," ",""))),Settings!$G$6,Settings!$C$6))</f>
        <v/>
      </c>
      <c r="R223" s="7">
        <f>IF($X223="","",SUMIFS('Per Line'!$N$2:$N$1501,'Per Line'!$A$2:$A$1501,$B223,'Per Line'!$X$2:$X$1501,1))</f>
        <v/>
      </c>
      <c r="S223" s="7">
        <f>IF($X223="","",R223*Q223)</f>
        <v/>
      </c>
      <c r="T223" s="7">
        <f>IF($X223="","",S223+P223)</f>
        <v/>
      </c>
      <c r="U223" s="7">
        <f>IF($X223="","",V223-T223)</f>
        <v/>
      </c>
      <c r="V223" s="7">
        <f>IF($X223="","",O223+R223)</f>
        <v/>
      </c>
      <c r="W223" s="7">
        <f>IF($X223="","",V223-T223-M223)</f>
        <v/>
      </c>
      <c r="X223" s="16">
        <f>IF(ROWS($X$2:$X223)&lt;=MAX('Per Line'!$W$2:$W$1501),MATCH(ROWS($X$2:$X223),'Per Line'!$W$2:$W$1501,0),"")</f>
        <v/>
      </c>
      <c r="Y223">
        <f>IF($X223="","",C223&amp;"|"&amp;COUNTIF($C$2:$C223,C223))</f>
        <v/>
      </c>
    </row>
    <row r="224">
      <c r="A224" s="15" t="n"/>
      <c r="B224">
        <f>IF($X224="","",INDEX('Per Line'!$A$2:$A$1501,$X224)&amp;"")</f>
        <v/>
      </c>
      <c r="C224">
        <f>IF($X224="","",IF(OR(TRIM(H224)="",TRIM(H224)="All",TRIM(H224)="All Comp"),TRIM(J224),TRIM(H224)))</f>
        <v/>
      </c>
      <c r="D224">
        <f>IF($X224="","",INDEX('Per Line'!$B$2:$B$1501,$X224)&amp;"")</f>
        <v/>
      </c>
      <c r="E224">
        <f>IF($X224="","",INDEX('Per Line'!$C$2:$C$1501,$X224)&amp;"")</f>
        <v/>
      </c>
      <c r="F224">
        <f>IF($X224="","",INDEX('Per Line'!$D$2:$D$1501,$X224)&amp;"")</f>
        <v/>
      </c>
      <c r="G224" s="15" t="n"/>
      <c r="H224" s="15" t="n"/>
      <c r="I224" s="15" t="n"/>
      <c r="J224" s="15" t="n"/>
      <c r="K224" s="14">
        <f>IF($X224="","",INDEX('Per Line'!$R$2:$R$1501,$X224))</f>
        <v/>
      </c>
      <c r="L224">
        <f>IF($X224="","",INDEX('Per Line'!$E$2:$E$1501,$X224))</f>
        <v/>
      </c>
      <c r="M224" s="7">
        <f>IF($X224="","",L224*U224/100)</f>
        <v/>
      </c>
      <c r="N224">
        <f>IF($X224="","",IF(ISNUMBER(SEARCH("3&amp;12",SUBSTITUTE(J224," ",""))),Settings!$G$7,Settings!$C$7))</f>
        <v/>
      </c>
      <c r="O224" s="7">
        <f>IF($X224="","",SUMIFS('Per Line'!$N$2:$N$1501,'Per Line'!$A$2:$A$1501,$B224,'Per Line'!$X$2:$X$1501,0))</f>
        <v/>
      </c>
      <c r="P224" s="7">
        <f>IF($X224="","",O224*N224)</f>
        <v/>
      </c>
      <c r="Q224">
        <f>IF($X224="","",IF(ISNUMBER(SEARCH("3&amp;12",SUBSTITUTE(J224," ",""))),Settings!$G$6,Settings!$C$6))</f>
        <v/>
      </c>
      <c r="R224" s="7">
        <f>IF($X224="","",SUMIFS('Per Line'!$N$2:$N$1501,'Per Line'!$A$2:$A$1501,$B224,'Per Line'!$X$2:$X$1501,1))</f>
        <v/>
      </c>
      <c r="S224" s="7">
        <f>IF($X224="","",R224*Q224)</f>
        <v/>
      </c>
      <c r="T224" s="7">
        <f>IF($X224="","",S224+P224)</f>
        <v/>
      </c>
      <c r="U224" s="7">
        <f>IF($X224="","",V224-T224)</f>
        <v/>
      </c>
      <c r="V224" s="7">
        <f>IF($X224="","",O224+R224)</f>
        <v/>
      </c>
      <c r="W224" s="7">
        <f>IF($X224="","",V224-T224-M224)</f>
        <v/>
      </c>
      <c r="X224" s="16">
        <f>IF(ROWS($X$2:$X224)&lt;=MAX('Per Line'!$W$2:$W$1501),MATCH(ROWS($X$2:$X224),'Per Line'!$W$2:$W$1501,0),"")</f>
        <v/>
      </c>
      <c r="Y224">
        <f>IF($X224="","",C224&amp;"|"&amp;COUNTIF($C$2:$C224,C224))</f>
        <v/>
      </c>
    </row>
    <row r="225">
      <c r="A225" s="15" t="n"/>
      <c r="B225">
        <f>IF($X225="","",INDEX('Per Line'!$A$2:$A$1501,$X225)&amp;"")</f>
        <v/>
      </c>
      <c r="C225">
        <f>IF($X225="","",IF(OR(TRIM(H225)="",TRIM(H225)="All",TRIM(H225)="All Comp"),TRIM(J225),TRIM(H225)))</f>
        <v/>
      </c>
      <c r="D225">
        <f>IF($X225="","",INDEX('Per Line'!$B$2:$B$1501,$X225)&amp;"")</f>
        <v/>
      </c>
      <c r="E225">
        <f>IF($X225="","",INDEX('Per Line'!$C$2:$C$1501,$X225)&amp;"")</f>
        <v/>
      </c>
      <c r="F225">
        <f>IF($X225="","",INDEX('Per Line'!$D$2:$D$1501,$X225)&amp;"")</f>
        <v/>
      </c>
      <c r="G225" s="15" t="n"/>
      <c r="H225" s="15" t="n"/>
      <c r="I225" s="15" t="n"/>
      <c r="J225" s="15" t="n"/>
      <c r="K225" s="14">
        <f>IF($X225="","",INDEX('Per Line'!$R$2:$R$1501,$X225))</f>
        <v/>
      </c>
      <c r="L225">
        <f>IF($X225="","",INDEX('Per Line'!$E$2:$E$1501,$X225))</f>
        <v/>
      </c>
      <c r="M225" s="7">
        <f>IF($X225="","",L225*U225/100)</f>
        <v/>
      </c>
      <c r="N225">
        <f>IF($X225="","",IF(ISNUMBER(SEARCH("3&amp;12",SUBSTITUTE(J225," ",""))),Settings!$G$7,Settings!$C$7))</f>
        <v/>
      </c>
      <c r="O225" s="7">
        <f>IF($X225="","",SUMIFS('Per Line'!$N$2:$N$1501,'Per Line'!$A$2:$A$1501,$B225,'Per Line'!$X$2:$X$1501,0))</f>
        <v/>
      </c>
      <c r="P225" s="7">
        <f>IF($X225="","",O225*N225)</f>
        <v/>
      </c>
      <c r="Q225">
        <f>IF($X225="","",IF(ISNUMBER(SEARCH("3&amp;12",SUBSTITUTE(J225," ",""))),Settings!$G$6,Settings!$C$6))</f>
        <v/>
      </c>
      <c r="R225" s="7">
        <f>IF($X225="","",SUMIFS('Per Line'!$N$2:$N$1501,'Per Line'!$A$2:$A$1501,$B225,'Per Line'!$X$2:$X$1501,1))</f>
        <v/>
      </c>
      <c r="S225" s="7">
        <f>IF($X225="","",R225*Q225)</f>
        <v/>
      </c>
      <c r="T225" s="7">
        <f>IF($X225="","",S225+P225)</f>
        <v/>
      </c>
      <c r="U225" s="7">
        <f>IF($X225="","",V225-T225)</f>
        <v/>
      </c>
      <c r="V225" s="7">
        <f>IF($X225="","",O225+R225)</f>
        <v/>
      </c>
      <c r="W225" s="7">
        <f>IF($X225="","",V225-T225-M225)</f>
        <v/>
      </c>
      <c r="X225" s="16">
        <f>IF(ROWS($X$2:$X225)&lt;=MAX('Per Line'!$W$2:$W$1501),MATCH(ROWS($X$2:$X225),'Per Line'!$W$2:$W$1501,0),"")</f>
        <v/>
      </c>
      <c r="Y225">
        <f>IF($X225="","",C225&amp;"|"&amp;COUNTIF($C$2:$C225,C225))</f>
        <v/>
      </c>
    </row>
    <row r="226">
      <c r="A226" s="15" t="n"/>
      <c r="B226">
        <f>IF($X226="","",INDEX('Per Line'!$A$2:$A$1501,$X226)&amp;"")</f>
        <v/>
      </c>
      <c r="C226">
        <f>IF($X226="","",IF(OR(TRIM(H226)="",TRIM(H226)="All",TRIM(H226)="All Comp"),TRIM(J226),TRIM(H226)))</f>
        <v/>
      </c>
      <c r="D226">
        <f>IF($X226="","",INDEX('Per Line'!$B$2:$B$1501,$X226)&amp;"")</f>
        <v/>
      </c>
      <c r="E226">
        <f>IF($X226="","",INDEX('Per Line'!$C$2:$C$1501,$X226)&amp;"")</f>
        <v/>
      </c>
      <c r="F226">
        <f>IF($X226="","",INDEX('Per Line'!$D$2:$D$1501,$X226)&amp;"")</f>
        <v/>
      </c>
      <c r="G226" s="15" t="n"/>
      <c r="H226" s="15" t="n"/>
      <c r="I226" s="15" t="n"/>
      <c r="J226" s="15" t="n"/>
      <c r="K226" s="14">
        <f>IF($X226="","",INDEX('Per Line'!$R$2:$R$1501,$X226))</f>
        <v/>
      </c>
      <c r="L226">
        <f>IF($X226="","",INDEX('Per Line'!$E$2:$E$1501,$X226))</f>
        <v/>
      </c>
      <c r="M226" s="7">
        <f>IF($X226="","",L226*U226/100)</f>
        <v/>
      </c>
      <c r="N226">
        <f>IF($X226="","",IF(ISNUMBER(SEARCH("3&amp;12",SUBSTITUTE(J226," ",""))),Settings!$G$7,Settings!$C$7))</f>
        <v/>
      </c>
      <c r="O226" s="7">
        <f>IF($X226="","",SUMIFS('Per Line'!$N$2:$N$1501,'Per Line'!$A$2:$A$1501,$B226,'Per Line'!$X$2:$X$1501,0))</f>
        <v/>
      </c>
      <c r="P226" s="7">
        <f>IF($X226="","",O226*N226)</f>
        <v/>
      </c>
      <c r="Q226">
        <f>IF($X226="","",IF(ISNUMBER(SEARCH("3&amp;12",SUBSTITUTE(J226," ",""))),Settings!$G$6,Settings!$C$6))</f>
        <v/>
      </c>
      <c r="R226" s="7">
        <f>IF($X226="","",SUMIFS('Per Line'!$N$2:$N$1501,'Per Line'!$A$2:$A$1501,$B226,'Per Line'!$X$2:$X$1501,1))</f>
        <v/>
      </c>
      <c r="S226" s="7">
        <f>IF($X226="","",R226*Q226)</f>
        <v/>
      </c>
      <c r="T226" s="7">
        <f>IF($X226="","",S226+P226)</f>
        <v/>
      </c>
      <c r="U226" s="7">
        <f>IF($X226="","",V226-T226)</f>
        <v/>
      </c>
      <c r="V226" s="7">
        <f>IF($X226="","",O226+R226)</f>
        <v/>
      </c>
      <c r="W226" s="7">
        <f>IF($X226="","",V226-T226-M226)</f>
        <v/>
      </c>
      <c r="X226" s="16">
        <f>IF(ROWS($X$2:$X226)&lt;=MAX('Per Line'!$W$2:$W$1501),MATCH(ROWS($X$2:$X226),'Per Line'!$W$2:$W$1501,0),"")</f>
        <v/>
      </c>
      <c r="Y226">
        <f>IF($X226="","",C226&amp;"|"&amp;COUNTIF($C$2:$C226,C226))</f>
        <v/>
      </c>
    </row>
    <row r="227">
      <c r="A227" s="15" t="n"/>
      <c r="B227">
        <f>IF($X227="","",INDEX('Per Line'!$A$2:$A$1501,$X227)&amp;"")</f>
        <v/>
      </c>
      <c r="C227">
        <f>IF($X227="","",IF(OR(TRIM(H227)="",TRIM(H227)="All",TRIM(H227)="All Comp"),TRIM(J227),TRIM(H227)))</f>
        <v/>
      </c>
      <c r="D227">
        <f>IF($X227="","",INDEX('Per Line'!$B$2:$B$1501,$X227)&amp;"")</f>
        <v/>
      </c>
      <c r="E227">
        <f>IF($X227="","",INDEX('Per Line'!$C$2:$C$1501,$X227)&amp;"")</f>
        <v/>
      </c>
      <c r="F227">
        <f>IF($X227="","",INDEX('Per Line'!$D$2:$D$1501,$X227)&amp;"")</f>
        <v/>
      </c>
      <c r="G227" s="15" t="n"/>
      <c r="H227" s="15" t="n"/>
      <c r="I227" s="15" t="n"/>
      <c r="J227" s="15" t="n"/>
      <c r="K227" s="14">
        <f>IF($X227="","",INDEX('Per Line'!$R$2:$R$1501,$X227))</f>
        <v/>
      </c>
      <c r="L227">
        <f>IF($X227="","",INDEX('Per Line'!$E$2:$E$1501,$X227))</f>
        <v/>
      </c>
      <c r="M227" s="7">
        <f>IF($X227="","",L227*U227/100)</f>
        <v/>
      </c>
      <c r="N227">
        <f>IF($X227="","",IF(ISNUMBER(SEARCH("3&amp;12",SUBSTITUTE(J227," ",""))),Settings!$G$7,Settings!$C$7))</f>
        <v/>
      </c>
      <c r="O227" s="7">
        <f>IF($X227="","",SUMIFS('Per Line'!$N$2:$N$1501,'Per Line'!$A$2:$A$1501,$B227,'Per Line'!$X$2:$X$1501,0))</f>
        <v/>
      </c>
      <c r="P227" s="7">
        <f>IF($X227="","",O227*N227)</f>
        <v/>
      </c>
      <c r="Q227">
        <f>IF($X227="","",IF(ISNUMBER(SEARCH("3&amp;12",SUBSTITUTE(J227," ",""))),Settings!$G$6,Settings!$C$6))</f>
        <v/>
      </c>
      <c r="R227" s="7">
        <f>IF($X227="","",SUMIFS('Per Line'!$N$2:$N$1501,'Per Line'!$A$2:$A$1501,$B227,'Per Line'!$X$2:$X$1501,1))</f>
        <v/>
      </c>
      <c r="S227" s="7">
        <f>IF($X227="","",R227*Q227)</f>
        <v/>
      </c>
      <c r="T227" s="7">
        <f>IF($X227="","",S227+P227)</f>
        <v/>
      </c>
      <c r="U227" s="7">
        <f>IF($X227="","",V227-T227)</f>
        <v/>
      </c>
      <c r="V227" s="7">
        <f>IF($X227="","",O227+R227)</f>
        <v/>
      </c>
      <c r="W227" s="7">
        <f>IF($X227="","",V227-T227-M227)</f>
        <v/>
      </c>
      <c r="X227" s="16">
        <f>IF(ROWS($X$2:$X227)&lt;=MAX('Per Line'!$W$2:$W$1501),MATCH(ROWS($X$2:$X227),'Per Line'!$W$2:$W$1501,0),"")</f>
        <v/>
      </c>
      <c r="Y227">
        <f>IF($X227="","",C227&amp;"|"&amp;COUNTIF($C$2:$C227,C227))</f>
        <v/>
      </c>
    </row>
    <row r="228">
      <c r="A228" s="15" t="n"/>
      <c r="B228">
        <f>IF($X228="","",INDEX('Per Line'!$A$2:$A$1501,$X228)&amp;"")</f>
        <v/>
      </c>
      <c r="C228">
        <f>IF($X228="","",IF(OR(TRIM(H228)="",TRIM(H228)="All",TRIM(H228)="All Comp"),TRIM(J228),TRIM(H228)))</f>
        <v/>
      </c>
      <c r="D228">
        <f>IF($X228="","",INDEX('Per Line'!$B$2:$B$1501,$X228)&amp;"")</f>
        <v/>
      </c>
      <c r="E228">
        <f>IF($X228="","",INDEX('Per Line'!$C$2:$C$1501,$X228)&amp;"")</f>
        <v/>
      </c>
      <c r="F228">
        <f>IF($X228="","",INDEX('Per Line'!$D$2:$D$1501,$X228)&amp;"")</f>
        <v/>
      </c>
      <c r="G228" s="15" t="n"/>
      <c r="H228" s="15" t="n"/>
      <c r="I228" s="15" t="n"/>
      <c r="J228" s="15" t="n"/>
      <c r="K228" s="14">
        <f>IF($X228="","",INDEX('Per Line'!$R$2:$R$1501,$X228))</f>
        <v/>
      </c>
      <c r="L228">
        <f>IF($X228="","",INDEX('Per Line'!$E$2:$E$1501,$X228))</f>
        <v/>
      </c>
      <c r="M228" s="7">
        <f>IF($X228="","",L228*U228/100)</f>
        <v/>
      </c>
      <c r="N228">
        <f>IF($X228="","",IF(ISNUMBER(SEARCH("3&amp;12",SUBSTITUTE(J228," ",""))),Settings!$G$7,Settings!$C$7))</f>
        <v/>
      </c>
      <c r="O228" s="7">
        <f>IF($X228="","",SUMIFS('Per Line'!$N$2:$N$1501,'Per Line'!$A$2:$A$1501,$B228,'Per Line'!$X$2:$X$1501,0))</f>
        <v/>
      </c>
      <c r="P228" s="7">
        <f>IF($X228="","",O228*N228)</f>
        <v/>
      </c>
      <c r="Q228">
        <f>IF($X228="","",IF(ISNUMBER(SEARCH("3&amp;12",SUBSTITUTE(J228," ",""))),Settings!$G$6,Settings!$C$6))</f>
        <v/>
      </c>
      <c r="R228" s="7">
        <f>IF($X228="","",SUMIFS('Per Line'!$N$2:$N$1501,'Per Line'!$A$2:$A$1501,$B228,'Per Line'!$X$2:$X$1501,1))</f>
        <v/>
      </c>
      <c r="S228" s="7">
        <f>IF($X228="","",R228*Q228)</f>
        <v/>
      </c>
      <c r="T228" s="7">
        <f>IF($X228="","",S228+P228)</f>
        <v/>
      </c>
      <c r="U228" s="7">
        <f>IF($X228="","",V228-T228)</f>
        <v/>
      </c>
      <c r="V228" s="7">
        <f>IF($X228="","",O228+R228)</f>
        <v/>
      </c>
      <c r="W228" s="7">
        <f>IF($X228="","",V228-T228-M228)</f>
        <v/>
      </c>
      <c r="X228" s="16">
        <f>IF(ROWS($X$2:$X228)&lt;=MAX('Per Line'!$W$2:$W$1501),MATCH(ROWS($X$2:$X228),'Per Line'!$W$2:$W$1501,0),"")</f>
        <v/>
      </c>
      <c r="Y228">
        <f>IF($X228="","",C228&amp;"|"&amp;COUNTIF($C$2:$C228,C228))</f>
        <v/>
      </c>
    </row>
    <row r="229">
      <c r="A229" s="15" t="n"/>
      <c r="B229">
        <f>IF($X229="","",INDEX('Per Line'!$A$2:$A$1501,$X229)&amp;"")</f>
        <v/>
      </c>
      <c r="C229">
        <f>IF($X229="","",IF(OR(TRIM(H229)="",TRIM(H229)="All",TRIM(H229)="All Comp"),TRIM(J229),TRIM(H229)))</f>
        <v/>
      </c>
      <c r="D229">
        <f>IF($X229="","",INDEX('Per Line'!$B$2:$B$1501,$X229)&amp;"")</f>
        <v/>
      </c>
      <c r="E229">
        <f>IF($X229="","",INDEX('Per Line'!$C$2:$C$1501,$X229)&amp;"")</f>
        <v/>
      </c>
      <c r="F229">
        <f>IF($X229="","",INDEX('Per Line'!$D$2:$D$1501,$X229)&amp;"")</f>
        <v/>
      </c>
      <c r="G229" s="15" t="n"/>
      <c r="H229" s="15" t="n"/>
      <c r="I229" s="15" t="n"/>
      <c r="J229" s="15" t="n"/>
      <c r="K229" s="14">
        <f>IF($X229="","",INDEX('Per Line'!$R$2:$R$1501,$X229))</f>
        <v/>
      </c>
      <c r="L229">
        <f>IF($X229="","",INDEX('Per Line'!$E$2:$E$1501,$X229))</f>
        <v/>
      </c>
      <c r="M229" s="7">
        <f>IF($X229="","",L229*U229/100)</f>
        <v/>
      </c>
      <c r="N229">
        <f>IF($X229="","",IF(ISNUMBER(SEARCH("3&amp;12",SUBSTITUTE(J229," ",""))),Settings!$G$7,Settings!$C$7))</f>
        <v/>
      </c>
      <c r="O229" s="7">
        <f>IF($X229="","",SUMIFS('Per Line'!$N$2:$N$1501,'Per Line'!$A$2:$A$1501,$B229,'Per Line'!$X$2:$X$1501,0))</f>
        <v/>
      </c>
      <c r="P229" s="7">
        <f>IF($X229="","",O229*N229)</f>
        <v/>
      </c>
      <c r="Q229">
        <f>IF($X229="","",IF(ISNUMBER(SEARCH("3&amp;12",SUBSTITUTE(J229," ",""))),Settings!$G$6,Settings!$C$6))</f>
        <v/>
      </c>
      <c r="R229" s="7">
        <f>IF($X229="","",SUMIFS('Per Line'!$N$2:$N$1501,'Per Line'!$A$2:$A$1501,$B229,'Per Line'!$X$2:$X$1501,1))</f>
        <v/>
      </c>
      <c r="S229" s="7">
        <f>IF($X229="","",R229*Q229)</f>
        <v/>
      </c>
      <c r="T229" s="7">
        <f>IF($X229="","",S229+P229)</f>
        <v/>
      </c>
      <c r="U229" s="7">
        <f>IF($X229="","",V229-T229)</f>
        <v/>
      </c>
      <c r="V229" s="7">
        <f>IF($X229="","",O229+R229)</f>
        <v/>
      </c>
      <c r="W229" s="7">
        <f>IF($X229="","",V229-T229-M229)</f>
        <v/>
      </c>
      <c r="X229" s="16">
        <f>IF(ROWS($X$2:$X229)&lt;=MAX('Per Line'!$W$2:$W$1501),MATCH(ROWS($X$2:$X229),'Per Line'!$W$2:$W$1501,0),"")</f>
        <v/>
      </c>
      <c r="Y229">
        <f>IF($X229="","",C229&amp;"|"&amp;COUNTIF($C$2:$C229,C229))</f>
        <v/>
      </c>
    </row>
    <row r="230">
      <c r="A230" s="15" t="n"/>
      <c r="B230">
        <f>IF($X230="","",INDEX('Per Line'!$A$2:$A$1501,$X230)&amp;"")</f>
        <v/>
      </c>
      <c r="C230">
        <f>IF($X230="","",IF(OR(TRIM(H230)="",TRIM(H230)="All",TRIM(H230)="All Comp"),TRIM(J230),TRIM(H230)))</f>
        <v/>
      </c>
      <c r="D230">
        <f>IF($X230="","",INDEX('Per Line'!$B$2:$B$1501,$X230)&amp;"")</f>
        <v/>
      </c>
      <c r="E230">
        <f>IF($X230="","",INDEX('Per Line'!$C$2:$C$1501,$X230)&amp;"")</f>
        <v/>
      </c>
      <c r="F230">
        <f>IF($X230="","",INDEX('Per Line'!$D$2:$D$1501,$X230)&amp;"")</f>
        <v/>
      </c>
      <c r="G230" s="15" t="n"/>
      <c r="H230" s="15" t="n"/>
      <c r="I230" s="15" t="n"/>
      <c r="J230" s="15" t="n"/>
      <c r="K230" s="14">
        <f>IF($X230="","",INDEX('Per Line'!$R$2:$R$1501,$X230))</f>
        <v/>
      </c>
      <c r="L230">
        <f>IF($X230="","",INDEX('Per Line'!$E$2:$E$1501,$X230))</f>
        <v/>
      </c>
      <c r="M230" s="7">
        <f>IF($X230="","",L230*U230/100)</f>
        <v/>
      </c>
      <c r="N230">
        <f>IF($X230="","",IF(ISNUMBER(SEARCH("3&amp;12",SUBSTITUTE(J230," ",""))),Settings!$G$7,Settings!$C$7))</f>
        <v/>
      </c>
      <c r="O230" s="7">
        <f>IF($X230="","",SUMIFS('Per Line'!$N$2:$N$1501,'Per Line'!$A$2:$A$1501,$B230,'Per Line'!$X$2:$X$1501,0))</f>
        <v/>
      </c>
      <c r="P230" s="7">
        <f>IF($X230="","",O230*N230)</f>
        <v/>
      </c>
      <c r="Q230">
        <f>IF($X230="","",IF(ISNUMBER(SEARCH("3&amp;12",SUBSTITUTE(J230," ",""))),Settings!$G$6,Settings!$C$6))</f>
        <v/>
      </c>
      <c r="R230" s="7">
        <f>IF($X230="","",SUMIFS('Per Line'!$N$2:$N$1501,'Per Line'!$A$2:$A$1501,$B230,'Per Line'!$X$2:$X$1501,1))</f>
        <v/>
      </c>
      <c r="S230" s="7">
        <f>IF($X230="","",R230*Q230)</f>
        <v/>
      </c>
      <c r="T230" s="7">
        <f>IF($X230="","",S230+P230)</f>
        <v/>
      </c>
      <c r="U230" s="7">
        <f>IF($X230="","",V230-T230)</f>
        <v/>
      </c>
      <c r="V230" s="7">
        <f>IF($X230="","",O230+R230)</f>
        <v/>
      </c>
      <c r="W230" s="7">
        <f>IF($X230="","",V230-T230-M230)</f>
        <v/>
      </c>
      <c r="X230" s="16">
        <f>IF(ROWS($X$2:$X230)&lt;=MAX('Per Line'!$W$2:$W$1501),MATCH(ROWS($X$2:$X230),'Per Line'!$W$2:$W$1501,0),"")</f>
        <v/>
      </c>
      <c r="Y230">
        <f>IF($X230="","",C230&amp;"|"&amp;COUNTIF($C$2:$C230,C230))</f>
        <v/>
      </c>
    </row>
    <row r="231">
      <c r="A231" s="15" t="n"/>
      <c r="B231">
        <f>IF($X231="","",INDEX('Per Line'!$A$2:$A$1501,$X231)&amp;"")</f>
        <v/>
      </c>
      <c r="C231">
        <f>IF($X231="","",IF(OR(TRIM(H231)="",TRIM(H231)="All",TRIM(H231)="All Comp"),TRIM(J231),TRIM(H231)))</f>
        <v/>
      </c>
      <c r="D231">
        <f>IF($X231="","",INDEX('Per Line'!$B$2:$B$1501,$X231)&amp;"")</f>
        <v/>
      </c>
      <c r="E231">
        <f>IF($X231="","",INDEX('Per Line'!$C$2:$C$1501,$X231)&amp;"")</f>
        <v/>
      </c>
      <c r="F231">
        <f>IF($X231="","",INDEX('Per Line'!$D$2:$D$1501,$X231)&amp;"")</f>
        <v/>
      </c>
      <c r="G231" s="15" t="n"/>
      <c r="H231" s="15" t="n"/>
      <c r="I231" s="15" t="n"/>
      <c r="J231" s="15" t="n"/>
      <c r="K231" s="14">
        <f>IF($X231="","",INDEX('Per Line'!$R$2:$R$1501,$X231))</f>
        <v/>
      </c>
      <c r="L231">
        <f>IF($X231="","",INDEX('Per Line'!$E$2:$E$1501,$X231))</f>
        <v/>
      </c>
      <c r="M231" s="7">
        <f>IF($X231="","",L231*U231/100)</f>
        <v/>
      </c>
      <c r="N231">
        <f>IF($X231="","",IF(ISNUMBER(SEARCH("3&amp;12",SUBSTITUTE(J231," ",""))),Settings!$G$7,Settings!$C$7))</f>
        <v/>
      </c>
      <c r="O231" s="7">
        <f>IF($X231="","",SUMIFS('Per Line'!$N$2:$N$1501,'Per Line'!$A$2:$A$1501,$B231,'Per Line'!$X$2:$X$1501,0))</f>
        <v/>
      </c>
      <c r="P231" s="7">
        <f>IF($X231="","",O231*N231)</f>
        <v/>
      </c>
      <c r="Q231">
        <f>IF($X231="","",IF(ISNUMBER(SEARCH("3&amp;12",SUBSTITUTE(J231," ",""))),Settings!$G$6,Settings!$C$6))</f>
        <v/>
      </c>
      <c r="R231" s="7">
        <f>IF($X231="","",SUMIFS('Per Line'!$N$2:$N$1501,'Per Line'!$A$2:$A$1501,$B231,'Per Line'!$X$2:$X$1501,1))</f>
        <v/>
      </c>
      <c r="S231" s="7">
        <f>IF($X231="","",R231*Q231)</f>
        <v/>
      </c>
      <c r="T231" s="7">
        <f>IF($X231="","",S231+P231)</f>
        <v/>
      </c>
      <c r="U231" s="7">
        <f>IF($X231="","",V231-T231)</f>
        <v/>
      </c>
      <c r="V231" s="7">
        <f>IF($X231="","",O231+R231)</f>
        <v/>
      </c>
      <c r="W231" s="7">
        <f>IF($X231="","",V231-T231-M231)</f>
        <v/>
      </c>
      <c r="X231" s="16">
        <f>IF(ROWS($X$2:$X231)&lt;=MAX('Per Line'!$W$2:$W$1501),MATCH(ROWS($X$2:$X231),'Per Line'!$W$2:$W$1501,0),"")</f>
        <v/>
      </c>
      <c r="Y231">
        <f>IF($X231="","",C231&amp;"|"&amp;COUNTIF($C$2:$C231,C231))</f>
        <v/>
      </c>
    </row>
    <row r="232">
      <c r="A232" s="15" t="n"/>
      <c r="B232">
        <f>IF($X232="","",INDEX('Per Line'!$A$2:$A$1501,$X232)&amp;"")</f>
        <v/>
      </c>
      <c r="C232">
        <f>IF($X232="","",IF(OR(TRIM(H232)="",TRIM(H232)="All",TRIM(H232)="All Comp"),TRIM(J232),TRIM(H232)))</f>
        <v/>
      </c>
      <c r="D232">
        <f>IF($X232="","",INDEX('Per Line'!$B$2:$B$1501,$X232)&amp;"")</f>
        <v/>
      </c>
      <c r="E232">
        <f>IF($X232="","",INDEX('Per Line'!$C$2:$C$1501,$X232)&amp;"")</f>
        <v/>
      </c>
      <c r="F232">
        <f>IF($X232="","",INDEX('Per Line'!$D$2:$D$1501,$X232)&amp;"")</f>
        <v/>
      </c>
      <c r="G232" s="15" t="n"/>
      <c r="H232" s="15" t="n"/>
      <c r="I232" s="15" t="n"/>
      <c r="J232" s="15" t="n"/>
      <c r="K232" s="14">
        <f>IF($X232="","",INDEX('Per Line'!$R$2:$R$1501,$X232))</f>
        <v/>
      </c>
      <c r="L232">
        <f>IF($X232="","",INDEX('Per Line'!$E$2:$E$1501,$X232))</f>
        <v/>
      </c>
      <c r="M232" s="7">
        <f>IF($X232="","",L232*U232/100)</f>
        <v/>
      </c>
      <c r="N232">
        <f>IF($X232="","",IF(ISNUMBER(SEARCH("3&amp;12",SUBSTITUTE(J232," ",""))),Settings!$G$7,Settings!$C$7))</f>
        <v/>
      </c>
      <c r="O232" s="7">
        <f>IF($X232="","",SUMIFS('Per Line'!$N$2:$N$1501,'Per Line'!$A$2:$A$1501,$B232,'Per Line'!$X$2:$X$1501,0))</f>
        <v/>
      </c>
      <c r="P232" s="7">
        <f>IF($X232="","",O232*N232)</f>
        <v/>
      </c>
      <c r="Q232">
        <f>IF($X232="","",IF(ISNUMBER(SEARCH("3&amp;12",SUBSTITUTE(J232," ",""))),Settings!$G$6,Settings!$C$6))</f>
        <v/>
      </c>
      <c r="R232" s="7">
        <f>IF($X232="","",SUMIFS('Per Line'!$N$2:$N$1501,'Per Line'!$A$2:$A$1501,$B232,'Per Line'!$X$2:$X$1501,1))</f>
        <v/>
      </c>
      <c r="S232" s="7">
        <f>IF($X232="","",R232*Q232)</f>
        <v/>
      </c>
      <c r="T232" s="7">
        <f>IF($X232="","",S232+P232)</f>
        <v/>
      </c>
      <c r="U232" s="7">
        <f>IF($X232="","",V232-T232)</f>
        <v/>
      </c>
      <c r="V232" s="7">
        <f>IF($X232="","",O232+R232)</f>
        <v/>
      </c>
      <c r="W232" s="7">
        <f>IF($X232="","",V232-T232-M232)</f>
        <v/>
      </c>
      <c r="X232" s="16">
        <f>IF(ROWS($X$2:$X232)&lt;=MAX('Per Line'!$W$2:$W$1501),MATCH(ROWS($X$2:$X232),'Per Line'!$W$2:$W$1501,0),"")</f>
        <v/>
      </c>
      <c r="Y232">
        <f>IF($X232="","",C232&amp;"|"&amp;COUNTIF($C$2:$C232,C232))</f>
        <v/>
      </c>
    </row>
    <row r="233">
      <c r="A233" s="15" t="n"/>
      <c r="B233">
        <f>IF($X233="","",INDEX('Per Line'!$A$2:$A$1501,$X233)&amp;"")</f>
        <v/>
      </c>
      <c r="C233">
        <f>IF($X233="","",IF(OR(TRIM(H233)="",TRIM(H233)="All",TRIM(H233)="All Comp"),TRIM(J233),TRIM(H233)))</f>
        <v/>
      </c>
      <c r="D233">
        <f>IF($X233="","",INDEX('Per Line'!$B$2:$B$1501,$X233)&amp;"")</f>
        <v/>
      </c>
      <c r="E233">
        <f>IF($X233="","",INDEX('Per Line'!$C$2:$C$1501,$X233)&amp;"")</f>
        <v/>
      </c>
      <c r="F233">
        <f>IF($X233="","",INDEX('Per Line'!$D$2:$D$1501,$X233)&amp;"")</f>
        <v/>
      </c>
      <c r="G233" s="15" t="n"/>
      <c r="H233" s="15" t="n"/>
      <c r="I233" s="15" t="n"/>
      <c r="J233" s="15" t="n"/>
      <c r="K233" s="14">
        <f>IF($X233="","",INDEX('Per Line'!$R$2:$R$1501,$X233))</f>
        <v/>
      </c>
      <c r="L233">
        <f>IF($X233="","",INDEX('Per Line'!$E$2:$E$1501,$X233))</f>
        <v/>
      </c>
      <c r="M233" s="7">
        <f>IF($X233="","",L233*U233/100)</f>
        <v/>
      </c>
      <c r="N233">
        <f>IF($X233="","",IF(ISNUMBER(SEARCH("3&amp;12",SUBSTITUTE(J233," ",""))),Settings!$G$7,Settings!$C$7))</f>
        <v/>
      </c>
      <c r="O233" s="7">
        <f>IF($X233="","",SUMIFS('Per Line'!$N$2:$N$1501,'Per Line'!$A$2:$A$1501,$B233,'Per Line'!$X$2:$X$1501,0))</f>
        <v/>
      </c>
      <c r="P233" s="7">
        <f>IF($X233="","",O233*N233)</f>
        <v/>
      </c>
      <c r="Q233">
        <f>IF($X233="","",IF(ISNUMBER(SEARCH("3&amp;12",SUBSTITUTE(J233," ",""))),Settings!$G$6,Settings!$C$6))</f>
        <v/>
      </c>
      <c r="R233" s="7">
        <f>IF($X233="","",SUMIFS('Per Line'!$N$2:$N$1501,'Per Line'!$A$2:$A$1501,$B233,'Per Line'!$X$2:$X$1501,1))</f>
        <v/>
      </c>
      <c r="S233" s="7">
        <f>IF($X233="","",R233*Q233)</f>
        <v/>
      </c>
      <c r="T233" s="7">
        <f>IF($X233="","",S233+P233)</f>
        <v/>
      </c>
      <c r="U233" s="7">
        <f>IF($X233="","",V233-T233)</f>
        <v/>
      </c>
      <c r="V233" s="7">
        <f>IF($X233="","",O233+R233)</f>
        <v/>
      </c>
      <c r="W233" s="7">
        <f>IF($X233="","",V233-T233-M233)</f>
        <v/>
      </c>
      <c r="X233" s="16">
        <f>IF(ROWS($X$2:$X233)&lt;=MAX('Per Line'!$W$2:$W$1501),MATCH(ROWS($X$2:$X233),'Per Line'!$W$2:$W$1501,0),"")</f>
        <v/>
      </c>
      <c r="Y233">
        <f>IF($X233="","",C233&amp;"|"&amp;COUNTIF($C$2:$C233,C233))</f>
        <v/>
      </c>
    </row>
    <row r="234">
      <c r="A234" s="15" t="n"/>
      <c r="B234">
        <f>IF($X234="","",INDEX('Per Line'!$A$2:$A$1501,$X234)&amp;"")</f>
        <v/>
      </c>
      <c r="C234">
        <f>IF($X234="","",IF(OR(TRIM(H234)="",TRIM(H234)="All",TRIM(H234)="All Comp"),TRIM(J234),TRIM(H234)))</f>
        <v/>
      </c>
      <c r="D234">
        <f>IF($X234="","",INDEX('Per Line'!$B$2:$B$1501,$X234)&amp;"")</f>
        <v/>
      </c>
      <c r="E234">
        <f>IF($X234="","",INDEX('Per Line'!$C$2:$C$1501,$X234)&amp;"")</f>
        <v/>
      </c>
      <c r="F234">
        <f>IF($X234="","",INDEX('Per Line'!$D$2:$D$1501,$X234)&amp;"")</f>
        <v/>
      </c>
      <c r="G234" s="15" t="n"/>
      <c r="H234" s="15" t="n"/>
      <c r="I234" s="15" t="n"/>
      <c r="J234" s="15" t="n"/>
      <c r="K234" s="14">
        <f>IF($X234="","",INDEX('Per Line'!$R$2:$R$1501,$X234))</f>
        <v/>
      </c>
      <c r="L234">
        <f>IF($X234="","",INDEX('Per Line'!$E$2:$E$1501,$X234))</f>
        <v/>
      </c>
      <c r="M234" s="7">
        <f>IF($X234="","",L234*U234/100)</f>
        <v/>
      </c>
      <c r="N234">
        <f>IF($X234="","",IF(ISNUMBER(SEARCH("3&amp;12",SUBSTITUTE(J234," ",""))),Settings!$G$7,Settings!$C$7))</f>
        <v/>
      </c>
      <c r="O234" s="7">
        <f>IF($X234="","",SUMIFS('Per Line'!$N$2:$N$1501,'Per Line'!$A$2:$A$1501,$B234,'Per Line'!$X$2:$X$1501,0))</f>
        <v/>
      </c>
      <c r="P234" s="7">
        <f>IF($X234="","",O234*N234)</f>
        <v/>
      </c>
      <c r="Q234">
        <f>IF($X234="","",IF(ISNUMBER(SEARCH("3&amp;12",SUBSTITUTE(J234," ",""))),Settings!$G$6,Settings!$C$6))</f>
        <v/>
      </c>
      <c r="R234" s="7">
        <f>IF($X234="","",SUMIFS('Per Line'!$N$2:$N$1501,'Per Line'!$A$2:$A$1501,$B234,'Per Line'!$X$2:$X$1501,1))</f>
        <v/>
      </c>
      <c r="S234" s="7">
        <f>IF($X234="","",R234*Q234)</f>
        <v/>
      </c>
      <c r="T234" s="7">
        <f>IF($X234="","",S234+P234)</f>
        <v/>
      </c>
      <c r="U234" s="7">
        <f>IF($X234="","",V234-T234)</f>
        <v/>
      </c>
      <c r="V234" s="7">
        <f>IF($X234="","",O234+R234)</f>
        <v/>
      </c>
      <c r="W234" s="7">
        <f>IF($X234="","",V234-T234-M234)</f>
        <v/>
      </c>
      <c r="X234" s="16">
        <f>IF(ROWS($X$2:$X234)&lt;=MAX('Per Line'!$W$2:$W$1501),MATCH(ROWS($X$2:$X234),'Per Line'!$W$2:$W$1501,0),"")</f>
        <v/>
      </c>
      <c r="Y234">
        <f>IF($X234="","",C234&amp;"|"&amp;COUNTIF($C$2:$C234,C234))</f>
        <v/>
      </c>
    </row>
    <row r="235">
      <c r="A235" s="15" t="n"/>
      <c r="B235">
        <f>IF($X235="","",INDEX('Per Line'!$A$2:$A$1501,$X235)&amp;"")</f>
        <v/>
      </c>
      <c r="C235">
        <f>IF($X235="","",IF(OR(TRIM(H235)="",TRIM(H235)="All",TRIM(H235)="All Comp"),TRIM(J235),TRIM(H235)))</f>
        <v/>
      </c>
      <c r="D235">
        <f>IF($X235="","",INDEX('Per Line'!$B$2:$B$1501,$X235)&amp;"")</f>
        <v/>
      </c>
      <c r="E235">
        <f>IF($X235="","",INDEX('Per Line'!$C$2:$C$1501,$X235)&amp;"")</f>
        <v/>
      </c>
      <c r="F235">
        <f>IF($X235="","",INDEX('Per Line'!$D$2:$D$1501,$X235)&amp;"")</f>
        <v/>
      </c>
      <c r="G235" s="15" t="n"/>
      <c r="H235" s="15" t="n"/>
      <c r="I235" s="15" t="n"/>
      <c r="J235" s="15" t="n"/>
      <c r="K235" s="14">
        <f>IF($X235="","",INDEX('Per Line'!$R$2:$R$1501,$X235))</f>
        <v/>
      </c>
      <c r="L235">
        <f>IF($X235="","",INDEX('Per Line'!$E$2:$E$1501,$X235))</f>
        <v/>
      </c>
      <c r="M235" s="7">
        <f>IF($X235="","",L235*U235/100)</f>
        <v/>
      </c>
      <c r="N235">
        <f>IF($X235="","",IF(ISNUMBER(SEARCH("3&amp;12",SUBSTITUTE(J235," ",""))),Settings!$G$7,Settings!$C$7))</f>
        <v/>
      </c>
      <c r="O235" s="7">
        <f>IF($X235="","",SUMIFS('Per Line'!$N$2:$N$1501,'Per Line'!$A$2:$A$1501,$B235,'Per Line'!$X$2:$X$1501,0))</f>
        <v/>
      </c>
      <c r="P235" s="7">
        <f>IF($X235="","",O235*N235)</f>
        <v/>
      </c>
      <c r="Q235">
        <f>IF($X235="","",IF(ISNUMBER(SEARCH("3&amp;12",SUBSTITUTE(J235," ",""))),Settings!$G$6,Settings!$C$6))</f>
        <v/>
      </c>
      <c r="R235" s="7">
        <f>IF($X235="","",SUMIFS('Per Line'!$N$2:$N$1501,'Per Line'!$A$2:$A$1501,$B235,'Per Line'!$X$2:$X$1501,1))</f>
        <v/>
      </c>
      <c r="S235" s="7">
        <f>IF($X235="","",R235*Q235)</f>
        <v/>
      </c>
      <c r="T235" s="7">
        <f>IF($X235="","",S235+P235)</f>
        <v/>
      </c>
      <c r="U235" s="7">
        <f>IF($X235="","",V235-T235)</f>
        <v/>
      </c>
      <c r="V235" s="7">
        <f>IF($X235="","",O235+R235)</f>
        <v/>
      </c>
      <c r="W235" s="7">
        <f>IF($X235="","",V235-T235-M235)</f>
        <v/>
      </c>
      <c r="X235" s="16">
        <f>IF(ROWS($X$2:$X235)&lt;=MAX('Per Line'!$W$2:$W$1501),MATCH(ROWS($X$2:$X235),'Per Line'!$W$2:$W$1501,0),"")</f>
        <v/>
      </c>
      <c r="Y235">
        <f>IF($X235="","",C235&amp;"|"&amp;COUNTIF($C$2:$C235,C235))</f>
        <v/>
      </c>
    </row>
    <row r="236">
      <c r="A236" s="15" t="n"/>
      <c r="B236">
        <f>IF($X236="","",INDEX('Per Line'!$A$2:$A$1501,$X236)&amp;"")</f>
        <v/>
      </c>
      <c r="C236">
        <f>IF($X236="","",IF(OR(TRIM(H236)="",TRIM(H236)="All",TRIM(H236)="All Comp"),TRIM(J236),TRIM(H236)))</f>
        <v/>
      </c>
      <c r="D236">
        <f>IF($X236="","",INDEX('Per Line'!$B$2:$B$1501,$X236)&amp;"")</f>
        <v/>
      </c>
      <c r="E236">
        <f>IF($X236="","",INDEX('Per Line'!$C$2:$C$1501,$X236)&amp;"")</f>
        <v/>
      </c>
      <c r="F236">
        <f>IF($X236="","",INDEX('Per Line'!$D$2:$D$1501,$X236)&amp;"")</f>
        <v/>
      </c>
      <c r="G236" s="15" t="n"/>
      <c r="H236" s="15" t="n"/>
      <c r="I236" s="15" t="n"/>
      <c r="J236" s="15" t="n"/>
      <c r="K236" s="14">
        <f>IF($X236="","",INDEX('Per Line'!$R$2:$R$1501,$X236))</f>
        <v/>
      </c>
      <c r="L236">
        <f>IF($X236="","",INDEX('Per Line'!$E$2:$E$1501,$X236))</f>
        <v/>
      </c>
      <c r="M236" s="7">
        <f>IF($X236="","",L236*U236/100)</f>
        <v/>
      </c>
      <c r="N236">
        <f>IF($X236="","",IF(ISNUMBER(SEARCH("3&amp;12",SUBSTITUTE(J236," ",""))),Settings!$G$7,Settings!$C$7))</f>
        <v/>
      </c>
      <c r="O236" s="7">
        <f>IF($X236="","",SUMIFS('Per Line'!$N$2:$N$1501,'Per Line'!$A$2:$A$1501,$B236,'Per Line'!$X$2:$X$1501,0))</f>
        <v/>
      </c>
      <c r="P236" s="7">
        <f>IF($X236="","",O236*N236)</f>
        <v/>
      </c>
      <c r="Q236">
        <f>IF($X236="","",IF(ISNUMBER(SEARCH("3&amp;12",SUBSTITUTE(J236," ",""))),Settings!$G$6,Settings!$C$6))</f>
        <v/>
      </c>
      <c r="R236" s="7">
        <f>IF($X236="","",SUMIFS('Per Line'!$N$2:$N$1501,'Per Line'!$A$2:$A$1501,$B236,'Per Line'!$X$2:$X$1501,1))</f>
        <v/>
      </c>
      <c r="S236" s="7">
        <f>IF($X236="","",R236*Q236)</f>
        <v/>
      </c>
      <c r="T236" s="7">
        <f>IF($X236="","",S236+P236)</f>
        <v/>
      </c>
      <c r="U236" s="7">
        <f>IF($X236="","",V236-T236)</f>
        <v/>
      </c>
      <c r="V236" s="7">
        <f>IF($X236="","",O236+R236)</f>
        <v/>
      </c>
      <c r="W236" s="7">
        <f>IF($X236="","",V236-T236-M236)</f>
        <v/>
      </c>
      <c r="X236" s="16">
        <f>IF(ROWS($X$2:$X236)&lt;=MAX('Per Line'!$W$2:$W$1501),MATCH(ROWS($X$2:$X236),'Per Line'!$W$2:$W$1501,0),"")</f>
        <v/>
      </c>
      <c r="Y236">
        <f>IF($X236="","",C236&amp;"|"&amp;COUNTIF($C$2:$C236,C236))</f>
        <v/>
      </c>
    </row>
    <row r="237">
      <c r="A237" s="15" t="n"/>
      <c r="B237">
        <f>IF($X237="","",INDEX('Per Line'!$A$2:$A$1501,$X237)&amp;"")</f>
        <v/>
      </c>
      <c r="C237">
        <f>IF($X237="","",IF(OR(TRIM(H237)="",TRIM(H237)="All",TRIM(H237)="All Comp"),TRIM(J237),TRIM(H237)))</f>
        <v/>
      </c>
      <c r="D237">
        <f>IF($X237="","",INDEX('Per Line'!$B$2:$B$1501,$X237)&amp;"")</f>
        <v/>
      </c>
      <c r="E237">
        <f>IF($X237="","",INDEX('Per Line'!$C$2:$C$1501,$X237)&amp;"")</f>
        <v/>
      </c>
      <c r="F237">
        <f>IF($X237="","",INDEX('Per Line'!$D$2:$D$1501,$X237)&amp;"")</f>
        <v/>
      </c>
      <c r="G237" s="15" t="n"/>
      <c r="H237" s="15" t="n"/>
      <c r="I237" s="15" t="n"/>
      <c r="J237" s="15" t="n"/>
      <c r="K237" s="14">
        <f>IF($X237="","",INDEX('Per Line'!$R$2:$R$1501,$X237))</f>
        <v/>
      </c>
      <c r="L237">
        <f>IF($X237="","",INDEX('Per Line'!$E$2:$E$1501,$X237))</f>
        <v/>
      </c>
      <c r="M237" s="7">
        <f>IF($X237="","",L237*U237/100)</f>
        <v/>
      </c>
      <c r="N237">
        <f>IF($X237="","",IF(ISNUMBER(SEARCH("3&amp;12",SUBSTITUTE(J237," ",""))),Settings!$G$7,Settings!$C$7))</f>
        <v/>
      </c>
      <c r="O237" s="7">
        <f>IF($X237="","",SUMIFS('Per Line'!$N$2:$N$1501,'Per Line'!$A$2:$A$1501,$B237,'Per Line'!$X$2:$X$1501,0))</f>
        <v/>
      </c>
      <c r="P237" s="7">
        <f>IF($X237="","",O237*N237)</f>
        <v/>
      </c>
      <c r="Q237">
        <f>IF($X237="","",IF(ISNUMBER(SEARCH("3&amp;12",SUBSTITUTE(J237," ",""))),Settings!$G$6,Settings!$C$6))</f>
        <v/>
      </c>
      <c r="R237" s="7">
        <f>IF($X237="","",SUMIFS('Per Line'!$N$2:$N$1501,'Per Line'!$A$2:$A$1501,$B237,'Per Line'!$X$2:$X$1501,1))</f>
        <v/>
      </c>
      <c r="S237" s="7">
        <f>IF($X237="","",R237*Q237)</f>
        <v/>
      </c>
      <c r="T237" s="7">
        <f>IF($X237="","",S237+P237)</f>
        <v/>
      </c>
      <c r="U237" s="7">
        <f>IF($X237="","",V237-T237)</f>
        <v/>
      </c>
      <c r="V237" s="7">
        <f>IF($X237="","",O237+R237)</f>
        <v/>
      </c>
      <c r="W237" s="7">
        <f>IF($X237="","",V237-T237-M237)</f>
        <v/>
      </c>
      <c r="X237" s="16">
        <f>IF(ROWS($X$2:$X237)&lt;=MAX('Per Line'!$W$2:$W$1501),MATCH(ROWS($X$2:$X237),'Per Line'!$W$2:$W$1501,0),"")</f>
        <v/>
      </c>
      <c r="Y237">
        <f>IF($X237="","",C237&amp;"|"&amp;COUNTIF($C$2:$C237,C237))</f>
        <v/>
      </c>
    </row>
    <row r="238">
      <c r="A238" s="15" t="n"/>
      <c r="B238">
        <f>IF($X238="","",INDEX('Per Line'!$A$2:$A$1501,$X238)&amp;"")</f>
        <v/>
      </c>
      <c r="C238">
        <f>IF($X238="","",IF(OR(TRIM(H238)="",TRIM(H238)="All",TRIM(H238)="All Comp"),TRIM(J238),TRIM(H238)))</f>
        <v/>
      </c>
      <c r="D238">
        <f>IF($X238="","",INDEX('Per Line'!$B$2:$B$1501,$X238)&amp;"")</f>
        <v/>
      </c>
      <c r="E238">
        <f>IF($X238="","",INDEX('Per Line'!$C$2:$C$1501,$X238)&amp;"")</f>
        <v/>
      </c>
      <c r="F238">
        <f>IF($X238="","",INDEX('Per Line'!$D$2:$D$1501,$X238)&amp;"")</f>
        <v/>
      </c>
      <c r="G238" s="15" t="n"/>
      <c r="H238" s="15" t="n"/>
      <c r="I238" s="15" t="n"/>
      <c r="J238" s="15" t="n"/>
      <c r="K238" s="14">
        <f>IF($X238="","",INDEX('Per Line'!$R$2:$R$1501,$X238))</f>
        <v/>
      </c>
      <c r="L238">
        <f>IF($X238="","",INDEX('Per Line'!$E$2:$E$1501,$X238))</f>
        <v/>
      </c>
      <c r="M238" s="7">
        <f>IF($X238="","",L238*U238/100)</f>
        <v/>
      </c>
      <c r="N238">
        <f>IF($X238="","",IF(ISNUMBER(SEARCH("3&amp;12",SUBSTITUTE(J238," ",""))),Settings!$G$7,Settings!$C$7))</f>
        <v/>
      </c>
      <c r="O238" s="7">
        <f>IF($X238="","",SUMIFS('Per Line'!$N$2:$N$1501,'Per Line'!$A$2:$A$1501,$B238,'Per Line'!$X$2:$X$1501,0))</f>
        <v/>
      </c>
      <c r="P238" s="7">
        <f>IF($X238="","",O238*N238)</f>
        <v/>
      </c>
      <c r="Q238">
        <f>IF($X238="","",IF(ISNUMBER(SEARCH("3&amp;12",SUBSTITUTE(J238," ",""))),Settings!$G$6,Settings!$C$6))</f>
        <v/>
      </c>
      <c r="R238" s="7">
        <f>IF($X238="","",SUMIFS('Per Line'!$N$2:$N$1501,'Per Line'!$A$2:$A$1501,$B238,'Per Line'!$X$2:$X$1501,1))</f>
        <v/>
      </c>
      <c r="S238" s="7">
        <f>IF($X238="","",R238*Q238)</f>
        <v/>
      </c>
      <c r="T238" s="7">
        <f>IF($X238="","",S238+P238)</f>
        <v/>
      </c>
      <c r="U238" s="7">
        <f>IF($X238="","",V238-T238)</f>
        <v/>
      </c>
      <c r="V238" s="7">
        <f>IF($X238="","",O238+R238)</f>
        <v/>
      </c>
      <c r="W238" s="7">
        <f>IF($X238="","",V238-T238-M238)</f>
        <v/>
      </c>
      <c r="X238" s="16">
        <f>IF(ROWS($X$2:$X238)&lt;=MAX('Per Line'!$W$2:$W$1501),MATCH(ROWS($X$2:$X238),'Per Line'!$W$2:$W$1501,0),"")</f>
        <v/>
      </c>
      <c r="Y238">
        <f>IF($X238="","",C238&amp;"|"&amp;COUNTIF($C$2:$C238,C238))</f>
        <v/>
      </c>
    </row>
    <row r="239">
      <c r="A239" s="15" t="n"/>
      <c r="B239">
        <f>IF($X239="","",INDEX('Per Line'!$A$2:$A$1501,$X239)&amp;"")</f>
        <v/>
      </c>
      <c r="C239">
        <f>IF($X239="","",IF(OR(TRIM(H239)="",TRIM(H239)="All",TRIM(H239)="All Comp"),TRIM(J239),TRIM(H239)))</f>
        <v/>
      </c>
      <c r="D239">
        <f>IF($X239="","",INDEX('Per Line'!$B$2:$B$1501,$X239)&amp;"")</f>
        <v/>
      </c>
      <c r="E239">
        <f>IF($X239="","",INDEX('Per Line'!$C$2:$C$1501,$X239)&amp;"")</f>
        <v/>
      </c>
      <c r="F239">
        <f>IF($X239="","",INDEX('Per Line'!$D$2:$D$1501,$X239)&amp;"")</f>
        <v/>
      </c>
      <c r="G239" s="15" t="n"/>
      <c r="H239" s="15" t="n"/>
      <c r="I239" s="15" t="n"/>
      <c r="J239" s="15" t="n"/>
      <c r="K239" s="14">
        <f>IF($X239="","",INDEX('Per Line'!$R$2:$R$1501,$X239))</f>
        <v/>
      </c>
      <c r="L239">
        <f>IF($X239="","",INDEX('Per Line'!$E$2:$E$1501,$X239))</f>
        <v/>
      </c>
      <c r="M239" s="7">
        <f>IF($X239="","",L239*U239/100)</f>
        <v/>
      </c>
      <c r="N239">
        <f>IF($X239="","",IF(ISNUMBER(SEARCH("3&amp;12",SUBSTITUTE(J239," ",""))),Settings!$G$7,Settings!$C$7))</f>
        <v/>
      </c>
      <c r="O239" s="7">
        <f>IF($X239="","",SUMIFS('Per Line'!$N$2:$N$1501,'Per Line'!$A$2:$A$1501,$B239,'Per Line'!$X$2:$X$1501,0))</f>
        <v/>
      </c>
      <c r="P239" s="7">
        <f>IF($X239="","",O239*N239)</f>
        <v/>
      </c>
      <c r="Q239">
        <f>IF($X239="","",IF(ISNUMBER(SEARCH("3&amp;12",SUBSTITUTE(J239," ",""))),Settings!$G$6,Settings!$C$6))</f>
        <v/>
      </c>
      <c r="R239" s="7">
        <f>IF($X239="","",SUMIFS('Per Line'!$N$2:$N$1501,'Per Line'!$A$2:$A$1501,$B239,'Per Line'!$X$2:$X$1501,1))</f>
        <v/>
      </c>
      <c r="S239" s="7">
        <f>IF($X239="","",R239*Q239)</f>
        <v/>
      </c>
      <c r="T239" s="7">
        <f>IF($X239="","",S239+P239)</f>
        <v/>
      </c>
      <c r="U239" s="7">
        <f>IF($X239="","",V239-T239)</f>
        <v/>
      </c>
      <c r="V239" s="7">
        <f>IF($X239="","",O239+R239)</f>
        <v/>
      </c>
      <c r="W239" s="7">
        <f>IF($X239="","",V239-T239-M239)</f>
        <v/>
      </c>
      <c r="X239" s="16">
        <f>IF(ROWS($X$2:$X239)&lt;=MAX('Per Line'!$W$2:$W$1501),MATCH(ROWS($X$2:$X239),'Per Line'!$W$2:$W$1501,0),"")</f>
        <v/>
      </c>
      <c r="Y239">
        <f>IF($X239="","",C239&amp;"|"&amp;COUNTIF($C$2:$C239,C239))</f>
        <v/>
      </c>
    </row>
    <row r="240">
      <c r="A240" s="15" t="n"/>
      <c r="B240">
        <f>IF($X240="","",INDEX('Per Line'!$A$2:$A$1501,$X240)&amp;"")</f>
        <v/>
      </c>
      <c r="C240">
        <f>IF($X240="","",IF(OR(TRIM(H240)="",TRIM(H240)="All",TRIM(H240)="All Comp"),TRIM(J240),TRIM(H240)))</f>
        <v/>
      </c>
      <c r="D240">
        <f>IF($X240="","",INDEX('Per Line'!$B$2:$B$1501,$X240)&amp;"")</f>
        <v/>
      </c>
      <c r="E240">
        <f>IF($X240="","",INDEX('Per Line'!$C$2:$C$1501,$X240)&amp;"")</f>
        <v/>
      </c>
      <c r="F240">
        <f>IF($X240="","",INDEX('Per Line'!$D$2:$D$1501,$X240)&amp;"")</f>
        <v/>
      </c>
      <c r="G240" s="15" t="n"/>
      <c r="H240" s="15" t="n"/>
      <c r="I240" s="15" t="n"/>
      <c r="J240" s="15" t="n"/>
      <c r="K240" s="14">
        <f>IF($X240="","",INDEX('Per Line'!$R$2:$R$1501,$X240))</f>
        <v/>
      </c>
      <c r="L240">
        <f>IF($X240="","",INDEX('Per Line'!$E$2:$E$1501,$X240))</f>
        <v/>
      </c>
      <c r="M240" s="7">
        <f>IF($X240="","",L240*U240/100)</f>
        <v/>
      </c>
      <c r="N240">
        <f>IF($X240="","",IF(ISNUMBER(SEARCH("3&amp;12",SUBSTITUTE(J240," ",""))),Settings!$G$7,Settings!$C$7))</f>
        <v/>
      </c>
      <c r="O240" s="7">
        <f>IF($X240="","",SUMIFS('Per Line'!$N$2:$N$1501,'Per Line'!$A$2:$A$1501,$B240,'Per Line'!$X$2:$X$1501,0))</f>
        <v/>
      </c>
      <c r="P240" s="7">
        <f>IF($X240="","",O240*N240)</f>
        <v/>
      </c>
      <c r="Q240">
        <f>IF($X240="","",IF(ISNUMBER(SEARCH("3&amp;12",SUBSTITUTE(J240," ",""))),Settings!$G$6,Settings!$C$6))</f>
        <v/>
      </c>
      <c r="R240" s="7">
        <f>IF($X240="","",SUMIFS('Per Line'!$N$2:$N$1501,'Per Line'!$A$2:$A$1501,$B240,'Per Line'!$X$2:$X$1501,1))</f>
        <v/>
      </c>
      <c r="S240" s="7">
        <f>IF($X240="","",R240*Q240)</f>
        <v/>
      </c>
      <c r="T240" s="7">
        <f>IF($X240="","",S240+P240)</f>
        <v/>
      </c>
      <c r="U240" s="7">
        <f>IF($X240="","",V240-T240)</f>
        <v/>
      </c>
      <c r="V240" s="7">
        <f>IF($X240="","",O240+R240)</f>
        <v/>
      </c>
      <c r="W240" s="7">
        <f>IF($X240="","",V240-T240-M240)</f>
        <v/>
      </c>
      <c r="X240" s="16">
        <f>IF(ROWS($X$2:$X240)&lt;=MAX('Per Line'!$W$2:$W$1501),MATCH(ROWS($X$2:$X240),'Per Line'!$W$2:$W$1501,0),"")</f>
        <v/>
      </c>
      <c r="Y240">
        <f>IF($X240="","",C240&amp;"|"&amp;COUNTIF($C$2:$C240,C240))</f>
        <v/>
      </c>
    </row>
    <row r="241">
      <c r="A241" s="15" t="n"/>
      <c r="B241">
        <f>IF($X241="","",INDEX('Per Line'!$A$2:$A$1501,$X241)&amp;"")</f>
        <v/>
      </c>
      <c r="C241">
        <f>IF($X241="","",IF(OR(TRIM(H241)="",TRIM(H241)="All",TRIM(H241)="All Comp"),TRIM(J241),TRIM(H241)))</f>
        <v/>
      </c>
      <c r="D241">
        <f>IF($X241="","",INDEX('Per Line'!$B$2:$B$1501,$X241)&amp;"")</f>
        <v/>
      </c>
      <c r="E241">
        <f>IF($X241="","",INDEX('Per Line'!$C$2:$C$1501,$X241)&amp;"")</f>
        <v/>
      </c>
      <c r="F241">
        <f>IF($X241="","",INDEX('Per Line'!$D$2:$D$1501,$X241)&amp;"")</f>
        <v/>
      </c>
      <c r="G241" s="15" t="n"/>
      <c r="H241" s="15" t="n"/>
      <c r="I241" s="15" t="n"/>
      <c r="J241" s="15" t="n"/>
      <c r="K241" s="14">
        <f>IF($X241="","",INDEX('Per Line'!$R$2:$R$1501,$X241))</f>
        <v/>
      </c>
      <c r="L241">
        <f>IF($X241="","",INDEX('Per Line'!$E$2:$E$1501,$X241))</f>
        <v/>
      </c>
      <c r="M241" s="7">
        <f>IF($X241="","",L241*U241/100)</f>
        <v/>
      </c>
      <c r="N241">
        <f>IF($X241="","",IF(ISNUMBER(SEARCH("3&amp;12",SUBSTITUTE(J241," ",""))),Settings!$G$7,Settings!$C$7))</f>
        <v/>
      </c>
      <c r="O241" s="7">
        <f>IF($X241="","",SUMIFS('Per Line'!$N$2:$N$1501,'Per Line'!$A$2:$A$1501,$B241,'Per Line'!$X$2:$X$1501,0))</f>
        <v/>
      </c>
      <c r="P241" s="7">
        <f>IF($X241="","",O241*N241)</f>
        <v/>
      </c>
      <c r="Q241">
        <f>IF($X241="","",IF(ISNUMBER(SEARCH("3&amp;12",SUBSTITUTE(J241," ",""))),Settings!$G$6,Settings!$C$6))</f>
        <v/>
      </c>
      <c r="R241" s="7">
        <f>IF($X241="","",SUMIFS('Per Line'!$N$2:$N$1501,'Per Line'!$A$2:$A$1501,$B241,'Per Line'!$X$2:$X$1501,1))</f>
        <v/>
      </c>
      <c r="S241" s="7">
        <f>IF($X241="","",R241*Q241)</f>
        <v/>
      </c>
      <c r="T241" s="7">
        <f>IF($X241="","",S241+P241)</f>
        <v/>
      </c>
      <c r="U241" s="7">
        <f>IF($X241="","",V241-T241)</f>
        <v/>
      </c>
      <c r="V241" s="7">
        <f>IF($X241="","",O241+R241)</f>
        <v/>
      </c>
      <c r="W241" s="7">
        <f>IF($X241="","",V241-T241-M241)</f>
        <v/>
      </c>
      <c r="X241" s="16">
        <f>IF(ROWS($X$2:$X241)&lt;=MAX('Per Line'!$W$2:$W$1501),MATCH(ROWS($X$2:$X241),'Per Line'!$W$2:$W$1501,0),"")</f>
        <v/>
      </c>
      <c r="Y241">
        <f>IF($X241="","",C241&amp;"|"&amp;COUNTIF($C$2:$C241,C241))</f>
        <v/>
      </c>
    </row>
    <row r="242">
      <c r="A242" s="15" t="n"/>
      <c r="B242">
        <f>IF($X242="","",INDEX('Per Line'!$A$2:$A$1501,$X242)&amp;"")</f>
        <v/>
      </c>
      <c r="C242">
        <f>IF($X242="","",IF(OR(TRIM(H242)="",TRIM(H242)="All",TRIM(H242)="All Comp"),TRIM(J242),TRIM(H242)))</f>
        <v/>
      </c>
      <c r="D242">
        <f>IF($X242="","",INDEX('Per Line'!$B$2:$B$1501,$X242)&amp;"")</f>
        <v/>
      </c>
      <c r="E242">
        <f>IF($X242="","",INDEX('Per Line'!$C$2:$C$1501,$X242)&amp;"")</f>
        <v/>
      </c>
      <c r="F242">
        <f>IF($X242="","",INDEX('Per Line'!$D$2:$D$1501,$X242)&amp;"")</f>
        <v/>
      </c>
      <c r="G242" s="15" t="n"/>
      <c r="H242" s="15" t="n"/>
      <c r="I242" s="15" t="n"/>
      <c r="J242" s="15" t="n"/>
      <c r="K242" s="14">
        <f>IF($X242="","",INDEX('Per Line'!$R$2:$R$1501,$X242))</f>
        <v/>
      </c>
      <c r="L242">
        <f>IF($X242="","",INDEX('Per Line'!$E$2:$E$1501,$X242))</f>
        <v/>
      </c>
      <c r="M242" s="7">
        <f>IF($X242="","",L242*U242/100)</f>
        <v/>
      </c>
      <c r="N242">
        <f>IF($X242="","",IF(ISNUMBER(SEARCH("3&amp;12",SUBSTITUTE(J242," ",""))),Settings!$G$7,Settings!$C$7))</f>
        <v/>
      </c>
      <c r="O242" s="7">
        <f>IF($X242="","",SUMIFS('Per Line'!$N$2:$N$1501,'Per Line'!$A$2:$A$1501,$B242,'Per Line'!$X$2:$X$1501,0))</f>
        <v/>
      </c>
      <c r="P242" s="7">
        <f>IF($X242="","",O242*N242)</f>
        <v/>
      </c>
      <c r="Q242">
        <f>IF($X242="","",IF(ISNUMBER(SEARCH("3&amp;12",SUBSTITUTE(J242," ",""))),Settings!$G$6,Settings!$C$6))</f>
        <v/>
      </c>
      <c r="R242" s="7">
        <f>IF($X242="","",SUMIFS('Per Line'!$N$2:$N$1501,'Per Line'!$A$2:$A$1501,$B242,'Per Line'!$X$2:$X$1501,1))</f>
        <v/>
      </c>
      <c r="S242" s="7">
        <f>IF($X242="","",R242*Q242)</f>
        <v/>
      </c>
      <c r="T242" s="7">
        <f>IF($X242="","",S242+P242)</f>
        <v/>
      </c>
      <c r="U242" s="7">
        <f>IF($X242="","",V242-T242)</f>
        <v/>
      </c>
      <c r="V242" s="7">
        <f>IF($X242="","",O242+R242)</f>
        <v/>
      </c>
      <c r="W242" s="7">
        <f>IF($X242="","",V242-T242-M242)</f>
        <v/>
      </c>
      <c r="X242" s="16">
        <f>IF(ROWS($X$2:$X242)&lt;=MAX('Per Line'!$W$2:$W$1501),MATCH(ROWS($X$2:$X242),'Per Line'!$W$2:$W$1501,0),"")</f>
        <v/>
      </c>
      <c r="Y242">
        <f>IF($X242="","",C242&amp;"|"&amp;COUNTIF($C$2:$C242,C242))</f>
        <v/>
      </c>
    </row>
    <row r="243">
      <c r="A243" s="15" t="n"/>
      <c r="B243">
        <f>IF($X243="","",INDEX('Per Line'!$A$2:$A$1501,$X243)&amp;"")</f>
        <v/>
      </c>
      <c r="C243">
        <f>IF($X243="","",IF(OR(TRIM(H243)="",TRIM(H243)="All",TRIM(H243)="All Comp"),TRIM(J243),TRIM(H243)))</f>
        <v/>
      </c>
      <c r="D243">
        <f>IF($X243="","",INDEX('Per Line'!$B$2:$B$1501,$X243)&amp;"")</f>
        <v/>
      </c>
      <c r="E243">
        <f>IF($X243="","",INDEX('Per Line'!$C$2:$C$1501,$X243)&amp;"")</f>
        <v/>
      </c>
      <c r="F243">
        <f>IF($X243="","",INDEX('Per Line'!$D$2:$D$1501,$X243)&amp;"")</f>
        <v/>
      </c>
      <c r="G243" s="15" t="n"/>
      <c r="H243" s="15" t="n"/>
      <c r="I243" s="15" t="n"/>
      <c r="J243" s="15" t="n"/>
      <c r="K243" s="14">
        <f>IF($X243="","",INDEX('Per Line'!$R$2:$R$1501,$X243))</f>
        <v/>
      </c>
      <c r="L243">
        <f>IF($X243="","",INDEX('Per Line'!$E$2:$E$1501,$X243))</f>
        <v/>
      </c>
      <c r="M243" s="7">
        <f>IF($X243="","",L243*U243/100)</f>
        <v/>
      </c>
      <c r="N243">
        <f>IF($X243="","",IF(ISNUMBER(SEARCH("3&amp;12",SUBSTITUTE(J243," ",""))),Settings!$G$7,Settings!$C$7))</f>
        <v/>
      </c>
      <c r="O243" s="7">
        <f>IF($X243="","",SUMIFS('Per Line'!$N$2:$N$1501,'Per Line'!$A$2:$A$1501,$B243,'Per Line'!$X$2:$X$1501,0))</f>
        <v/>
      </c>
      <c r="P243" s="7">
        <f>IF($X243="","",O243*N243)</f>
        <v/>
      </c>
      <c r="Q243">
        <f>IF($X243="","",IF(ISNUMBER(SEARCH("3&amp;12",SUBSTITUTE(J243," ",""))),Settings!$G$6,Settings!$C$6))</f>
        <v/>
      </c>
      <c r="R243" s="7">
        <f>IF($X243="","",SUMIFS('Per Line'!$N$2:$N$1501,'Per Line'!$A$2:$A$1501,$B243,'Per Line'!$X$2:$X$1501,1))</f>
        <v/>
      </c>
      <c r="S243" s="7">
        <f>IF($X243="","",R243*Q243)</f>
        <v/>
      </c>
      <c r="T243" s="7">
        <f>IF($X243="","",S243+P243)</f>
        <v/>
      </c>
      <c r="U243" s="7">
        <f>IF($X243="","",V243-T243)</f>
        <v/>
      </c>
      <c r="V243" s="7">
        <f>IF($X243="","",O243+R243)</f>
        <v/>
      </c>
      <c r="W243" s="7">
        <f>IF($X243="","",V243-T243-M243)</f>
        <v/>
      </c>
      <c r="X243" s="16">
        <f>IF(ROWS($X$2:$X243)&lt;=MAX('Per Line'!$W$2:$W$1501),MATCH(ROWS($X$2:$X243),'Per Line'!$W$2:$W$1501,0),"")</f>
        <v/>
      </c>
      <c r="Y243">
        <f>IF($X243="","",C243&amp;"|"&amp;COUNTIF($C$2:$C243,C243))</f>
        <v/>
      </c>
    </row>
    <row r="244">
      <c r="A244" s="15" t="n"/>
      <c r="B244">
        <f>IF($X244="","",INDEX('Per Line'!$A$2:$A$1501,$X244)&amp;"")</f>
        <v/>
      </c>
      <c r="C244">
        <f>IF($X244="","",IF(OR(TRIM(H244)="",TRIM(H244)="All",TRIM(H244)="All Comp"),TRIM(J244),TRIM(H244)))</f>
        <v/>
      </c>
      <c r="D244">
        <f>IF($X244="","",INDEX('Per Line'!$B$2:$B$1501,$X244)&amp;"")</f>
        <v/>
      </c>
      <c r="E244">
        <f>IF($X244="","",INDEX('Per Line'!$C$2:$C$1501,$X244)&amp;"")</f>
        <v/>
      </c>
      <c r="F244">
        <f>IF($X244="","",INDEX('Per Line'!$D$2:$D$1501,$X244)&amp;"")</f>
        <v/>
      </c>
      <c r="G244" s="15" t="n"/>
      <c r="H244" s="15" t="n"/>
      <c r="I244" s="15" t="n"/>
      <c r="J244" s="15" t="n"/>
      <c r="K244" s="14">
        <f>IF($X244="","",INDEX('Per Line'!$R$2:$R$1501,$X244))</f>
        <v/>
      </c>
      <c r="L244">
        <f>IF($X244="","",INDEX('Per Line'!$E$2:$E$1501,$X244))</f>
        <v/>
      </c>
      <c r="M244" s="7">
        <f>IF($X244="","",L244*U244/100)</f>
        <v/>
      </c>
      <c r="N244">
        <f>IF($X244="","",IF(ISNUMBER(SEARCH("3&amp;12",SUBSTITUTE(J244," ",""))),Settings!$G$7,Settings!$C$7))</f>
        <v/>
      </c>
      <c r="O244" s="7">
        <f>IF($X244="","",SUMIFS('Per Line'!$N$2:$N$1501,'Per Line'!$A$2:$A$1501,$B244,'Per Line'!$X$2:$X$1501,0))</f>
        <v/>
      </c>
      <c r="P244" s="7">
        <f>IF($X244="","",O244*N244)</f>
        <v/>
      </c>
      <c r="Q244">
        <f>IF($X244="","",IF(ISNUMBER(SEARCH("3&amp;12",SUBSTITUTE(J244," ",""))),Settings!$G$6,Settings!$C$6))</f>
        <v/>
      </c>
      <c r="R244" s="7">
        <f>IF($X244="","",SUMIFS('Per Line'!$N$2:$N$1501,'Per Line'!$A$2:$A$1501,$B244,'Per Line'!$X$2:$X$1501,1))</f>
        <v/>
      </c>
      <c r="S244" s="7">
        <f>IF($X244="","",R244*Q244)</f>
        <v/>
      </c>
      <c r="T244" s="7">
        <f>IF($X244="","",S244+P244)</f>
        <v/>
      </c>
      <c r="U244" s="7">
        <f>IF($X244="","",V244-T244)</f>
        <v/>
      </c>
      <c r="V244" s="7">
        <f>IF($X244="","",O244+R244)</f>
        <v/>
      </c>
      <c r="W244" s="7">
        <f>IF($X244="","",V244-T244-M244)</f>
        <v/>
      </c>
      <c r="X244" s="16">
        <f>IF(ROWS($X$2:$X244)&lt;=MAX('Per Line'!$W$2:$W$1501),MATCH(ROWS($X$2:$X244),'Per Line'!$W$2:$W$1501,0),"")</f>
        <v/>
      </c>
      <c r="Y244">
        <f>IF($X244="","",C244&amp;"|"&amp;COUNTIF($C$2:$C244,C244))</f>
        <v/>
      </c>
    </row>
    <row r="245">
      <c r="A245" s="15" t="n"/>
      <c r="B245">
        <f>IF($X245="","",INDEX('Per Line'!$A$2:$A$1501,$X245)&amp;"")</f>
        <v/>
      </c>
      <c r="C245">
        <f>IF($X245="","",IF(OR(TRIM(H245)="",TRIM(H245)="All",TRIM(H245)="All Comp"),TRIM(J245),TRIM(H245)))</f>
        <v/>
      </c>
      <c r="D245">
        <f>IF($X245="","",INDEX('Per Line'!$B$2:$B$1501,$X245)&amp;"")</f>
        <v/>
      </c>
      <c r="E245">
        <f>IF($X245="","",INDEX('Per Line'!$C$2:$C$1501,$X245)&amp;"")</f>
        <v/>
      </c>
      <c r="F245">
        <f>IF($X245="","",INDEX('Per Line'!$D$2:$D$1501,$X245)&amp;"")</f>
        <v/>
      </c>
      <c r="G245" s="15" t="n"/>
      <c r="H245" s="15" t="n"/>
      <c r="I245" s="15" t="n"/>
      <c r="J245" s="15" t="n"/>
      <c r="K245" s="14">
        <f>IF($X245="","",INDEX('Per Line'!$R$2:$R$1501,$X245))</f>
        <v/>
      </c>
      <c r="L245">
        <f>IF($X245="","",INDEX('Per Line'!$E$2:$E$1501,$X245))</f>
        <v/>
      </c>
      <c r="M245" s="7">
        <f>IF($X245="","",L245*U245/100)</f>
        <v/>
      </c>
      <c r="N245">
        <f>IF($X245="","",IF(ISNUMBER(SEARCH("3&amp;12",SUBSTITUTE(J245," ",""))),Settings!$G$7,Settings!$C$7))</f>
        <v/>
      </c>
      <c r="O245" s="7">
        <f>IF($X245="","",SUMIFS('Per Line'!$N$2:$N$1501,'Per Line'!$A$2:$A$1501,$B245,'Per Line'!$X$2:$X$1501,0))</f>
        <v/>
      </c>
      <c r="P245" s="7">
        <f>IF($X245="","",O245*N245)</f>
        <v/>
      </c>
      <c r="Q245">
        <f>IF($X245="","",IF(ISNUMBER(SEARCH("3&amp;12",SUBSTITUTE(J245," ",""))),Settings!$G$6,Settings!$C$6))</f>
        <v/>
      </c>
      <c r="R245" s="7">
        <f>IF($X245="","",SUMIFS('Per Line'!$N$2:$N$1501,'Per Line'!$A$2:$A$1501,$B245,'Per Line'!$X$2:$X$1501,1))</f>
        <v/>
      </c>
      <c r="S245" s="7">
        <f>IF($X245="","",R245*Q245)</f>
        <v/>
      </c>
      <c r="T245" s="7">
        <f>IF($X245="","",S245+P245)</f>
        <v/>
      </c>
      <c r="U245" s="7">
        <f>IF($X245="","",V245-T245)</f>
        <v/>
      </c>
      <c r="V245" s="7">
        <f>IF($X245="","",O245+R245)</f>
        <v/>
      </c>
      <c r="W245" s="7">
        <f>IF($X245="","",V245-T245-M245)</f>
        <v/>
      </c>
      <c r="X245" s="16">
        <f>IF(ROWS($X$2:$X245)&lt;=MAX('Per Line'!$W$2:$W$1501),MATCH(ROWS($X$2:$X245),'Per Line'!$W$2:$W$1501,0),"")</f>
        <v/>
      </c>
      <c r="Y245">
        <f>IF($X245="","",C245&amp;"|"&amp;COUNTIF($C$2:$C245,C245))</f>
        <v/>
      </c>
    </row>
    <row r="246">
      <c r="A246" s="15" t="n"/>
      <c r="B246">
        <f>IF($X246="","",INDEX('Per Line'!$A$2:$A$1501,$X246)&amp;"")</f>
        <v/>
      </c>
      <c r="C246">
        <f>IF($X246="","",IF(OR(TRIM(H246)="",TRIM(H246)="All",TRIM(H246)="All Comp"),TRIM(J246),TRIM(H246)))</f>
        <v/>
      </c>
      <c r="D246">
        <f>IF($X246="","",INDEX('Per Line'!$B$2:$B$1501,$X246)&amp;"")</f>
        <v/>
      </c>
      <c r="E246">
        <f>IF($X246="","",INDEX('Per Line'!$C$2:$C$1501,$X246)&amp;"")</f>
        <v/>
      </c>
      <c r="F246">
        <f>IF($X246="","",INDEX('Per Line'!$D$2:$D$1501,$X246)&amp;"")</f>
        <v/>
      </c>
      <c r="G246" s="15" t="n"/>
      <c r="H246" s="15" t="n"/>
      <c r="I246" s="15" t="n"/>
      <c r="J246" s="15" t="n"/>
      <c r="K246" s="14">
        <f>IF($X246="","",INDEX('Per Line'!$R$2:$R$1501,$X246))</f>
        <v/>
      </c>
      <c r="L246">
        <f>IF($X246="","",INDEX('Per Line'!$E$2:$E$1501,$X246))</f>
        <v/>
      </c>
      <c r="M246" s="7">
        <f>IF($X246="","",L246*U246/100)</f>
        <v/>
      </c>
      <c r="N246">
        <f>IF($X246="","",IF(ISNUMBER(SEARCH("3&amp;12",SUBSTITUTE(J246," ",""))),Settings!$G$7,Settings!$C$7))</f>
        <v/>
      </c>
      <c r="O246" s="7">
        <f>IF($X246="","",SUMIFS('Per Line'!$N$2:$N$1501,'Per Line'!$A$2:$A$1501,$B246,'Per Line'!$X$2:$X$1501,0))</f>
        <v/>
      </c>
      <c r="P246" s="7">
        <f>IF($X246="","",O246*N246)</f>
        <v/>
      </c>
      <c r="Q246">
        <f>IF($X246="","",IF(ISNUMBER(SEARCH("3&amp;12",SUBSTITUTE(J246," ",""))),Settings!$G$6,Settings!$C$6))</f>
        <v/>
      </c>
      <c r="R246" s="7">
        <f>IF($X246="","",SUMIFS('Per Line'!$N$2:$N$1501,'Per Line'!$A$2:$A$1501,$B246,'Per Line'!$X$2:$X$1501,1))</f>
        <v/>
      </c>
      <c r="S246" s="7">
        <f>IF($X246="","",R246*Q246)</f>
        <v/>
      </c>
      <c r="T246" s="7">
        <f>IF($X246="","",S246+P246)</f>
        <v/>
      </c>
      <c r="U246" s="7">
        <f>IF($X246="","",V246-T246)</f>
        <v/>
      </c>
      <c r="V246" s="7">
        <f>IF($X246="","",O246+R246)</f>
        <v/>
      </c>
      <c r="W246" s="7">
        <f>IF($X246="","",V246-T246-M246)</f>
        <v/>
      </c>
      <c r="X246" s="16">
        <f>IF(ROWS($X$2:$X246)&lt;=MAX('Per Line'!$W$2:$W$1501),MATCH(ROWS($X$2:$X246),'Per Line'!$W$2:$W$1501,0),"")</f>
        <v/>
      </c>
      <c r="Y246">
        <f>IF($X246="","",C246&amp;"|"&amp;COUNTIF($C$2:$C246,C246))</f>
        <v/>
      </c>
    </row>
    <row r="247">
      <c r="A247" s="15" t="n"/>
      <c r="B247">
        <f>IF($X247="","",INDEX('Per Line'!$A$2:$A$1501,$X247)&amp;"")</f>
        <v/>
      </c>
      <c r="C247">
        <f>IF($X247="","",IF(OR(TRIM(H247)="",TRIM(H247)="All",TRIM(H247)="All Comp"),TRIM(J247),TRIM(H247)))</f>
        <v/>
      </c>
      <c r="D247">
        <f>IF($X247="","",INDEX('Per Line'!$B$2:$B$1501,$X247)&amp;"")</f>
        <v/>
      </c>
      <c r="E247">
        <f>IF($X247="","",INDEX('Per Line'!$C$2:$C$1501,$X247)&amp;"")</f>
        <v/>
      </c>
      <c r="F247">
        <f>IF($X247="","",INDEX('Per Line'!$D$2:$D$1501,$X247)&amp;"")</f>
        <v/>
      </c>
      <c r="G247" s="15" t="n"/>
      <c r="H247" s="15" t="n"/>
      <c r="I247" s="15" t="n"/>
      <c r="J247" s="15" t="n"/>
      <c r="K247" s="14">
        <f>IF($X247="","",INDEX('Per Line'!$R$2:$R$1501,$X247))</f>
        <v/>
      </c>
      <c r="L247">
        <f>IF($X247="","",INDEX('Per Line'!$E$2:$E$1501,$X247))</f>
        <v/>
      </c>
      <c r="M247" s="7">
        <f>IF($X247="","",L247*U247/100)</f>
        <v/>
      </c>
      <c r="N247">
        <f>IF($X247="","",IF(ISNUMBER(SEARCH("3&amp;12",SUBSTITUTE(J247," ",""))),Settings!$G$7,Settings!$C$7))</f>
        <v/>
      </c>
      <c r="O247" s="7">
        <f>IF($X247="","",SUMIFS('Per Line'!$N$2:$N$1501,'Per Line'!$A$2:$A$1501,$B247,'Per Line'!$X$2:$X$1501,0))</f>
        <v/>
      </c>
      <c r="P247" s="7">
        <f>IF($X247="","",O247*N247)</f>
        <v/>
      </c>
      <c r="Q247">
        <f>IF($X247="","",IF(ISNUMBER(SEARCH("3&amp;12",SUBSTITUTE(J247," ",""))),Settings!$G$6,Settings!$C$6))</f>
        <v/>
      </c>
      <c r="R247" s="7">
        <f>IF($X247="","",SUMIFS('Per Line'!$N$2:$N$1501,'Per Line'!$A$2:$A$1501,$B247,'Per Line'!$X$2:$X$1501,1))</f>
        <v/>
      </c>
      <c r="S247" s="7">
        <f>IF($X247="","",R247*Q247)</f>
        <v/>
      </c>
      <c r="T247" s="7">
        <f>IF($X247="","",S247+P247)</f>
        <v/>
      </c>
      <c r="U247" s="7">
        <f>IF($X247="","",V247-T247)</f>
        <v/>
      </c>
      <c r="V247" s="7">
        <f>IF($X247="","",O247+R247)</f>
        <v/>
      </c>
      <c r="W247" s="7">
        <f>IF($X247="","",V247-T247-M247)</f>
        <v/>
      </c>
      <c r="X247" s="16">
        <f>IF(ROWS($X$2:$X247)&lt;=MAX('Per Line'!$W$2:$W$1501),MATCH(ROWS($X$2:$X247),'Per Line'!$W$2:$W$1501,0),"")</f>
        <v/>
      </c>
      <c r="Y247">
        <f>IF($X247="","",C247&amp;"|"&amp;COUNTIF($C$2:$C247,C247))</f>
        <v/>
      </c>
    </row>
    <row r="248">
      <c r="A248" s="15" t="n"/>
      <c r="B248">
        <f>IF($X248="","",INDEX('Per Line'!$A$2:$A$1501,$X248)&amp;"")</f>
        <v/>
      </c>
      <c r="C248">
        <f>IF($X248="","",IF(OR(TRIM(H248)="",TRIM(H248)="All",TRIM(H248)="All Comp"),TRIM(J248),TRIM(H248)))</f>
        <v/>
      </c>
      <c r="D248">
        <f>IF($X248="","",INDEX('Per Line'!$B$2:$B$1501,$X248)&amp;"")</f>
        <v/>
      </c>
      <c r="E248">
        <f>IF($X248="","",INDEX('Per Line'!$C$2:$C$1501,$X248)&amp;"")</f>
        <v/>
      </c>
      <c r="F248">
        <f>IF($X248="","",INDEX('Per Line'!$D$2:$D$1501,$X248)&amp;"")</f>
        <v/>
      </c>
      <c r="G248" s="15" t="n"/>
      <c r="H248" s="15" t="n"/>
      <c r="I248" s="15" t="n"/>
      <c r="J248" s="15" t="n"/>
      <c r="K248" s="14">
        <f>IF($X248="","",INDEX('Per Line'!$R$2:$R$1501,$X248))</f>
        <v/>
      </c>
      <c r="L248">
        <f>IF($X248="","",INDEX('Per Line'!$E$2:$E$1501,$X248))</f>
        <v/>
      </c>
      <c r="M248" s="7">
        <f>IF($X248="","",L248*U248/100)</f>
        <v/>
      </c>
      <c r="N248">
        <f>IF($X248="","",IF(ISNUMBER(SEARCH("3&amp;12",SUBSTITUTE(J248," ",""))),Settings!$G$7,Settings!$C$7))</f>
        <v/>
      </c>
      <c r="O248" s="7">
        <f>IF($X248="","",SUMIFS('Per Line'!$N$2:$N$1501,'Per Line'!$A$2:$A$1501,$B248,'Per Line'!$X$2:$X$1501,0))</f>
        <v/>
      </c>
      <c r="P248" s="7">
        <f>IF($X248="","",O248*N248)</f>
        <v/>
      </c>
      <c r="Q248">
        <f>IF($X248="","",IF(ISNUMBER(SEARCH("3&amp;12",SUBSTITUTE(J248," ",""))),Settings!$G$6,Settings!$C$6))</f>
        <v/>
      </c>
      <c r="R248" s="7">
        <f>IF($X248="","",SUMIFS('Per Line'!$N$2:$N$1501,'Per Line'!$A$2:$A$1501,$B248,'Per Line'!$X$2:$X$1501,1))</f>
        <v/>
      </c>
      <c r="S248" s="7">
        <f>IF($X248="","",R248*Q248)</f>
        <v/>
      </c>
      <c r="T248" s="7">
        <f>IF($X248="","",S248+P248)</f>
        <v/>
      </c>
      <c r="U248" s="7">
        <f>IF($X248="","",V248-T248)</f>
        <v/>
      </c>
      <c r="V248" s="7">
        <f>IF($X248="","",O248+R248)</f>
        <v/>
      </c>
      <c r="W248" s="7">
        <f>IF($X248="","",V248-T248-M248)</f>
        <v/>
      </c>
      <c r="X248" s="16">
        <f>IF(ROWS($X$2:$X248)&lt;=MAX('Per Line'!$W$2:$W$1501),MATCH(ROWS($X$2:$X248),'Per Line'!$W$2:$W$1501,0),"")</f>
        <v/>
      </c>
      <c r="Y248">
        <f>IF($X248="","",C248&amp;"|"&amp;COUNTIF($C$2:$C248,C248))</f>
        <v/>
      </c>
    </row>
    <row r="249">
      <c r="A249" s="15" t="n"/>
      <c r="B249">
        <f>IF($X249="","",INDEX('Per Line'!$A$2:$A$1501,$X249)&amp;"")</f>
        <v/>
      </c>
      <c r="C249">
        <f>IF($X249="","",IF(OR(TRIM(H249)="",TRIM(H249)="All",TRIM(H249)="All Comp"),TRIM(J249),TRIM(H249)))</f>
        <v/>
      </c>
      <c r="D249">
        <f>IF($X249="","",INDEX('Per Line'!$B$2:$B$1501,$X249)&amp;"")</f>
        <v/>
      </c>
      <c r="E249">
        <f>IF($X249="","",INDEX('Per Line'!$C$2:$C$1501,$X249)&amp;"")</f>
        <v/>
      </c>
      <c r="F249">
        <f>IF($X249="","",INDEX('Per Line'!$D$2:$D$1501,$X249)&amp;"")</f>
        <v/>
      </c>
      <c r="G249" s="15" t="n"/>
      <c r="H249" s="15" t="n"/>
      <c r="I249" s="15" t="n"/>
      <c r="J249" s="15" t="n"/>
      <c r="K249" s="14">
        <f>IF($X249="","",INDEX('Per Line'!$R$2:$R$1501,$X249))</f>
        <v/>
      </c>
      <c r="L249">
        <f>IF($X249="","",INDEX('Per Line'!$E$2:$E$1501,$X249))</f>
        <v/>
      </c>
      <c r="M249" s="7">
        <f>IF($X249="","",L249*U249/100)</f>
        <v/>
      </c>
      <c r="N249">
        <f>IF($X249="","",IF(ISNUMBER(SEARCH("3&amp;12",SUBSTITUTE(J249," ",""))),Settings!$G$7,Settings!$C$7))</f>
        <v/>
      </c>
      <c r="O249" s="7">
        <f>IF($X249="","",SUMIFS('Per Line'!$N$2:$N$1501,'Per Line'!$A$2:$A$1501,$B249,'Per Line'!$X$2:$X$1501,0))</f>
        <v/>
      </c>
      <c r="P249" s="7">
        <f>IF($X249="","",O249*N249)</f>
        <v/>
      </c>
      <c r="Q249">
        <f>IF($X249="","",IF(ISNUMBER(SEARCH("3&amp;12",SUBSTITUTE(J249," ",""))),Settings!$G$6,Settings!$C$6))</f>
        <v/>
      </c>
      <c r="R249" s="7">
        <f>IF($X249="","",SUMIFS('Per Line'!$N$2:$N$1501,'Per Line'!$A$2:$A$1501,$B249,'Per Line'!$X$2:$X$1501,1))</f>
        <v/>
      </c>
      <c r="S249" s="7">
        <f>IF($X249="","",R249*Q249)</f>
        <v/>
      </c>
      <c r="T249" s="7">
        <f>IF($X249="","",S249+P249)</f>
        <v/>
      </c>
      <c r="U249" s="7">
        <f>IF($X249="","",V249-T249)</f>
        <v/>
      </c>
      <c r="V249" s="7">
        <f>IF($X249="","",O249+R249)</f>
        <v/>
      </c>
      <c r="W249" s="7">
        <f>IF($X249="","",V249-T249-M249)</f>
        <v/>
      </c>
      <c r="X249" s="16">
        <f>IF(ROWS($X$2:$X249)&lt;=MAX('Per Line'!$W$2:$W$1501),MATCH(ROWS($X$2:$X249),'Per Line'!$W$2:$W$1501,0),"")</f>
        <v/>
      </c>
      <c r="Y249">
        <f>IF($X249="","",C249&amp;"|"&amp;COUNTIF($C$2:$C249,C249))</f>
        <v/>
      </c>
    </row>
    <row r="250">
      <c r="A250" s="15" t="n"/>
      <c r="B250">
        <f>IF($X250="","",INDEX('Per Line'!$A$2:$A$1501,$X250)&amp;"")</f>
        <v/>
      </c>
      <c r="C250">
        <f>IF($X250="","",IF(OR(TRIM(H250)="",TRIM(H250)="All",TRIM(H250)="All Comp"),TRIM(J250),TRIM(H250)))</f>
        <v/>
      </c>
      <c r="D250">
        <f>IF($X250="","",INDEX('Per Line'!$B$2:$B$1501,$X250)&amp;"")</f>
        <v/>
      </c>
      <c r="E250">
        <f>IF($X250="","",INDEX('Per Line'!$C$2:$C$1501,$X250)&amp;"")</f>
        <v/>
      </c>
      <c r="F250">
        <f>IF($X250="","",INDEX('Per Line'!$D$2:$D$1501,$X250)&amp;"")</f>
        <v/>
      </c>
      <c r="G250" s="15" t="n"/>
      <c r="H250" s="15" t="n"/>
      <c r="I250" s="15" t="n"/>
      <c r="J250" s="15" t="n"/>
      <c r="K250" s="14">
        <f>IF($X250="","",INDEX('Per Line'!$R$2:$R$1501,$X250))</f>
        <v/>
      </c>
      <c r="L250">
        <f>IF($X250="","",INDEX('Per Line'!$E$2:$E$1501,$X250))</f>
        <v/>
      </c>
      <c r="M250" s="7">
        <f>IF($X250="","",L250*U250/100)</f>
        <v/>
      </c>
      <c r="N250">
        <f>IF($X250="","",IF(ISNUMBER(SEARCH("3&amp;12",SUBSTITUTE(J250," ",""))),Settings!$G$7,Settings!$C$7))</f>
        <v/>
      </c>
      <c r="O250" s="7">
        <f>IF($X250="","",SUMIFS('Per Line'!$N$2:$N$1501,'Per Line'!$A$2:$A$1501,$B250,'Per Line'!$X$2:$X$1501,0))</f>
        <v/>
      </c>
      <c r="P250" s="7">
        <f>IF($X250="","",O250*N250)</f>
        <v/>
      </c>
      <c r="Q250">
        <f>IF($X250="","",IF(ISNUMBER(SEARCH("3&amp;12",SUBSTITUTE(J250," ",""))),Settings!$G$6,Settings!$C$6))</f>
        <v/>
      </c>
      <c r="R250" s="7">
        <f>IF($X250="","",SUMIFS('Per Line'!$N$2:$N$1501,'Per Line'!$A$2:$A$1501,$B250,'Per Line'!$X$2:$X$1501,1))</f>
        <v/>
      </c>
      <c r="S250" s="7">
        <f>IF($X250="","",R250*Q250)</f>
        <v/>
      </c>
      <c r="T250" s="7">
        <f>IF($X250="","",S250+P250)</f>
        <v/>
      </c>
      <c r="U250" s="7">
        <f>IF($X250="","",V250-T250)</f>
        <v/>
      </c>
      <c r="V250" s="7">
        <f>IF($X250="","",O250+R250)</f>
        <v/>
      </c>
      <c r="W250" s="7">
        <f>IF($X250="","",V250-T250-M250)</f>
        <v/>
      </c>
      <c r="X250" s="16">
        <f>IF(ROWS($X$2:$X250)&lt;=MAX('Per Line'!$W$2:$W$1501),MATCH(ROWS($X$2:$X250),'Per Line'!$W$2:$W$1501,0),"")</f>
        <v/>
      </c>
      <c r="Y250">
        <f>IF($X250="","",C250&amp;"|"&amp;COUNTIF($C$2:$C250,C250))</f>
        <v/>
      </c>
    </row>
    <row r="251">
      <c r="A251" s="15" t="n"/>
      <c r="B251">
        <f>IF($X251="","",INDEX('Per Line'!$A$2:$A$1501,$X251)&amp;"")</f>
        <v/>
      </c>
      <c r="C251">
        <f>IF($X251="","",IF(OR(TRIM(H251)="",TRIM(H251)="All",TRIM(H251)="All Comp"),TRIM(J251),TRIM(H251)))</f>
        <v/>
      </c>
      <c r="D251">
        <f>IF($X251="","",INDEX('Per Line'!$B$2:$B$1501,$X251)&amp;"")</f>
        <v/>
      </c>
      <c r="E251">
        <f>IF($X251="","",INDEX('Per Line'!$C$2:$C$1501,$X251)&amp;"")</f>
        <v/>
      </c>
      <c r="F251">
        <f>IF($X251="","",INDEX('Per Line'!$D$2:$D$1501,$X251)&amp;"")</f>
        <v/>
      </c>
      <c r="G251" s="15" t="n"/>
      <c r="H251" s="15" t="n"/>
      <c r="I251" s="15" t="n"/>
      <c r="J251" s="15" t="n"/>
      <c r="K251" s="14">
        <f>IF($X251="","",INDEX('Per Line'!$R$2:$R$1501,$X251))</f>
        <v/>
      </c>
      <c r="L251">
        <f>IF($X251="","",INDEX('Per Line'!$E$2:$E$1501,$X251))</f>
        <v/>
      </c>
      <c r="M251" s="7">
        <f>IF($X251="","",L251*U251/100)</f>
        <v/>
      </c>
      <c r="N251">
        <f>IF($X251="","",IF(ISNUMBER(SEARCH("3&amp;12",SUBSTITUTE(J251," ",""))),Settings!$G$7,Settings!$C$7))</f>
        <v/>
      </c>
      <c r="O251" s="7">
        <f>IF($X251="","",SUMIFS('Per Line'!$N$2:$N$1501,'Per Line'!$A$2:$A$1501,$B251,'Per Line'!$X$2:$X$1501,0))</f>
        <v/>
      </c>
      <c r="P251" s="7">
        <f>IF($X251="","",O251*N251)</f>
        <v/>
      </c>
      <c r="Q251">
        <f>IF($X251="","",IF(ISNUMBER(SEARCH("3&amp;12",SUBSTITUTE(J251," ",""))),Settings!$G$6,Settings!$C$6))</f>
        <v/>
      </c>
      <c r="R251" s="7">
        <f>IF($X251="","",SUMIFS('Per Line'!$N$2:$N$1501,'Per Line'!$A$2:$A$1501,$B251,'Per Line'!$X$2:$X$1501,1))</f>
        <v/>
      </c>
      <c r="S251" s="7">
        <f>IF($X251="","",R251*Q251)</f>
        <v/>
      </c>
      <c r="T251" s="7">
        <f>IF($X251="","",S251+P251)</f>
        <v/>
      </c>
      <c r="U251" s="7">
        <f>IF($X251="","",V251-T251)</f>
        <v/>
      </c>
      <c r="V251" s="7">
        <f>IF($X251="","",O251+R251)</f>
        <v/>
      </c>
      <c r="W251" s="7">
        <f>IF($X251="","",V251-T251-M251)</f>
        <v/>
      </c>
      <c r="X251" s="16">
        <f>IF(ROWS($X$2:$X251)&lt;=MAX('Per Line'!$W$2:$W$1501),MATCH(ROWS($X$2:$X251),'Per Line'!$W$2:$W$1501,0),"")</f>
        <v/>
      </c>
      <c r="Y251">
        <f>IF($X251="","",C251&amp;"|"&amp;COUNTIF($C$2:$C251,C251))</f>
        <v/>
      </c>
    </row>
    <row r="252">
      <c r="A252" s="15" t="n"/>
      <c r="B252">
        <f>IF($X252="","",INDEX('Per Line'!$A$2:$A$1501,$X252)&amp;"")</f>
        <v/>
      </c>
      <c r="C252">
        <f>IF($X252="","",IF(OR(TRIM(H252)="",TRIM(H252)="All",TRIM(H252)="All Comp"),TRIM(J252),TRIM(H252)))</f>
        <v/>
      </c>
      <c r="D252">
        <f>IF($X252="","",INDEX('Per Line'!$B$2:$B$1501,$X252)&amp;"")</f>
        <v/>
      </c>
      <c r="E252">
        <f>IF($X252="","",INDEX('Per Line'!$C$2:$C$1501,$X252)&amp;"")</f>
        <v/>
      </c>
      <c r="F252">
        <f>IF($X252="","",INDEX('Per Line'!$D$2:$D$1501,$X252)&amp;"")</f>
        <v/>
      </c>
      <c r="G252" s="15" t="n"/>
      <c r="H252" s="15" t="n"/>
      <c r="I252" s="15" t="n"/>
      <c r="J252" s="15" t="n"/>
      <c r="K252" s="14">
        <f>IF($X252="","",INDEX('Per Line'!$R$2:$R$1501,$X252))</f>
        <v/>
      </c>
      <c r="L252">
        <f>IF($X252="","",INDEX('Per Line'!$E$2:$E$1501,$X252))</f>
        <v/>
      </c>
      <c r="M252" s="7">
        <f>IF($X252="","",L252*U252/100)</f>
        <v/>
      </c>
      <c r="N252">
        <f>IF($X252="","",IF(ISNUMBER(SEARCH("3&amp;12",SUBSTITUTE(J252," ",""))),Settings!$G$7,Settings!$C$7))</f>
        <v/>
      </c>
      <c r="O252" s="7">
        <f>IF($X252="","",SUMIFS('Per Line'!$N$2:$N$1501,'Per Line'!$A$2:$A$1501,$B252,'Per Line'!$X$2:$X$1501,0))</f>
        <v/>
      </c>
      <c r="P252" s="7">
        <f>IF($X252="","",O252*N252)</f>
        <v/>
      </c>
      <c r="Q252">
        <f>IF($X252="","",IF(ISNUMBER(SEARCH("3&amp;12",SUBSTITUTE(J252," ",""))),Settings!$G$6,Settings!$C$6))</f>
        <v/>
      </c>
      <c r="R252" s="7">
        <f>IF($X252="","",SUMIFS('Per Line'!$N$2:$N$1501,'Per Line'!$A$2:$A$1501,$B252,'Per Line'!$X$2:$X$1501,1))</f>
        <v/>
      </c>
      <c r="S252" s="7">
        <f>IF($X252="","",R252*Q252)</f>
        <v/>
      </c>
      <c r="T252" s="7">
        <f>IF($X252="","",S252+P252)</f>
        <v/>
      </c>
      <c r="U252" s="7">
        <f>IF($X252="","",V252-T252)</f>
        <v/>
      </c>
      <c r="V252" s="7">
        <f>IF($X252="","",O252+R252)</f>
        <v/>
      </c>
      <c r="W252" s="7">
        <f>IF($X252="","",V252-T252-M252)</f>
        <v/>
      </c>
      <c r="X252" s="16">
        <f>IF(ROWS($X$2:$X252)&lt;=MAX('Per Line'!$W$2:$W$1501),MATCH(ROWS($X$2:$X252),'Per Line'!$W$2:$W$1501,0),"")</f>
        <v/>
      </c>
      <c r="Y252">
        <f>IF($X252="","",C252&amp;"|"&amp;COUNTIF($C$2:$C252,C252))</f>
        <v/>
      </c>
    </row>
    <row r="253">
      <c r="A253" s="15" t="n"/>
      <c r="B253">
        <f>IF($X253="","",INDEX('Per Line'!$A$2:$A$1501,$X253)&amp;"")</f>
        <v/>
      </c>
      <c r="C253">
        <f>IF($X253="","",IF(OR(TRIM(H253)="",TRIM(H253)="All",TRIM(H253)="All Comp"),TRIM(J253),TRIM(H253)))</f>
        <v/>
      </c>
      <c r="D253">
        <f>IF($X253="","",INDEX('Per Line'!$B$2:$B$1501,$X253)&amp;"")</f>
        <v/>
      </c>
      <c r="E253">
        <f>IF($X253="","",INDEX('Per Line'!$C$2:$C$1501,$X253)&amp;"")</f>
        <v/>
      </c>
      <c r="F253">
        <f>IF($X253="","",INDEX('Per Line'!$D$2:$D$1501,$X253)&amp;"")</f>
        <v/>
      </c>
      <c r="G253" s="15" t="n"/>
      <c r="H253" s="15" t="n"/>
      <c r="I253" s="15" t="n"/>
      <c r="J253" s="15" t="n"/>
      <c r="K253" s="14">
        <f>IF($X253="","",INDEX('Per Line'!$R$2:$R$1501,$X253))</f>
        <v/>
      </c>
      <c r="L253">
        <f>IF($X253="","",INDEX('Per Line'!$E$2:$E$1501,$X253))</f>
        <v/>
      </c>
      <c r="M253" s="7">
        <f>IF($X253="","",L253*U253/100)</f>
        <v/>
      </c>
      <c r="N253">
        <f>IF($X253="","",IF(ISNUMBER(SEARCH("3&amp;12",SUBSTITUTE(J253," ",""))),Settings!$G$7,Settings!$C$7))</f>
        <v/>
      </c>
      <c r="O253" s="7">
        <f>IF($X253="","",SUMIFS('Per Line'!$N$2:$N$1501,'Per Line'!$A$2:$A$1501,$B253,'Per Line'!$X$2:$X$1501,0))</f>
        <v/>
      </c>
      <c r="P253" s="7">
        <f>IF($X253="","",O253*N253)</f>
        <v/>
      </c>
      <c r="Q253">
        <f>IF($X253="","",IF(ISNUMBER(SEARCH("3&amp;12",SUBSTITUTE(J253," ",""))),Settings!$G$6,Settings!$C$6))</f>
        <v/>
      </c>
      <c r="R253" s="7">
        <f>IF($X253="","",SUMIFS('Per Line'!$N$2:$N$1501,'Per Line'!$A$2:$A$1501,$B253,'Per Line'!$X$2:$X$1501,1))</f>
        <v/>
      </c>
      <c r="S253" s="7">
        <f>IF($X253="","",R253*Q253)</f>
        <v/>
      </c>
      <c r="T253" s="7">
        <f>IF($X253="","",S253+P253)</f>
        <v/>
      </c>
      <c r="U253" s="7">
        <f>IF($X253="","",V253-T253)</f>
        <v/>
      </c>
      <c r="V253" s="7">
        <f>IF($X253="","",O253+R253)</f>
        <v/>
      </c>
      <c r="W253" s="7">
        <f>IF($X253="","",V253-T253-M253)</f>
        <v/>
      </c>
      <c r="X253" s="16">
        <f>IF(ROWS($X$2:$X253)&lt;=MAX('Per Line'!$W$2:$W$1501),MATCH(ROWS($X$2:$X253),'Per Line'!$W$2:$W$1501,0),"")</f>
        <v/>
      </c>
      <c r="Y253">
        <f>IF($X253="","",C253&amp;"|"&amp;COUNTIF($C$2:$C253,C253))</f>
        <v/>
      </c>
    </row>
    <row r="254">
      <c r="A254" s="15" t="n"/>
      <c r="B254">
        <f>IF($X254="","",INDEX('Per Line'!$A$2:$A$1501,$X254)&amp;"")</f>
        <v/>
      </c>
      <c r="C254">
        <f>IF($X254="","",IF(OR(TRIM(H254)="",TRIM(H254)="All",TRIM(H254)="All Comp"),TRIM(J254),TRIM(H254)))</f>
        <v/>
      </c>
      <c r="D254">
        <f>IF($X254="","",INDEX('Per Line'!$B$2:$B$1501,$X254)&amp;"")</f>
        <v/>
      </c>
      <c r="E254">
        <f>IF($X254="","",INDEX('Per Line'!$C$2:$C$1501,$X254)&amp;"")</f>
        <v/>
      </c>
      <c r="F254">
        <f>IF($X254="","",INDEX('Per Line'!$D$2:$D$1501,$X254)&amp;"")</f>
        <v/>
      </c>
      <c r="G254" s="15" t="n"/>
      <c r="H254" s="15" t="n"/>
      <c r="I254" s="15" t="n"/>
      <c r="J254" s="15" t="n"/>
      <c r="K254" s="14">
        <f>IF($X254="","",INDEX('Per Line'!$R$2:$R$1501,$X254))</f>
        <v/>
      </c>
      <c r="L254">
        <f>IF($X254="","",INDEX('Per Line'!$E$2:$E$1501,$X254))</f>
        <v/>
      </c>
      <c r="M254" s="7">
        <f>IF($X254="","",L254*U254/100)</f>
        <v/>
      </c>
      <c r="N254">
        <f>IF($X254="","",IF(ISNUMBER(SEARCH("3&amp;12",SUBSTITUTE(J254," ",""))),Settings!$G$7,Settings!$C$7))</f>
        <v/>
      </c>
      <c r="O254" s="7">
        <f>IF($X254="","",SUMIFS('Per Line'!$N$2:$N$1501,'Per Line'!$A$2:$A$1501,$B254,'Per Line'!$X$2:$X$1501,0))</f>
        <v/>
      </c>
      <c r="P254" s="7">
        <f>IF($X254="","",O254*N254)</f>
        <v/>
      </c>
      <c r="Q254">
        <f>IF($X254="","",IF(ISNUMBER(SEARCH("3&amp;12",SUBSTITUTE(J254," ",""))),Settings!$G$6,Settings!$C$6))</f>
        <v/>
      </c>
      <c r="R254" s="7">
        <f>IF($X254="","",SUMIFS('Per Line'!$N$2:$N$1501,'Per Line'!$A$2:$A$1501,$B254,'Per Line'!$X$2:$X$1501,1))</f>
        <v/>
      </c>
      <c r="S254" s="7">
        <f>IF($X254="","",R254*Q254)</f>
        <v/>
      </c>
      <c r="T254" s="7">
        <f>IF($X254="","",S254+P254)</f>
        <v/>
      </c>
      <c r="U254" s="7">
        <f>IF($X254="","",V254-T254)</f>
        <v/>
      </c>
      <c r="V254" s="7">
        <f>IF($X254="","",O254+R254)</f>
        <v/>
      </c>
      <c r="W254" s="7">
        <f>IF($X254="","",V254-T254-M254)</f>
        <v/>
      </c>
      <c r="X254" s="16">
        <f>IF(ROWS($X$2:$X254)&lt;=MAX('Per Line'!$W$2:$W$1501),MATCH(ROWS($X$2:$X254),'Per Line'!$W$2:$W$1501,0),"")</f>
        <v/>
      </c>
      <c r="Y254">
        <f>IF($X254="","",C254&amp;"|"&amp;COUNTIF($C$2:$C254,C254))</f>
        <v/>
      </c>
    </row>
    <row r="255">
      <c r="A255" s="15" t="n"/>
      <c r="B255">
        <f>IF($X255="","",INDEX('Per Line'!$A$2:$A$1501,$X255)&amp;"")</f>
        <v/>
      </c>
      <c r="C255">
        <f>IF($X255="","",IF(OR(TRIM(H255)="",TRIM(H255)="All",TRIM(H255)="All Comp"),TRIM(J255),TRIM(H255)))</f>
        <v/>
      </c>
      <c r="D255">
        <f>IF($X255="","",INDEX('Per Line'!$B$2:$B$1501,$X255)&amp;"")</f>
        <v/>
      </c>
      <c r="E255">
        <f>IF($X255="","",INDEX('Per Line'!$C$2:$C$1501,$X255)&amp;"")</f>
        <v/>
      </c>
      <c r="F255">
        <f>IF($X255="","",INDEX('Per Line'!$D$2:$D$1501,$X255)&amp;"")</f>
        <v/>
      </c>
      <c r="G255" s="15" t="n"/>
      <c r="H255" s="15" t="n"/>
      <c r="I255" s="15" t="n"/>
      <c r="J255" s="15" t="n"/>
      <c r="K255" s="14">
        <f>IF($X255="","",INDEX('Per Line'!$R$2:$R$1501,$X255))</f>
        <v/>
      </c>
      <c r="L255">
        <f>IF($X255="","",INDEX('Per Line'!$E$2:$E$1501,$X255))</f>
        <v/>
      </c>
      <c r="M255" s="7">
        <f>IF($X255="","",L255*U255/100)</f>
        <v/>
      </c>
      <c r="N255">
        <f>IF($X255="","",IF(ISNUMBER(SEARCH("3&amp;12",SUBSTITUTE(J255," ",""))),Settings!$G$7,Settings!$C$7))</f>
        <v/>
      </c>
      <c r="O255" s="7">
        <f>IF($X255="","",SUMIFS('Per Line'!$N$2:$N$1501,'Per Line'!$A$2:$A$1501,$B255,'Per Line'!$X$2:$X$1501,0))</f>
        <v/>
      </c>
      <c r="P255" s="7">
        <f>IF($X255="","",O255*N255)</f>
        <v/>
      </c>
      <c r="Q255">
        <f>IF($X255="","",IF(ISNUMBER(SEARCH("3&amp;12",SUBSTITUTE(J255," ",""))),Settings!$G$6,Settings!$C$6))</f>
        <v/>
      </c>
      <c r="R255" s="7">
        <f>IF($X255="","",SUMIFS('Per Line'!$N$2:$N$1501,'Per Line'!$A$2:$A$1501,$B255,'Per Line'!$X$2:$X$1501,1))</f>
        <v/>
      </c>
      <c r="S255" s="7">
        <f>IF($X255="","",R255*Q255)</f>
        <v/>
      </c>
      <c r="T255" s="7">
        <f>IF($X255="","",S255+P255)</f>
        <v/>
      </c>
      <c r="U255" s="7">
        <f>IF($X255="","",V255-T255)</f>
        <v/>
      </c>
      <c r="V255" s="7">
        <f>IF($X255="","",O255+R255)</f>
        <v/>
      </c>
      <c r="W255" s="7">
        <f>IF($X255="","",V255-T255-M255)</f>
        <v/>
      </c>
      <c r="X255" s="16">
        <f>IF(ROWS($X$2:$X255)&lt;=MAX('Per Line'!$W$2:$W$1501),MATCH(ROWS($X$2:$X255),'Per Line'!$W$2:$W$1501,0),"")</f>
        <v/>
      </c>
      <c r="Y255">
        <f>IF($X255="","",C255&amp;"|"&amp;COUNTIF($C$2:$C255,C255))</f>
        <v/>
      </c>
    </row>
    <row r="256">
      <c r="A256" s="15" t="n"/>
      <c r="B256">
        <f>IF($X256="","",INDEX('Per Line'!$A$2:$A$1501,$X256)&amp;"")</f>
        <v/>
      </c>
      <c r="C256">
        <f>IF($X256="","",IF(OR(TRIM(H256)="",TRIM(H256)="All",TRIM(H256)="All Comp"),TRIM(J256),TRIM(H256)))</f>
        <v/>
      </c>
      <c r="D256">
        <f>IF($X256="","",INDEX('Per Line'!$B$2:$B$1501,$X256)&amp;"")</f>
        <v/>
      </c>
      <c r="E256">
        <f>IF($X256="","",INDEX('Per Line'!$C$2:$C$1501,$X256)&amp;"")</f>
        <v/>
      </c>
      <c r="F256">
        <f>IF($X256="","",INDEX('Per Line'!$D$2:$D$1501,$X256)&amp;"")</f>
        <v/>
      </c>
      <c r="G256" s="15" t="n"/>
      <c r="H256" s="15" t="n"/>
      <c r="I256" s="15" t="n"/>
      <c r="J256" s="15" t="n"/>
      <c r="K256" s="14">
        <f>IF($X256="","",INDEX('Per Line'!$R$2:$R$1501,$X256))</f>
        <v/>
      </c>
      <c r="L256">
        <f>IF($X256="","",INDEX('Per Line'!$E$2:$E$1501,$X256))</f>
        <v/>
      </c>
      <c r="M256" s="7">
        <f>IF($X256="","",L256*U256/100)</f>
        <v/>
      </c>
      <c r="N256">
        <f>IF($X256="","",IF(ISNUMBER(SEARCH("3&amp;12",SUBSTITUTE(J256," ",""))),Settings!$G$7,Settings!$C$7))</f>
        <v/>
      </c>
      <c r="O256" s="7">
        <f>IF($X256="","",SUMIFS('Per Line'!$N$2:$N$1501,'Per Line'!$A$2:$A$1501,$B256,'Per Line'!$X$2:$X$1501,0))</f>
        <v/>
      </c>
      <c r="P256" s="7">
        <f>IF($X256="","",O256*N256)</f>
        <v/>
      </c>
      <c r="Q256">
        <f>IF($X256="","",IF(ISNUMBER(SEARCH("3&amp;12",SUBSTITUTE(J256," ",""))),Settings!$G$6,Settings!$C$6))</f>
        <v/>
      </c>
      <c r="R256" s="7">
        <f>IF($X256="","",SUMIFS('Per Line'!$N$2:$N$1501,'Per Line'!$A$2:$A$1501,$B256,'Per Line'!$X$2:$X$1501,1))</f>
        <v/>
      </c>
      <c r="S256" s="7">
        <f>IF($X256="","",R256*Q256)</f>
        <v/>
      </c>
      <c r="T256" s="7">
        <f>IF($X256="","",S256+P256)</f>
        <v/>
      </c>
      <c r="U256" s="7">
        <f>IF($X256="","",V256-T256)</f>
        <v/>
      </c>
      <c r="V256" s="7">
        <f>IF($X256="","",O256+R256)</f>
        <v/>
      </c>
      <c r="W256" s="7">
        <f>IF($X256="","",V256-T256-M256)</f>
        <v/>
      </c>
      <c r="X256" s="16">
        <f>IF(ROWS($X$2:$X256)&lt;=MAX('Per Line'!$W$2:$W$1501),MATCH(ROWS($X$2:$X256),'Per Line'!$W$2:$W$1501,0),"")</f>
        <v/>
      </c>
      <c r="Y256">
        <f>IF($X256="","",C256&amp;"|"&amp;COUNTIF($C$2:$C256,C256))</f>
        <v/>
      </c>
    </row>
    <row r="257">
      <c r="A257" s="15" t="n"/>
      <c r="B257">
        <f>IF($X257="","",INDEX('Per Line'!$A$2:$A$1501,$X257)&amp;"")</f>
        <v/>
      </c>
      <c r="C257">
        <f>IF($X257="","",IF(OR(TRIM(H257)="",TRIM(H257)="All",TRIM(H257)="All Comp"),TRIM(J257),TRIM(H257)))</f>
        <v/>
      </c>
      <c r="D257">
        <f>IF($X257="","",INDEX('Per Line'!$B$2:$B$1501,$X257)&amp;"")</f>
        <v/>
      </c>
      <c r="E257">
        <f>IF($X257="","",INDEX('Per Line'!$C$2:$C$1501,$X257)&amp;"")</f>
        <v/>
      </c>
      <c r="F257">
        <f>IF($X257="","",INDEX('Per Line'!$D$2:$D$1501,$X257)&amp;"")</f>
        <v/>
      </c>
      <c r="G257" s="15" t="n"/>
      <c r="H257" s="15" t="n"/>
      <c r="I257" s="15" t="n"/>
      <c r="J257" s="15" t="n"/>
      <c r="K257" s="14">
        <f>IF($X257="","",INDEX('Per Line'!$R$2:$R$1501,$X257))</f>
        <v/>
      </c>
      <c r="L257">
        <f>IF($X257="","",INDEX('Per Line'!$E$2:$E$1501,$X257))</f>
        <v/>
      </c>
      <c r="M257" s="7">
        <f>IF($X257="","",L257*U257/100)</f>
        <v/>
      </c>
      <c r="N257">
        <f>IF($X257="","",IF(ISNUMBER(SEARCH("3&amp;12",SUBSTITUTE(J257," ",""))),Settings!$G$7,Settings!$C$7))</f>
        <v/>
      </c>
      <c r="O257" s="7">
        <f>IF($X257="","",SUMIFS('Per Line'!$N$2:$N$1501,'Per Line'!$A$2:$A$1501,$B257,'Per Line'!$X$2:$X$1501,0))</f>
        <v/>
      </c>
      <c r="P257" s="7">
        <f>IF($X257="","",O257*N257)</f>
        <v/>
      </c>
      <c r="Q257">
        <f>IF($X257="","",IF(ISNUMBER(SEARCH("3&amp;12",SUBSTITUTE(J257," ",""))),Settings!$G$6,Settings!$C$6))</f>
        <v/>
      </c>
      <c r="R257" s="7">
        <f>IF($X257="","",SUMIFS('Per Line'!$N$2:$N$1501,'Per Line'!$A$2:$A$1501,$B257,'Per Line'!$X$2:$X$1501,1))</f>
        <v/>
      </c>
      <c r="S257" s="7">
        <f>IF($X257="","",R257*Q257)</f>
        <v/>
      </c>
      <c r="T257" s="7">
        <f>IF($X257="","",S257+P257)</f>
        <v/>
      </c>
      <c r="U257" s="7">
        <f>IF($X257="","",V257-T257)</f>
        <v/>
      </c>
      <c r="V257" s="7">
        <f>IF($X257="","",O257+R257)</f>
        <v/>
      </c>
      <c r="W257" s="7">
        <f>IF($X257="","",V257-T257-M257)</f>
        <v/>
      </c>
      <c r="X257" s="16">
        <f>IF(ROWS($X$2:$X257)&lt;=MAX('Per Line'!$W$2:$W$1501),MATCH(ROWS($X$2:$X257),'Per Line'!$W$2:$W$1501,0),"")</f>
        <v/>
      </c>
      <c r="Y257">
        <f>IF($X257="","",C257&amp;"|"&amp;COUNTIF($C$2:$C257,C257))</f>
        <v/>
      </c>
    </row>
    <row r="258">
      <c r="A258" s="15" t="n"/>
      <c r="B258">
        <f>IF($X258="","",INDEX('Per Line'!$A$2:$A$1501,$X258)&amp;"")</f>
        <v/>
      </c>
      <c r="C258">
        <f>IF($X258="","",IF(OR(TRIM(H258)="",TRIM(H258)="All",TRIM(H258)="All Comp"),TRIM(J258),TRIM(H258)))</f>
        <v/>
      </c>
      <c r="D258">
        <f>IF($X258="","",INDEX('Per Line'!$B$2:$B$1501,$X258)&amp;"")</f>
        <v/>
      </c>
      <c r="E258">
        <f>IF($X258="","",INDEX('Per Line'!$C$2:$C$1501,$X258)&amp;"")</f>
        <v/>
      </c>
      <c r="F258">
        <f>IF($X258="","",INDEX('Per Line'!$D$2:$D$1501,$X258)&amp;"")</f>
        <v/>
      </c>
      <c r="G258" s="15" t="n"/>
      <c r="H258" s="15" t="n"/>
      <c r="I258" s="15" t="n"/>
      <c r="J258" s="15" t="n"/>
      <c r="K258" s="14">
        <f>IF($X258="","",INDEX('Per Line'!$R$2:$R$1501,$X258))</f>
        <v/>
      </c>
      <c r="L258">
        <f>IF($X258="","",INDEX('Per Line'!$E$2:$E$1501,$X258))</f>
        <v/>
      </c>
      <c r="M258" s="7">
        <f>IF($X258="","",L258*U258/100)</f>
        <v/>
      </c>
      <c r="N258">
        <f>IF($X258="","",IF(ISNUMBER(SEARCH("3&amp;12",SUBSTITUTE(J258," ",""))),Settings!$G$7,Settings!$C$7))</f>
        <v/>
      </c>
      <c r="O258" s="7">
        <f>IF($X258="","",SUMIFS('Per Line'!$N$2:$N$1501,'Per Line'!$A$2:$A$1501,$B258,'Per Line'!$X$2:$X$1501,0))</f>
        <v/>
      </c>
      <c r="P258" s="7">
        <f>IF($X258="","",O258*N258)</f>
        <v/>
      </c>
      <c r="Q258">
        <f>IF($X258="","",IF(ISNUMBER(SEARCH("3&amp;12",SUBSTITUTE(J258," ",""))),Settings!$G$6,Settings!$C$6))</f>
        <v/>
      </c>
      <c r="R258" s="7">
        <f>IF($X258="","",SUMIFS('Per Line'!$N$2:$N$1501,'Per Line'!$A$2:$A$1501,$B258,'Per Line'!$X$2:$X$1501,1))</f>
        <v/>
      </c>
      <c r="S258" s="7">
        <f>IF($X258="","",R258*Q258)</f>
        <v/>
      </c>
      <c r="T258" s="7">
        <f>IF($X258="","",S258+P258)</f>
        <v/>
      </c>
      <c r="U258" s="7">
        <f>IF($X258="","",V258-T258)</f>
        <v/>
      </c>
      <c r="V258" s="7">
        <f>IF($X258="","",O258+R258)</f>
        <v/>
      </c>
      <c r="W258" s="7">
        <f>IF($X258="","",V258-T258-M258)</f>
        <v/>
      </c>
      <c r="X258" s="16">
        <f>IF(ROWS($X$2:$X258)&lt;=MAX('Per Line'!$W$2:$W$1501),MATCH(ROWS($X$2:$X258),'Per Line'!$W$2:$W$1501,0),"")</f>
        <v/>
      </c>
      <c r="Y258">
        <f>IF($X258="","",C258&amp;"|"&amp;COUNTIF($C$2:$C258,C258))</f>
        <v/>
      </c>
    </row>
    <row r="259">
      <c r="A259" s="15" t="n"/>
      <c r="B259">
        <f>IF($X259="","",INDEX('Per Line'!$A$2:$A$1501,$X259)&amp;"")</f>
        <v/>
      </c>
      <c r="C259">
        <f>IF($X259="","",IF(OR(TRIM(H259)="",TRIM(H259)="All",TRIM(H259)="All Comp"),TRIM(J259),TRIM(H259)))</f>
        <v/>
      </c>
      <c r="D259">
        <f>IF($X259="","",INDEX('Per Line'!$B$2:$B$1501,$X259)&amp;"")</f>
        <v/>
      </c>
      <c r="E259">
        <f>IF($X259="","",INDEX('Per Line'!$C$2:$C$1501,$X259)&amp;"")</f>
        <v/>
      </c>
      <c r="F259">
        <f>IF($X259="","",INDEX('Per Line'!$D$2:$D$1501,$X259)&amp;"")</f>
        <v/>
      </c>
      <c r="G259" s="15" t="n"/>
      <c r="H259" s="15" t="n"/>
      <c r="I259" s="15" t="n"/>
      <c r="J259" s="15" t="n"/>
      <c r="K259" s="14">
        <f>IF($X259="","",INDEX('Per Line'!$R$2:$R$1501,$X259))</f>
        <v/>
      </c>
      <c r="L259">
        <f>IF($X259="","",INDEX('Per Line'!$E$2:$E$1501,$X259))</f>
        <v/>
      </c>
      <c r="M259" s="7">
        <f>IF($X259="","",L259*U259/100)</f>
        <v/>
      </c>
      <c r="N259">
        <f>IF($X259="","",IF(ISNUMBER(SEARCH("3&amp;12",SUBSTITUTE(J259," ",""))),Settings!$G$7,Settings!$C$7))</f>
        <v/>
      </c>
      <c r="O259" s="7">
        <f>IF($X259="","",SUMIFS('Per Line'!$N$2:$N$1501,'Per Line'!$A$2:$A$1501,$B259,'Per Line'!$X$2:$X$1501,0))</f>
        <v/>
      </c>
      <c r="P259" s="7">
        <f>IF($X259="","",O259*N259)</f>
        <v/>
      </c>
      <c r="Q259">
        <f>IF($X259="","",IF(ISNUMBER(SEARCH("3&amp;12",SUBSTITUTE(J259," ",""))),Settings!$G$6,Settings!$C$6))</f>
        <v/>
      </c>
      <c r="R259" s="7">
        <f>IF($X259="","",SUMIFS('Per Line'!$N$2:$N$1501,'Per Line'!$A$2:$A$1501,$B259,'Per Line'!$X$2:$X$1501,1))</f>
        <v/>
      </c>
      <c r="S259" s="7">
        <f>IF($X259="","",R259*Q259)</f>
        <v/>
      </c>
      <c r="T259" s="7">
        <f>IF($X259="","",S259+P259)</f>
        <v/>
      </c>
      <c r="U259" s="7">
        <f>IF($X259="","",V259-T259)</f>
        <v/>
      </c>
      <c r="V259" s="7">
        <f>IF($X259="","",O259+R259)</f>
        <v/>
      </c>
      <c r="W259" s="7">
        <f>IF($X259="","",V259-T259-M259)</f>
        <v/>
      </c>
      <c r="X259" s="16">
        <f>IF(ROWS($X$2:$X259)&lt;=MAX('Per Line'!$W$2:$W$1501),MATCH(ROWS($X$2:$X259),'Per Line'!$W$2:$W$1501,0),"")</f>
        <v/>
      </c>
      <c r="Y259">
        <f>IF($X259="","",C259&amp;"|"&amp;COUNTIF($C$2:$C259,C259))</f>
        <v/>
      </c>
    </row>
    <row r="260">
      <c r="A260" s="15" t="n"/>
      <c r="B260">
        <f>IF($X260="","",INDEX('Per Line'!$A$2:$A$1501,$X260)&amp;"")</f>
        <v/>
      </c>
      <c r="C260">
        <f>IF($X260="","",IF(OR(TRIM(H260)="",TRIM(H260)="All",TRIM(H260)="All Comp"),TRIM(J260),TRIM(H260)))</f>
        <v/>
      </c>
      <c r="D260">
        <f>IF($X260="","",INDEX('Per Line'!$B$2:$B$1501,$X260)&amp;"")</f>
        <v/>
      </c>
      <c r="E260">
        <f>IF($X260="","",INDEX('Per Line'!$C$2:$C$1501,$X260)&amp;"")</f>
        <v/>
      </c>
      <c r="F260">
        <f>IF($X260="","",INDEX('Per Line'!$D$2:$D$1501,$X260)&amp;"")</f>
        <v/>
      </c>
      <c r="G260" s="15" t="n"/>
      <c r="H260" s="15" t="n"/>
      <c r="I260" s="15" t="n"/>
      <c r="J260" s="15" t="n"/>
      <c r="K260" s="14">
        <f>IF($X260="","",INDEX('Per Line'!$R$2:$R$1501,$X260))</f>
        <v/>
      </c>
      <c r="L260">
        <f>IF($X260="","",INDEX('Per Line'!$E$2:$E$1501,$X260))</f>
        <v/>
      </c>
      <c r="M260" s="7">
        <f>IF($X260="","",L260*U260/100)</f>
        <v/>
      </c>
      <c r="N260">
        <f>IF($X260="","",IF(ISNUMBER(SEARCH("3&amp;12",SUBSTITUTE(J260," ",""))),Settings!$G$7,Settings!$C$7))</f>
        <v/>
      </c>
      <c r="O260" s="7">
        <f>IF($X260="","",SUMIFS('Per Line'!$N$2:$N$1501,'Per Line'!$A$2:$A$1501,$B260,'Per Line'!$X$2:$X$1501,0))</f>
        <v/>
      </c>
      <c r="P260" s="7">
        <f>IF($X260="","",O260*N260)</f>
        <v/>
      </c>
      <c r="Q260">
        <f>IF($X260="","",IF(ISNUMBER(SEARCH("3&amp;12",SUBSTITUTE(J260," ",""))),Settings!$G$6,Settings!$C$6))</f>
        <v/>
      </c>
      <c r="R260" s="7">
        <f>IF($X260="","",SUMIFS('Per Line'!$N$2:$N$1501,'Per Line'!$A$2:$A$1501,$B260,'Per Line'!$X$2:$X$1501,1))</f>
        <v/>
      </c>
      <c r="S260" s="7">
        <f>IF($X260="","",R260*Q260)</f>
        <v/>
      </c>
      <c r="T260" s="7">
        <f>IF($X260="","",S260+P260)</f>
        <v/>
      </c>
      <c r="U260" s="7">
        <f>IF($X260="","",V260-T260)</f>
        <v/>
      </c>
      <c r="V260" s="7">
        <f>IF($X260="","",O260+R260)</f>
        <v/>
      </c>
      <c r="W260" s="7">
        <f>IF($X260="","",V260-T260-M260)</f>
        <v/>
      </c>
      <c r="X260" s="16">
        <f>IF(ROWS($X$2:$X260)&lt;=MAX('Per Line'!$W$2:$W$1501),MATCH(ROWS($X$2:$X260),'Per Line'!$W$2:$W$1501,0),"")</f>
        <v/>
      </c>
      <c r="Y260">
        <f>IF($X260="","",C260&amp;"|"&amp;COUNTIF($C$2:$C260,C260))</f>
        <v/>
      </c>
    </row>
    <row r="261">
      <c r="A261" s="15" t="n"/>
      <c r="B261">
        <f>IF($X261="","",INDEX('Per Line'!$A$2:$A$1501,$X261)&amp;"")</f>
        <v/>
      </c>
      <c r="C261">
        <f>IF($X261="","",IF(OR(TRIM(H261)="",TRIM(H261)="All",TRIM(H261)="All Comp"),TRIM(J261),TRIM(H261)))</f>
        <v/>
      </c>
      <c r="D261">
        <f>IF($X261="","",INDEX('Per Line'!$B$2:$B$1501,$X261)&amp;"")</f>
        <v/>
      </c>
      <c r="E261">
        <f>IF($X261="","",INDEX('Per Line'!$C$2:$C$1501,$X261)&amp;"")</f>
        <v/>
      </c>
      <c r="F261">
        <f>IF($X261="","",INDEX('Per Line'!$D$2:$D$1501,$X261)&amp;"")</f>
        <v/>
      </c>
      <c r="G261" s="15" t="n"/>
      <c r="H261" s="15" t="n"/>
      <c r="I261" s="15" t="n"/>
      <c r="J261" s="15" t="n"/>
      <c r="K261" s="14">
        <f>IF($X261="","",INDEX('Per Line'!$R$2:$R$1501,$X261))</f>
        <v/>
      </c>
      <c r="L261">
        <f>IF($X261="","",INDEX('Per Line'!$E$2:$E$1501,$X261))</f>
        <v/>
      </c>
      <c r="M261" s="7">
        <f>IF($X261="","",L261*U261/100)</f>
        <v/>
      </c>
      <c r="N261">
        <f>IF($X261="","",IF(ISNUMBER(SEARCH("3&amp;12",SUBSTITUTE(J261," ",""))),Settings!$G$7,Settings!$C$7))</f>
        <v/>
      </c>
      <c r="O261" s="7">
        <f>IF($X261="","",SUMIFS('Per Line'!$N$2:$N$1501,'Per Line'!$A$2:$A$1501,$B261,'Per Line'!$X$2:$X$1501,0))</f>
        <v/>
      </c>
      <c r="P261" s="7">
        <f>IF($X261="","",O261*N261)</f>
        <v/>
      </c>
      <c r="Q261">
        <f>IF($X261="","",IF(ISNUMBER(SEARCH("3&amp;12",SUBSTITUTE(J261," ",""))),Settings!$G$6,Settings!$C$6))</f>
        <v/>
      </c>
      <c r="R261" s="7">
        <f>IF($X261="","",SUMIFS('Per Line'!$N$2:$N$1501,'Per Line'!$A$2:$A$1501,$B261,'Per Line'!$X$2:$X$1501,1))</f>
        <v/>
      </c>
      <c r="S261" s="7">
        <f>IF($X261="","",R261*Q261)</f>
        <v/>
      </c>
      <c r="T261" s="7">
        <f>IF($X261="","",S261+P261)</f>
        <v/>
      </c>
      <c r="U261" s="7">
        <f>IF($X261="","",V261-T261)</f>
        <v/>
      </c>
      <c r="V261" s="7">
        <f>IF($X261="","",O261+R261)</f>
        <v/>
      </c>
      <c r="W261" s="7">
        <f>IF($X261="","",V261-T261-M261)</f>
        <v/>
      </c>
      <c r="X261" s="16">
        <f>IF(ROWS($X$2:$X261)&lt;=MAX('Per Line'!$W$2:$W$1501),MATCH(ROWS($X$2:$X261),'Per Line'!$W$2:$W$1501,0),"")</f>
        <v/>
      </c>
      <c r="Y261">
        <f>IF($X261="","",C261&amp;"|"&amp;COUNTIF($C$2:$C261,C261))</f>
        <v/>
      </c>
    </row>
    <row r="262">
      <c r="A262" s="15" t="n"/>
      <c r="B262">
        <f>IF($X262="","",INDEX('Per Line'!$A$2:$A$1501,$X262)&amp;"")</f>
        <v/>
      </c>
      <c r="C262">
        <f>IF($X262="","",IF(OR(TRIM(H262)="",TRIM(H262)="All",TRIM(H262)="All Comp"),TRIM(J262),TRIM(H262)))</f>
        <v/>
      </c>
      <c r="D262">
        <f>IF($X262="","",INDEX('Per Line'!$B$2:$B$1501,$X262)&amp;"")</f>
        <v/>
      </c>
      <c r="E262">
        <f>IF($X262="","",INDEX('Per Line'!$C$2:$C$1501,$X262)&amp;"")</f>
        <v/>
      </c>
      <c r="F262">
        <f>IF($X262="","",INDEX('Per Line'!$D$2:$D$1501,$X262)&amp;"")</f>
        <v/>
      </c>
      <c r="G262" s="15" t="n"/>
      <c r="H262" s="15" t="n"/>
      <c r="I262" s="15" t="n"/>
      <c r="J262" s="15" t="n"/>
      <c r="K262" s="14">
        <f>IF($X262="","",INDEX('Per Line'!$R$2:$R$1501,$X262))</f>
        <v/>
      </c>
      <c r="L262">
        <f>IF($X262="","",INDEX('Per Line'!$E$2:$E$1501,$X262))</f>
        <v/>
      </c>
      <c r="M262" s="7">
        <f>IF($X262="","",L262*U262/100)</f>
        <v/>
      </c>
      <c r="N262">
        <f>IF($X262="","",IF(ISNUMBER(SEARCH("3&amp;12",SUBSTITUTE(J262," ",""))),Settings!$G$7,Settings!$C$7))</f>
        <v/>
      </c>
      <c r="O262" s="7">
        <f>IF($X262="","",SUMIFS('Per Line'!$N$2:$N$1501,'Per Line'!$A$2:$A$1501,$B262,'Per Line'!$X$2:$X$1501,0))</f>
        <v/>
      </c>
      <c r="P262" s="7">
        <f>IF($X262="","",O262*N262)</f>
        <v/>
      </c>
      <c r="Q262">
        <f>IF($X262="","",IF(ISNUMBER(SEARCH("3&amp;12",SUBSTITUTE(J262," ",""))),Settings!$G$6,Settings!$C$6))</f>
        <v/>
      </c>
      <c r="R262" s="7">
        <f>IF($X262="","",SUMIFS('Per Line'!$N$2:$N$1501,'Per Line'!$A$2:$A$1501,$B262,'Per Line'!$X$2:$X$1501,1))</f>
        <v/>
      </c>
      <c r="S262" s="7">
        <f>IF($X262="","",R262*Q262)</f>
        <v/>
      </c>
      <c r="T262" s="7">
        <f>IF($X262="","",S262+P262)</f>
        <v/>
      </c>
      <c r="U262" s="7">
        <f>IF($X262="","",V262-T262)</f>
        <v/>
      </c>
      <c r="V262" s="7">
        <f>IF($X262="","",O262+R262)</f>
        <v/>
      </c>
      <c r="W262" s="7">
        <f>IF($X262="","",V262-T262-M262)</f>
        <v/>
      </c>
      <c r="X262" s="16">
        <f>IF(ROWS($X$2:$X262)&lt;=MAX('Per Line'!$W$2:$W$1501),MATCH(ROWS($X$2:$X262),'Per Line'!$W$2:$W$1501,0),"")</f>
        <v/>
      </c>
      <c r="Y262">
        <f>IF($X262="","",C262&amp;"|"&amp;COUNTIF($C$2:$C262,C262))</f>
        <v/>
      </c>
    </row>
    <row r="263">
      <c r="A263" s="15" t="n"/>
      <c r="B263">
        <f>IF($X263="","",INDEX('Per Line'!$A$2:$A$1501,$X263)&amp;"")</f>
        <v/>
      </c>
      <c r="C263">
        <f>IF($X263="","",IF(OR(TRIM(H263)="",TRIM(H263)="All",TRIM(H263)="All Comp"),TRIM(J263),TRIM(H263)))</f>
        <v/>
      </c>
      <c r="D263">
        <f>IF($X263="","",INDEX('Per Line'!$B$2:$B$1501,$X263)&amp;"")</f>
        <v/>
      </c>
      <c r="E263">
        <f>IF($X263="","",INDEX('Per Line'!$C$2:$C$1501,$X263)&amp;"")</f>
        <v/>
      </c>
      <c r="F263">
        <f>IF($X263="","",INDEX('Per Line'!$D$2:$D$1501,$X263)&amp;"")</f>
        <v/>
      </c>
      <c r="G263" s="15" t="n"/>
      <c r="H263" s="15" t="n"/>
      <c r="I263" s="15" t="n"/>
      <c r="J263" s="15" t="n"/>
      <c r="K263" s="14">
        <f>IF($X263="","",INDEX('Per Line'!$R$2:$R$1501,$X263))</f>
        <v/>
      </c>
      <c r="L263">
        <f>IF($X263="","",INDEX('Per Line'!$E$2:$E$1501,$X263))</f>
        <v/>
      </c>
      <c r="M263" s="7">
        <f>IF($X263="","",L263*U263/100)</f>
        <v/>
      </c>
      <c r="N263">
        <f>IF($X263="","",IF(ISNUMBER(SEARCH("3&amp;12",SUBSTITUTE(J263," ",""))),Settings!$G$7,Settings!$C$7))</f>
        <v/>
      </c>
      <c r="O263" s="7">
        <f>IF($X263="","",SUMIFS('Per Line'!$N$2:$N$1501,'Per Line'!$A$2:$A$1501,$B263,'Per Line'!$X$2:$X$1501,0))</f>
        <v/>
      </c>
      <c r="P263" s="7">
        <f>IF($X263="","",O263*N263)</f>
        <v/>
      </c>
      <c r="Q263">
        <f>IF($X263="","",IF(ISNUMBER(SEARCH("3&amp;12",SUBSTITUTE(J263," ",""))),Settings!$G$6,Settings!$C$6))</f>
        <v/>
      </c>
      <c r="R263" s="7">
        <f>IF($X263="","",SUMIFS('Per Line'!$N$2:$N$1501,'Per Line'!$A$2:$A$1501,$B263,'Per Line'!$X$2:$X$1501,1))</f>
        <v/>
      </c>
      <c r="S263" s="7">
        <f>IF($X263="","",R263*Q263)</f>
        <v/>
      </c>
      <c r="T263" s="7">
        <f>IF($X263="","",S263+P263)</f>
        <v/>
      </c>
      <c r="U263" s="7">
        <f>IF($X263="","",V263-T263)</f>
        <v/>
      </c>
      <c r="V263" s="7">
        <f>IF($X263="","",O263+R263)</f>
        <v/>
      </c>
      <c r="W263" s="7">
        <f>IF($X263="","",V263-T263-M263)</f>
        <v/>
      </c>
      <c r="X263" s="16">
        <f>IF(ROWS($X$2:$X263)&lt;=MAX('Per Line'!$W$2:$W$1501),MATCH(ROWS($X$2:$X263),'Per Line'!$W$2:$W$1501,0),"")</f>
        <v/>
      </c>
      <c r="Y263">
        <f>IF($X263="","",C263&amp;"|"&amp;COUNTIF($C$2:$C263,C263))</f>
        <v/>
      </c>
    </row>
    <row r="264">
      <c r="A264" s="15" t="n"/>
      <c r="B264">
        <f>IF($X264="","",INDEX('Per Line'!$A$2:$A$1501,$X264)&amp;"")</f>
        <v/>
      </c>
      <c r="C264">
        <f>IF($X264="","",IF(OR(TRIM(H264)="",TRIM(H264)="All",TRIM(H264)="All Comp"),TRIM(J264),TRIM(H264)))</f>
        <v/>
      </c>
      <c r="D264">
        <f>IF($X264="","",INDEX('Per Line'!$B$2:$B$1501,$X264)&amp;"")</f>
        <v/>
      </c>
      <c r="E264">
        <f>IF($X264="","",INDEX('Per Line'!$C$2:$C$1501,$X264)&amp;"")</f>
        <v/>
      </c>
      <c r="F264">
        <f>IF($X264="","",INDEX('Per Line'!$D$2:$D$1501,$X264)&amp;"")</f>
        <v/>
      </c>
      <c r="G264" s="15" t="n"/>
      <c r="H264" s="15" t="n"/>
      <c r="I264" s="15" t="n"/>
      <c r="J264" s="15" t="n"/>
      <c r="K264" s="14">
        <f>IF($X264="","",INDEX('Per Line'!$R$2:$R$1501,$X264))</f>
        <v/>
      </c>
      <c r="L264">
        <f>IF($X264="","",INDEX('Per Line'!$E$2:$E$1501,$X264))</f>
        <v/>
      </c>
      <c r="M264" s="7">
        <f>IF($X264="","",L264*U264/100)</f>
        <v/>
      </c>
      <c r="N264">
        <f>IF($X264="","",IF(ISNUMBER(SEARCH("3&amp;12",SUBSTITUTE(J264," ",""))),Settings!$G$7,Settings!$C$7))</f>
        <v/>
      </c>
      <c r="O264" s="7">
        <f>IF($X264="","",SUMIFS('Per Line'!$N$2:$N$1501,'Per Line'!$A$2:$A$1501,$B264,'Per Line'!$X$2:$X$1501,0))</f>
        <v/>
      </c>
      <c r="P264" s="7">
        <f>IF($X264="","",O264*N264)</f>
        <v/>
      </c>
      <c r="Q264">
        <f>IF($X264="","",IF(ISNUMBER(SEARCH("3&amp;12",SUBSTITUTE(J264," ",""))),Settings!$G$6,Settings!$C$6))</f>
        <v/>
      </c>
      <c r="R264" s="7">
        <f>IF($X264="","",SUMIFS('Per Line'!$N$2:$N$1501,'Per Line'!$A$2:$A$1501,$B264,'Per Line'!$X$2:$X$1501,1))</f>
        <v/>
      </c>
      <c r="S264" s="7">
        <f>IF($X264="","",R264*Q264)</f>
        <v/>
      </c>
      <c r="T264" s="7">
        <f>IF($X264="","",S264+P264)</f>
        <v/>
      </c>
      <c r="U264" s="7">
        <f>IF($X264="","",V264-T264)</f>
        <v/>
      </c>
      <c r="V264" s="7">
        <f>IF($X264="","",O264+R264)</f>
        <v/>
      </c>
      <c r="W264" s="7">
        <f>IF($X264="","",V264-T264-M264)</f>
        <v/>
      </c>
      <c r="X264" s="16">
        <f>IF(ROWS($X$2:$X264)&lt;=MAX('Per Line'!$W$2:$W$1501),MATCH(ROWS($X$2:$X264),'Per Line'!$W$2:$W$1501,0),"")</f>
        <v/>
      </c>
      <c r="Y264">
        <f>IF($X264="","",C264&amp;"|"&amp;COUNTIF($C$2:$C264,C264))</f>
        <v/>
      </c>
    </row>
    <row r="265">
      <c r="A265" s="15" t="n"/>
      <c r="B265">
        <f>IF($X265="","",INDEX('Per Line'!$A$2:$A$1501,$X265)&amp;"")</f>
        <v/>
      </c>
      <c r="C265">
        <f>IF($X265="","",IF(OR(TRIM(H265)="",TRIM(H265)="All",TRIM(H265)="All Comp"),TRIM(J265),TRIM(H265)))</f>
        <v/>
      </c>
      <c r="D265">
        <f>IF($X265="","",INDEX('Per Line'!$B$2:$B$1501,$X265)&amp;"")</f>
        <v/>
      </c>
      <c r="E265">
        <f>IF($X265="","",INDEX('Per Line'!$C$2:$C$1501,$X265)&amp;"")</f>
        <v/>
      </c>
      <c r="F265">
        <f>IF($X265="","",INDEX('Per Line'!$D$2:$D$1501,$X265)&amp;"")</f>
        <v/>
      </c>
      <c r="G265" s="15" t="n"/>
      <c r="H265" s="15" t="n"/>
      <c r="I265" s="15" t="n"/>
      <c r="J265" s="15" t="n"/>
      <c r="K265" s="14">
        <f>IF($X265="","",INDEX('Per Line'!$R$2:$R$1501,$X265))</f>
        <v/>
      </c>
      <c r="L265">
        <f>IF($X265="","",INDEX('Per Line'!$E$2:$E$1501,$X265))</f>
        <v/>
      </c>
      <c r="M265" s="7">
        <f>IF($X265="","",L265*U265/100)</f>
        <v/>
      </c>
      <c r="N265">
        <f>IF($X265="","",IF(ISNUMBER(SEARCH("3&amp;12",SUBSTITUTE(J265," ",""))),Settings!$G$7,Settings!$C$7))</f>
        <v/>
      </c>
      <c r="O265" s="7">
        <f>IF($X265="","",SUMIFS('Per Line'!$N$2:$N$1501,'Per Line'!$A$2:$A$1501,$B265,'Per Line'!$X$2:$X$1501,0))</f>
        <v/>
      </c>
      <c r="P265" s="7">
        <f>IF($X265="","",O265*N265)</f>
        <v/>
      </c>
      <c r="Q265">
        <f>IF($X265="","",IF(ISNUMBER(SEARCH("3&amp;12",SUBSTITUTE(J265," ",""))),Settings!$G$6,Settings!$C$6))</f>
        <v/>
      </c>
      <c r="R265" s="7">
        <f>IF($X265="","",SUMIFS('Per Line'!$N$2:$N$1501,'Per Line'!$A$2:$A$1501,$B265,'Per Line'!$X$2:$X$1501,1))</f>
        <v/>
      </c>
      <c r="S265" s="7">
        <f>IF($X265="","",R265*Q265)</f>
        <v/>
      </c>
      <c r="T265" s="7">
        <f>IF($X265="","",S265+P265)</f>
        <v/>
      </c>
      <c r="U265" s="7">
        <f>IF($X265="","",V265-T265)</f>
        <v/>
      </c>
      <c r="V265" s="7">
        <f>IF($X265="","",O265+R265)</f>
        <v/>
      </c>
      <c r="W265" s="7">
        <f>IF($X265="","",V265-T265-M265)</f>
        <v/>
      </c>
      <c r="X265" s="16">
        <f>IF(ROWS($X$2:$X265)&lt;=MAX('Per Line'!$W$2:$W$1501),MATCH(ROWS($X$2:$X265),'Per Line'!$W$2:$W$1501,0),"")</f>
        <v/>
      </c>
      <c r="Y265">
        <f>IF($X265="","",C265&amp;"|"&amp;COUNTIF($C$2:$C265,C265))</f>
        <v/>
      </c>
    </row>
    <row r="266">
      <c r="A266" s="15" t="n"/>
      <c r="B266">
        <f>IF($X266="","",INDEX('Per Line'!$A$2:$A$1501,$X266)&amp;"")</f>
        <v/>
      </c>
      <c r="C266">
        <f>IF($X266="","",IF(OR(TRIM(H266)="",TRIM(H266)="All",TRIM(H266)="All Comp"),TRIM(J266),TRIM(H266)))</f>
        <v/>
      </c>
      <c r="D266">
        <f>IF($X266="","",INDEX('Per Line'!$B$2:$B$1501,$X266)&amp;"")</f>
        <v/>
      </c>
      <c r="E266">
        <f>IF($X266="","",INDEX('Per Line'!$C$2:$C$1501,$X266)&amp;"")</f>
        <v/>
      </c>
      <c r="F266">
        <f>IF($X266="","",INDEX('Per Line'!$D$2:$D$1501,$X266)&amp;"")</f>
        <v/>
      </c>
      <c r="G266" s="15" t="n"/>
      <c r="H266" s="15" t="n"/>
      <c r="I266" s="15" t="n"/>
      <c r="J266" s="15" t="n"/>
      <c r="K266" s="14">
        <f>IF($X266="","",INDEX('Per Line'!$R$2:$R$1501,$X266))</f>
        <v/>
      </c>
      <c r="L266">
        <f>IF($X266="","",INDEX('Per Line'!$E$2:$E$1501,$X266))</f>
        <v/>
      </c>
      <c r="M266" s="7">
        <f>IF($X266="","",L266*U266/100)</f>
        <v/>
      </c>
      <c r="N266">
        <f>IF($X266="","",IF(ISNUMBER(SEARCH("3&amp;12",SUBSTITUTE(J266," ",""))),Settings!$G$7,Settings!$C$7))</f>
        <v/>
      </c>
      <c r="O266" s="7">
        <f>IF($X266="","",SUMIFS('Per Line'!$N$2:$N$1501,'Per Line'!$A$2:$A$1501,$B266,'Per Line'!$X$2:$X$1501,0))</f>
        <v/>
      </c>
      <c r="P266" s="7">
        <f>IF($X266="","",O266*N266)</f>
        <v/>
      </c>
      <c r="Q266">
        <f>IF($X266="","",IF(ISNUMBER(SEARCH("3&amp;12",SUBSTITUTE(J266," ",""))),Settings!$G$6,Settings!$C$6))</f>
        <v/>
      </c>
      <c r="R266" s="7">
        <f>IF($X266="","",SUMIFS('Per Line'!$N$2:$N$1501,'Per Line'!$A$2:$A$1501,$B266,'Per Line'!$X$2:$X$1501,1))</f>
        <v/>
      </c>
      <c r="S266" s="7">
        <f>IF($X266="","",R266*Q266)</f>
        <v/>
      </c>
      <c r="T266" s="7">
        <f>IF($X266="","",S266+P266)</f>
        <v/>
      </c>
      <c r="U266" s="7">
        <f>IF($X266="","",V266-T266)</f>
        <v/>
      </c>
      <c r="V266" s="7">
        <f>IF($X266="","",O266+R266)</f>
        <v/>
      </c>
      <c r="W266" s="7">
        <f>IF($X266="","",V266-T266-M266)</f>
        <v/>
      </c>
      <c r="X266" s="16">
        <f>IF(ROWS($X$2:$X266)&lt;=MAX('Per Line'!$W$2:$W$1501),MATCH(ROWS($X$2:$X266),'Per Line'!$W$2:$W$1501,0),"")</f>
        <v/>
      </c>
      <c r="Y266">
        <f>IF($X266="","",C266&amp;"|"&amp;COUNTIF($C$2:$C266,C266))</f>
        <v/>
      </c>
    </row>
    <row r="267">
      <c r="A267" s="15" t="n"/>
      <c r="B267">
        <f>IF($X267="","",INDEX('Per Line'!$A$2:$A$1501,$X267)&amp;"")</f>
        <v/>
      </c>
      <c r="C267">
        <f>IF($X267="","",IF(OR(TRIM(H267)="",TRIM(H267)="All",TRIM(H267)="All Comp"),TRIM(J267),TRIM(H267)))</f>
        <v/>
      </c>
      <c r="D267">
        <f>IF($X267="","",INDEX('Per Line'!$B$2:$B$1501,$X267)&amp;"")</f>
        <v/>
      </c>
      <c r="E267">
        <f>IF($X267="","",INDEX('Per Line'!$C$2:$C$1501,$X267)&amp;"")</f>
        <v/>
      </c>
      <c r="F267">
        <f>IF($X267="","",INDEX('Per Line'!$D$2:$D$1501,$X267)&amp;"")</f>
        <v/>
      </c>
      <c r="G267" s="15" t="n"/>
      <c r="H267" s="15" t="n"/>
      <c r="I267" s="15" t="n"/>
      <c r="J267" s="15" t="n"/>
      <c r="K267" s="14">
        <f>IF($X267="","",INDEX('Per Line'!$R$2:$R$1501,$X267))</f>
        <v/>
      </c>
      <c r="L267">
        <f>IF($X267="","",INDEX('Per Line'!$E$2:$E$1501,$X267))</f>
        <v/>
      </c>
      <c r="M267" s="7">
        <f>IF($X267="","",L267*U267/100)</f>
        <v/>
      </c>
      <c r="N267">
        <f>IF($X267="","",IF(ISNUMBER(SEARCH("3&amp;12",SUBSTITUTE(J267," ",""))),Settings!$G$7,Settings!$C$7))</f>
        <v/>
      </c>
      <c r="O267" s="7">
        <f>IF($X267="","",SUMIFS('Per Line'!$N$2:$N$1501,'Per Line'!$A$2:$A$1501,$B267,'Per Line'!$X$2:$X$1501,0))</f>
        <v/>
      </c>
      <c r="P267" s="7">
        <f>IF($X267="","",O267*N267)</f>
        <v/>
      </c>
      <c r="Q267">
        <f>IF($X267="","",IF(ISNUMBER(SEARCH("3&amp;12",SUBSTITUTE(J267," ",""))),Settings!$G$6,Settings!$C$6))</f>
        <v/>
      </c>
      <c r="R267" s="7">
        <f>IF($X267="","",SUMIFS('Per Line'!$N$2:$N$1501,'Per Line'!$A$2:$A$1501,$B267,'Per Line'!$X$2:$X$1501,1))</f>
        <v/>
      </c>
      <c r="S267" s="7">
        <f>IF($X267="","",R267*Q267)</f>
        <v/>
      </c>
      <c r="T267" s="7">
        <f>IF($X267="","",S267+P267)</f>
        <v/>
      </c>
      <c r="U267" s="7">
        <f>IF($X267="","",V267-T267)</f>
        <v/>
      </c>
      <c r="V267" s="7">
        <f>IF($X267="","",O267+R267)</f>
        <v/>
      </c>
      <c r="W267" s="7">
        <f>IF($X267="","",V267-T267-M267)</f>
        <v/>
      </c>
      <c r="X267" s="16">
        <f>IF(ROWS($X$2:$X267)&lt;=MAX('Per Line'!$W$2:$W$1501),MATCH(ROWS($X$2:$X267),'Per Line'!$W$2:$W$1501,0),"")</f>
        <v/>
      </c>
      <c r="Y267">
        <f>IF($X267="","",C267&amp;"|"&amp;COUNTIF($C$2:$C267,C267))</f>
        <v/>
      </c>
    </row>
    <row r="268">
      <c r="A268" s="15" t="n"/>
      <c r="B268">
        <f>IF($X268="","",INDEX('Per Line'!$A$2:$A$1501,$X268)&amp;"")</f>
        <v/>
      </c>
      <c r="C268">
        <f>IF($X268="","",IF(OR(TRIM(H268)="",TRIM(H268)="All",TRIM(H268)="All Comp"),TRIM(J268),TRIM(H268)))</f>
        <v/>
      </c>
      <c r="D268">
        <f>IF($X268="","",INDEX('Per Line'!$B$2:$B$1501,$X268)&amp;"")</f>
        <v/>
      </c>
      <c r="E268">
        <f>IF($X268="","",INDEX('Per Line'!$C$2:$C$1501,$X268)&amp;"")</f>
        <v/>
      </c>
      <c r="F268">
        <f>IF($X268="","",INDEX('Per Line'!$D$2:$D$1501,$X268)&amp;"")</f>
        <v/>
      </c>
      <c r="G268" s="15" t="n"/>
      <c r="H268" s="15" t="n"/>
      <c r="I268" s="15" t="n"/>
      <c r="J268" s="15" t="n"/>
      <c r="K268" s="14">
        <f>IF($X268="","",INDEX('Per Line'!$R$2:$R$1501,$X268))</f>
        <v/>
      </c>
      <c r="L268">
        <f>IF($X268="","",INDEX('Per Line'!$E$2:$E$1501,$X268))</f>
        <v/>
      </c>
      <c r="M268" s="7">
        <f>IF($X268="","",L268*U268/100)</f>
        <v/>
      </c>
      <c r="N268">
        <f>IF($X268="","",IF(ISNUMBER(SEARCH("3&amp;12",SUBSTITUTE(J268," ",""))),Settings!$G$7,Settings!$C$7))</f>
        <v/>
      </c>
      <c r="O268" s="7">
        <f>IF($X268="","",SUMIFS('Per Line'!$N$2:$N$1501,'Per Line'!$A$2:$A$1501,$B268,'Per Line'!$X$2:$X$1501,0))</f>
        <v/>
      </c>
      <c r="P268" s="7">
        <f>IF($X268="","",O268*N268)</f>
        <v/>
      </c>
      <c r="Q268">
        <f>IF($X268="","",IF(ISNUMBER(SEARCH("3&amp;12",SUBSTITUTE(J268," ",""))),Settings!$G$6,Settings!$C$6))</f>
        <v/>
      </c>
      <c r="R268" s="7">
        <f>IF($X268="","",SUMIFS('Per Line'!$N$2:$N$1501,'Per Line'!$A$2:$A$1501,$B268,'Per Line'!$X$2:$X$1501,1))</f>
        <v/>
      </c>
      <c r="S268" s="7">
        <f>IF($X268="","",R268*Q268)</f>
        <v/>
      </c>
      <c r="T268" s="7">
        <f>IF($X268="","",S268+P268)</f>
        <v/>
      </c>
      <c r="U268" s="7">
        <f>IF($X268="","",V268-T268)</f>
        <v/>
      </c>
      <c r="V268" s="7">
        <f>IF($X268="","",O268+R268)</f>
        <v/>
      </c>
      <c r="W268" s="7">
        <f>IF($X268="","",V268-T268-M268)</f>
        <v/>
      </c>
      <c r="X268" s="16">
        <f>IF(ROWS($X$2:$X268)&lt;=MAX('Per Line'!$W$2:$W$1501),MATCH(ROWS($X$2:$X268),'Per Line'!$W$2:$W$1501,0),"")</f>
        <v/>
      </c>
      <c r="Y268">
        <f>IF($X268="","",C268&amp;"|"&amp;COUNTIF($C$2:$C268,C268))</f>
        <v/>
      </c>
    </row>
    <row r="269">
      <c r="A269" s="15" t="n"/>
      <c r="B269">
        <f>IF($X269="","",INDEX('Per Line'!$A$2:$A$1501,$X269)&amp;"")</f>
        <v/>
      </c>
      <c r="C269">
        <f>IF($X269="","",IF(OR(TRIM(H269)="",TRIM(H269)="All",TRIM(H269)="All Comp"),TRIM(J269),TRIM(H269)))</f>
        <v/>
      </c>
      <c r="D269">
        <f>IF($X269="","",INDEX('Per Line'!$B$2:$B$1501,$X269)&amp;"")</f>
        <v/>
      </c>
      <c r="E269">
        <f>IF($X269="","",INDEX('Per Line'!$C$2:$C$1501,$X269)&amp;"")</f>
        <v/>
      </c>
      <c r="F269">
        <f>IF($X269="","",INDEX('Per Line'!$D$2:$D$1501,$X269)&amp;"")</f>
        <v/>
      </c>
      <c r="G269" s="15" t="n"/>
      <c r="H269" s="15" t="n"/>
      <c r="I269" s="15" t="n"/>
      <c r="J269" s="15" t="n"/>
      <c r="K269" s="14">
        <f>IF($X269="","",INDEX('Per Line'!$R$2:$R$1501,$X269))</f>
        <v/>
      </c>
      <c r="L269">
        <f>IF($X269="","",INDEX('Per Line'!$E$2:$E$1501,$X269))</f>
        <v/>
      </c>
      <c r="M269" s="7">
        <f>IF($X269="","",L269*U269/100)</f>
        <v/>
      </c>
      <c r="N269">
        <f>IF($X269="","",IF(ISNUMBER(SEARCH("3&amp;12",SUBSTITUTE(J269," ",""))),Settings!$G$7,Settings!$C$7))</f>
        <v/>
      </c>
      <c r="O269" s="7">
        <f>IF($X269="","",SUMIFS('Per Line'!$N$2:$N$1501,'Per Line'!$A$2:$A$1501,$B269,'Per Line'!$X$2:$X$1501,0))</f>
        <v/>
      </c>
      <c r="P269" s="7">
        <f>IF($X269="","",O269*N269)</f>
        <v/>
      </c>
      <c r="Q269">
        <f>IF($X269="","",IF(ISNUMBER(SEARCH("3&amp;12",SUBSTITUTE(J269," ",""))),Settings!$G$6,Settings!$C$6))</f>
        <v/>
      </c>
      <c r="R269" s="7">
        <f>IF($X269="","",SUMIFS('Per Line'!$N$2:$N$1501,'Per Line'!$A$2:$A$1501,$B269,'Per Line'!$X$2:$X$1501,1))</f>
        <v/>
      </c>
      <c r="S269" s="7">
        <f>IF($X269="","",R269*Q269)</f>
        <v/>
      </c>
      <c r="T269" s="7">
        <f>IF($X269="","",S269+P269)</f>
        <v/>
      </c>
      <c r="U269" s="7">
        <f>IF($X269="","",V269-T269)</f>
        <v/>
      </c>
      <c r="V269" s="7">
        <f>IF($X269="","",O269+R269)</f>
        <v/>
      </c>
      <c r="W269" s="7">
        <f>IF($X269="","",V269-T269-M269)</f>
        <v/>
      </c>
      <c r="X269" s="16">
        <f>IF(ROWS($X$2:$X269)&lt;=MAX('Per Line'!$W$2:$W$1501),MATCH(ROWS($X$2:$X269),'Per Line'!$W$2:$W$1501,0),"")</f>
        <v/>
      </c>
      <c r="Y269">
        <f>IF($X269="","",C269&amp;"|"&amp;COUNTIF($C$2:$C269,C269))</f>
        <v/>
      </c>
    </row>
    <row r="270">
      <c r="A270" s="15" t="n"/>
      <c r="B270">
        <f>IF($X270="","",INDEX('Per Line'!$A$2:$A$1501,$X270)&amp;"")</f>
        <v/>
      </c>
      <c r="C270">
        <f>IF($X270="","",IF(OR(TRIM(H270)="",TRIM(H270)="All",TRIM(H270)="All Comp"),TRIM(J270),TRIM(H270)))</f>
        <v/>
      </c>
      <c r="D270">
        <f>IF($X270="","",INDEX('Per Line'!$B$2:$B$1501,$X270)&amp;"")</f>
        <v/>
      </c>
      <c r="E270">
        <f>IF($X270="","",INDEX('Per Line'!$C$2:$C$1501,$X270)&amp;"")</f>
        <v/>
      </c>
      <c r="F270">
        <f>IF($X270="","",INDEX('Per Line'!$D$2:$D$1501,$X270)&amp;"")</f>
        <v/>
      </c>
      <c r="G270" s="15" t="n"/>
      <c r="H270" s="15" t="n"/>
      <c r="I270" s="15" t="n"/>
      <c r="J270" s="15" t="n"/>
      <c r="K270" s="14">
        <f>IF($X270="","",INDEX('Per Line'!$R$2:$R$1501,$X270))</f>
        <v/>
      </c>
      <c r="L270">
        <f>IF($X270="","",INDEX('Per Line'!$E$2:$E$1501,$X270))</f>
        <v/>
      </c>
      <c r="M270" s="7">
        <f>IF($X270="","",L270*U270/100)</f>
        <v/>
      </c>
      <c r="N270">
        <f>IF($X270="","",IF(ISNUMBER(SEARCH("3&amp;12",SUBSTITUTE(J270," ",""))),Settings!$G$7,Settings!$C$7))</f>
        <v/>
      </c>
      <c r="O270" s="7">
        <f>IF($X270="","",SUMIFS('Per Line'!$N$2:$N$1501,'Per Line'!$A$2:$A$1501,$B270,'Per Line'!$X$2:$X$1501,0))</f>
        <v/>
      </c>
      <c r="P270" s="7">
        <f>IF($X270="","",O270*N270)</f>
        <v/>
      </c>
      <c r="Q270">
        <f>IF($X270="","",IF(ISNUMBER(SEARCH("3&amp;12",SUBSTITUTE(J270," ",""))),Settings!$G$6,Settings!$C$6))</f>
        <v/>
      </c>
      <c r="R270" s="7">
        <f>IF($X270="","",SUMIFS('Per Line'!$N$2:$N$1501,'Per Line'!$A$2:$A$1501,$B270,'Per Line'!$X$2:$X$1501,1))</f>
        <v/>
      </c>
      <c r="S270" s="7">
        <f>IF($X270="","",R270*Q270)</f>
        <v/>
      </c>
      <c r="T270" s="7">
        <f>IF($X270="","",S270+P270)</f>
        <v/>
      </c>
      <c r="U270" s="7">
        <f>IF($X270="","",V270-T270)</f>
        <v/>
      </c>
      <c r="V270" s="7">
        <f>IF($X270="","",O270+R270)</f>
        <v/>
      </c>
      <c r="W270" s="7">
        <f>IF($X270="","",V270-T270-M270)</f>
        <v/>
      </c>
      <c r="X270" s="16">
        <f>IF(ROWS($X$2:$X270)&lt;=MAX('Per Line'!$W$2:$W$1501),MATCH(ROWS($X$2:$X270),'Per Line'!$W$2:$W$1501,0),"")</f>
        <v/>
      </c>
      <c r="Y270">
        <f>IF($X270="","",C270&amp;"|"&amp;COUNTIF($C$2:$C270,C270))</f>
        <v/>
      </c>
    </row>
    <row r="271">
      <c r="A271" s="15" t="n"/>
      <c r="B271">
        <f>IF($X271="","",INDEX('Per Line'!$A$2:$A$1501,$X271)&amp;"")</f>
        <v/>
      </c>
      <c r="C271">
        <f>IF($X271="","",IF(OR(TRIM(H271)="",TRIM(H271)="All",TRIM(H271)="All Comp"),TRIM(J271),TRIM(H271)))</f>
        <v/>
      </c>
      <c r="D271">
        <f>IF($X271="","",INDEX('Per Line'!$B$2:$B$1501,$X271)&amp;"")</f>
        <v/>
      </c>
      <c r="E271">
        <f>IF($X271="","",INDEX('Per Line'!$C$2:$C$1501,$X271)&amp;"")</f>
        <v/>
      </c>
      <c r="F271">
        <f>IF($X271="","",INDEX('Per Line'!$D$2:$D$1501,$X271)&amp;"")</f>
        <v/>
      </c>
      <c r="G271" s="15" t="n"/>
      <c r="H271" s="15" t="n"/>
      <c r="I271" s="15" t="n"/>
      <c r="J271" s="15" t="n"/>
      <c r="K271" s="14">
        <f>IF($X271="","",INDEX('Per Line'!$R$2:$R$1501,$X271))</f>
        <v/>
      </c>
      <c r="L271">
        <f>IF($X271="","",INDEX('Per Line'!$E$2:$E$1501,$X271))</f>
        <v/>
      </c>
      <c r="M271" s="7">
        <f>IF($X271="","",L271*U271/100)</f>
        <v/>
      </c>
      <c r="N271">
        <f>IF($X271="","",IF(ISNUMBER(SEARCH("3&amp;12",SUBSTITUTE(J271," ",""))),Settings!$G$7,Settings!$C$7))</f>
        <v/>
      </c>
      <c r="O271" s="7">
        <f>IF($X271="","",SUMIFS('Per Line'!$N$2:$N$1501,'Per Line'!$A$2:$A$1501,$B271,'Per Line'!$X$2:$X$1501,0))</f>
        <v/>
      </c>
      <c r="P271" s="7">
        <f>IF($X271="","",O271*N271)</f>
        <v/>
      </c>
      <c r="Q271">
        <f>IF($X271="","",IF(ISNUMBER(SEARCH("3&amp;12",SUBSTITUTE(J271," ",""))),Settings!$G$6,Settings!$C$6))</f>
        <v/>
      </c>
      <c r="R271" s="7">
        <f>IF($X271="","",SUMIFS('Per Line'!$N$2:$N$1501,'Per Line'!$A$2:$A$1501,$B271,'Per Line'!$X$2:$X$1501,1))</f>
        <v/>
      </c>
      <c r="S271" s="7">
        <f>IF($X271="","",R271*Q271)</f>
        <v/>
      </c>
      <c r="T271" s="7">
        <f>IF($X271="","",S271+P271)</f>
        <v/>
      </c>
      <c r="U271" s="7">
        <f>IF($X271="","",V271-T271)</f>
        <v/>
      </c>
      <c r="V271" s="7">
        <f>IF($X271="","",O271+R271)</f>
        <v/>
      </c>
      <c r="W271" s="7">
        <f>IF($X271="","",V271-T271-M271)</f>
        <v/>
      </c>
      <c r="X271" s="16">
        <f>IF(ROWS($X$2:$X271)&lt;=MAX('Per Line'!$W$2:$W$1501),MATCH(ROWS($X$2:$X271),'Per Line'!$W$2:$W$1501,0),"")</f>
        <v/>
      </c>
      <c r="Y271">
        <f>IF($X271="","",C271&amp;"|"&amp;COUNTIF($C$2:$C271,C271))</f>
        <v/>
      </c>
    </row>
    <row r="272">
      <c r="A272" s="15" t="n"/>
      <c r="B272">
        <f>IF($X272="","",INDEX('Per Line'!$A$2:$A$1501,$X272)&amp;"")</f>
        <v/>
      </c>
      <c r="C272">
        <f>IF($X272="","",IF(OR(TRIM(H272)="",TRIM(H272)="All",TRIM(H272)="All Comp"),TRIM(J272),TRIM(H272)))</f>
        <v/>
      </c>
      <c r="D272">
        <f>IF($X272="","",INDEX('Per Line'!$B$2:$B$1501,$X272)&amp;"")</f>
        <v/>
      </c>
      <c r="E272">
        <f>IF($X272="","",INDEX('Per Line'!$C$2:$C$1501,$X272)&amp;"")</f>
        <v/>
      </c>
      <c r="F272">
        <f>IF($X272="","",INDEX('Per Line'!$D$2:$D$1501,$X272)&amp;"")</f>
        <v/>
      </c>
      <c r="G272" s="15" t="n"/>
      <c r="H272" s="15" t="n"/>
      <c r="I272" s="15" t="n"/>
      <c r="J272" s="15" t="n"/>
      <c r="K272" s="14">
        <f>IF($X272="","",INDEX('Per Line'!$R$2:$R$1501,$X272))</f>
        <v/>
      </c>
      <c r="L272">
        <f>IF($X272="","",INDEX('Per Line'!$E$2:$E$1501,$X272))</f>
        <v/>
      </c>
      <c r="M272" s="7">
        <f>IF($X272="","",L272*U272/100)</f>
        <v/>
      </c>
      <c r="N272">
        <f>IF($X272="","",IF(ISNUMBER(SEARCH("3&amp;12",SUBSTITUTE(J272," ",""))),Settings!$G$7,Settings!$C$7))</f>
        <v/>
      </c>
      <c r="O272" s="7">
        <f>IF($X272="","",SUMIFS('Per Line'!$N$2:$N$1501,'Per Line'!$A$2:$A$1501,$B272,'Per Line'!$X$2:$X$1501,0))</f>
        <v/>
      </c>
      <c r="P272" s="7">
        <f>IF($X272="","",O272*N272)</f>
        <v/>
      </c>
      <c r="Q272">
        <f>IF($X272="","",IF(ISNUMBER(SEARCH("3&amp;12",SUBSTITUTE(J272," ",""))),Settings!$G$6,Settings!$C$6))</f>
        <v/>
      </c>
      <c r="R272" s="7">
        <f>IF($X272="","",SUMIFS('Per Line'!$N$2:$N$1501,'Per Line'!$A$2:$A$1501,$B272,'Per Line'!$X$2:$X$1501,1))</f>
        <v/>
      </c>
      <c r="S272" s="7">
        <f>IF($X272="","",R272*Q272)</f>
        <v/>
      </c>
      <c r="T272" s="7">
        <f>IF($X272="","",S272+P272)</f>
        <v/>
      </c>
      <c r="U272" s="7">
        <f>IF($X272="","",V272-T272)</f>
        <v/>
      </c>
      <c r="V272" s="7">
        <f>IF($X272="","",O272+R272)</f>
        <v/>
      </c>
      <c r="W272" s="7">
        <f>IF($X272="","",V272-T272-M272)</f>
        <v/>
      </c>
      <c r="X272" s="16">
        <f>IF(ROWS($X$2:$X272)&lt;=MAX('Per Line'!$W$2:$W$1501),MATCH(ROWS($X$2:$X272),'Per Line'!$W$2:$W$1501,0),"")</f>
        <v/>
      </c>
      <c r="Y272">
        <f>IF($X272="","",C272&amp;"|"&amp;COUNTIF($C$2:$C272,C272))</f>
        <v/>
      </c>
    </row>
    <row r="273">
      <c r="A273" s="15" t="n"/>
      <c r="B273">
        <f>IF($X273="","",INDEX('Per Line'!$A$2:$A$1501,$X273)&amp;"")</f>
        <v/>
      </c>
      <c r="C273">
        <f>IF($X273="","",IF(OR(TRIM(H273)="",TRIM(H273)="All",TRIM(H273)="All Comp"),TRIM(J273),TRIM(H273)))</f>
        <v/>
      </c>
      <c r="D273">
        <f>IF($X273="","",INDEX('Per Line'!$B$2:$B$1501,$X273)&amp;"")</f>
        <v/>
      </c>
      <c r="E273">
        <f>IF($X273="","",INDEX('Per Line'!$C$2:$C$1501,$X273)&amp;"")</f>
        <v/>
      </c>
      <c r="F273">
        <f>IF($X273="","",INDEX('Per Line'!$D$2:$D$1501,$X273)&amp;"")</f>
        <v/>
      </c>
      <c r="G273" s="15" t="n"/>
      <c r="H273" s="15" t="n"/>
      <c r="I273" s="15" t="n"/>
      <c r="J273" s="15" t="n"/>
      <c r="K273" s="14">
        <f>IF($X273="","",INDEX('Per Line'!$R$2:$R$1501,$X273))</f>
        <v/>
      </c>
      <c r="L273">
        <f>IF($X273="","",INDEX('Per Line'!$E$2:$E$1501,$X273))</f>
        <v/>
      </c>
      <c r="M273" s="7">
        <f>IF($X273="","",L273*U273/100)</f>
        <v/>
      </c>
      <c r="N273">
        <f>IF($X273="","",IF(ISNUMBER(SEARCH("3&amp;12",SUBSTITUTE(J273," ",""))),Settings!$G$7,Settings!$C$7))</f>
        <v/>
      </c>
      <c r="O273" s="7">
        <f>IF($X273="","",SUMIFS('Per Line'!$N$2:$N$1501,'Per Line'!$A$2:$A$1501,$B273,'Per Line'!$X$2:$X$1501,0))</f>
        <v/>
      </c>
      <c r="P273" s="7">
        <f>IF($X273="","",O273*N273)</f>
        <v/>
      </c>
      <c r="Q273">
        <f>IF($X273="","",IF(ISNUMBER(SEARCH("3&amp;12",SUBSTITUTE(J273," ",""))),Settings!$G$6,Settings!$C$6))</f>
        <v/>
      </c>
      <c r="R273" s="7">
        <f>IF($X273="","",SUMIFS('Per Line'!$N$2:$N$1501,'Per Line'!$A$2:$A$1501,$B273,'Per Line'!$X$2:$X$1501,1))</f>
        <v/>
      </c>
      <c r="S273" s="7">
        <f>IF($X273="","",R273*Q273)</f>
        <v/>
      </c>
      <c r="T273" s="7">
        <f>IF($X273="","",S273+P273)</f>
        <v/>
      </c>
      <c r="U273" s="7">
        <f>IF($X273="","",V273-T273)</f>
        <v/>
      </c>
      <c r="V273" s="7">
        <f>IF($X273="","",O273+R273)</f>
        <v/>
      </c>
      <c r="W273" s="7">
        <f>IF($X273="","",V273-T273-M273)</f>
        <v/>
      </c>
      <c r="X273" s="16">
        <f>IF(ROWS($X$2:$X273)&lt;=MAX('Per Line'!$W$2:$W$1501),MATCH(ROWS($X$2:$X273),'Per Line'!$W$2:$W$1501,0),"")</f>
        <v/>
      </c>
      <c r="Y273">
        <f>IF($X273="","",C273&amp;"|"&amp;COUNTIF($C$2:$C273,C273))</f>
        <v/>
      </c>
    </row>
    <row r="274">
      <c r="A274" s="15" t="n"/>
      <c r="B274">
        <f>IF($X274="","",INDEX('Per Line'!$A$2:$A$1501,$X274)&amp;"")</f>
        <v/>
      </c>
      <c r="C274">
        <f>IF($X274="","",IF(OR(TRIM(H274)="",TRIM(H274)="All",TRIM(H274)="All Comp"),TRIM(J274),TRIM(H274)))</f>
        <v/>
      </c>
      <c r="D274">
        <f>IF($X274="","",INDEX('Per Line'!$B$2:$B$1501,$X274)&amp;"")</f>
        <v/>
      </c>
      <c r="E274">
        <f>IF($X274="","",INDEX('Per Line'!$C$2:$C$1501,$X274)&amp;"")</f>
        <v/>
      </c>
      <c r="F274">
        <f>IF($X274="","",INDEX('Per Line'!$D$2:$D$1501,$X274)&amp;"")</f>
        <v/>
      </c>
      <c r="G274" s="15" t="n"/>
      <c r="H274" s="15" t="n"/>
      <c r="I274" s="15" t="n"/>
      <c r="J274" s="15" t="n"/>
      <c r="K274" s="14">
        <f>IF($X274="","",INDEX('Per Line'!$R$2:$R$1501,$X274))</f>
        <v/>
      </c>
      <c r="L274">
        <f>IF($X274="","",INDEX('Per Line'!$E$2:$E$1501,$X274))</f>
        <v/>
      </c>
      <c r="M274" s="7">
        <f>IF($X274="","",L274*U274/100)</f>
        <v/>
      </c>
      <c r="N274">
        <f>IF($X274="","",IF(ISNUMBER(SEARCH("3&amp;12",SUBSTITUTE(J274," ",""))),Settings!$G$7,Settings!$C$7))</f>
        <v/>
      </c>
      <c r="O274" s="7">
        <f>IF($X274="","",SUMIFS('Per Line'!$N$2:$N$1501,'Per Line'!$A$2:$A$1501,$B274,'Per Line'!$X$2:$X$1501,0))</f>
        <v/>
      </c>
      <c r="P274" s="7">
        <f>IF($X274="","",O274*N274)</f>
        <v/>
      </c>
      <c r="Q274">
        <f>IF($X274="","",IF(ISNUMBER(SEARCH("3&amp;12",SUBSTITUTE(J274," ",""))),Settings!$G$6,Settings!$C$6))</f>
        <v/>
      </c>
      <c r="R274" s="7">
        <f>IF($X274="","",SUMIFS('Per Line'!$N$2:$N$1501,'Per Line'!$A$2:$A$1501,$B274,'Per Line'!$X$2:$X$1501,1))</f>
        <v/>
      </c>
      <c r="S274" s="7">
        <f>IF($X274="","",R274*Q274)</f>
        <v/>
      </c>
      <c r="T274" s="7">
        <f>IF($X274="","",S274+P274)</f>
        <v/>
      </c>
      <c r="U274" s="7">
        <f>IF($X274="","",V274-T274)</f>
        <v/>
      </c>
      <c r="V274" s="7">
        <f>IF($X274="","",O274+R274)</f>
        <v/>
      </c>
      <c r="W274" s="7">
        <f>IF($X274="","",V274-T274-M274)</f>
        <v/>
      </c>
      <c r="X274" s="16">
        <f>IF(ROWS($X$2:$X274)&lt;=MAX('Per Line'!$W$2:$W$1501),MATCH(ROWS($X$2:$X274),'Per Line'!$W$2:$W$1501,0),"")</f>
        <v/>
      </c>
      <c r="Y274">
        <f>IF($X274="","",C274&amp;"|"&amp;COUNTIF($C$2:$C274,C274))</f>
        <v/>
      </c>
    </row>
    <row r="275">
      <c r="A275" s="15" t="n"/>
      <c r="B275">
        <f>IF($X275="","",INDEX('Per Line'!$A$2:$A$1501,$X275)&amp;"")</f>
        <v/>
      </c>
      <c r="C275">
        <f>IF($X275="","",IF(OR(TRIM(H275)="",TRIM(H275)="All",TRIM(H275)="All Comp"),TRIM(J275),TRIM(H275)))</f>
        <v/>
      </c>
      <c r="D275">
        <f>IF($X275="","",INDEX('Per Line'!$B$2:$B$1501,$X275)&amp;"")</f>
        <v/>
      </c>
      <c r="E275">
        <f>IF($X275="","",INDEX('Per Line'!$C$2:$C$1501,$X275)&amp;"")</f>
        <v/>
      </c>
      <c r="F275">
        <f>IF($X275="","",INDEX('Per Line'!$D$2:$D$1501,$X275)&amp;"")</f>
        <v/>
      </c>
      <c r="G275" s="15" t="n"/>
      <c r="H275" s="15" t="n"/>
      <c r="I275" s="15" t="n"/>
      <c r="J275" s="15" t="n"/>
      <c r="K275" s="14">
        <f>IF($X275="","",INDEX('Per Line'!$R$2:$R$1501,$X275))</f>
        <v/>
      </c>
      <c r="L275">
        <f>IF($X275="","",INDEX('Per Line'!$E$2:$E$1501,$X275))</f>
        <v/>
      </c>
      <c r="M275" s="7">
        <f>IF($X275="","",L275*U275/100)</f>
        <v/>
      </c>
      <c r="N275">
        <f>IF($X275="","",IF(ISNUMBER(SEARCH("3&amp;12",SUBSTITUTE(J275," ",""))),Settings!$G$7,Settings!$C$7))</f>
        <v/>
      </c>
      <c r="O275" s="7">
        <f>IF($X275="","",SUMIFS('Per Line'!$N$2:$N$1501,'Per Line'!$A$2:$A$1501,$B275,'Per Line'!$X$2:$X$1501,0))</f>
        <v/>
      </c>
      <c r="P275" s="7">
        <f>IF($X275="","",O275*N275)</f>
        <v/>
      </c>
      <c r="Q275">
        <f>IF($X275="","",IF(ISNUMBER(SEARCH("3&amp;12",SUBSTITUTE(J275," ",""))),Settings!$G$6,Settings!$C$6))</f>
        <v/>
      </c>
      <c r="R275" s="7">
        <f>IF($X275="","",SUMIFS('Per Line'!$N$2:$N$1501,'Per Line'!$A$2:$A$1501,$B275,'Per Line'!$X$2:$X$1501,1))</f>
        <v/>
      </c>
      <c r="S275" s="7">
        <f>IF($X275="","",R275*Q275)</f>
        <v/>
      </c>
      <c r="T275" s="7">
        <f>IF($X275="","",S275+P275)</f>
        <v/>
      </c>
      <c r="U275" s="7">
        <f>IF($X275="","",V275-T275)</f>
        <v/>
      </c>
      <c r="V275" s="7">
        <f>IF($X275="","",O275+R275)</f>
        <v/>
      </c>
      <c r="W275" s="7">
        <f>IF($X275="","",V275-T275-M275)</f>
        <v/>
      </c>
      <c r="X275" s="16">
        <f>IF(ROWS($X$2:$X275)&lt;=MAX('Per Line'!$W$2:$W$1501),MATCH(ROWS($X$2:$X275),'Per Line'!$W$2:$W$1501,0),"")</f>
        <v/>
      </c>
      <c r="Y275">
        <f>IF($X275="","",C275&amp;"|"&amp;COUNTIF($C$2:$C275,C275))</f>
        <v/>
      </c>
    </row>
    <row r="276">
      <c r="A276" s="15" t="n"/>
      <c r="B276">
        <f>IF($X276="","",INDEX('Per Line'!$A$2:$A$1501,$X276)&amp;"")</f>
        <v/>
      </c>
      <c r="C276">
        <f>IF($X276="","",IF(OR(TRIM(H276)="",TRIM(H276)="All",TRIM(H276)="All Comp"),TRIM(J276),TRIM(H276)))</f>
        <v/>
      </c>
      <c r="D276">
        <f>IF($X276="","",INDEX('Per Line'!$B$2:$B$1501,$X276)&amp;"")</f>
        <v/>
      </c>
      <c r="E276">
        <f>IF($X276="","",INDEX('Per Line'!$C$2:$C$1501,$X276)&amp;"")</f>
        <v/>
      </c>
      <c r="F276">
        <f>IF($X276="","",INDEX('Per Line'!$D$2:$D$1501,$X276)&amp;"")</f>
        <v/>
      </c>
      <c r="G276" s="15" t="n"/>
      <c r="H276" s="15" t="n"/>
      <c r="I276" s="15" t="n"/>
      <c r="J276" s="15" t="n"/>
      <c r="K276" s="14">
        <f>IF($X276="","",INDEX('Per Line'!$R$2:$R$1501,$X276))</f>
        <v/>
      </c>
      <c r="L276">
        <f>IF($X276="","",INDEX('Per Line'!$E$2:$E$1501,$X276))</f>
        <v/>
      </c>
      <c r="M276" s="7">
        <f>IF($X276="","",L276*U276/100)</f>
        <v/>
      </c>
      <c r="N276">
        <f>IF($X276="","",IF(ISNUMBER(SEARCH("3&amp;12",SUBSTITUTE(J276," ",""))),Settings!$G$7,Settings!$C$7))</f>
        <v/>
      </c>
      <c r="O276" s="7">
        <f>IF($X276="","",SUMIFS('Per Line'!$N$2:$N$1501,'Per Line'!$A$2:$A$1501,$B276,'Per Line'!$X$2:$X$1501,0))</f>
        <v/>
      </c>
      <c r="P276" s="7">
        <f>IF($X276="","",O276*N276)</f>
        <v/>
      </c>
      <c r="Q276">
        <f>IF($X276="","",IF(ISNUMBER(SEARCH("3&amp;12",SUBSTITUTE(J276," ",""))),Settings!$G$6,Settings!$C$6))</f>
        <v/>
      </c>
      <c r="R276" s="7">
        <f>IF($X276="","",SUMIFS('Per Line'!$N$2:$N$1501,'Per Line'!$A$2:$A$1501,$B276,'Per Line'!$X$2:$X$1501,1))</f>
        <v/>
      </c>
      <c r="S276" s="7">
        <f>IF($X276="","",R276*Q276)</f>
        <v/>
      </c>
      <c r="T276" s="7">
        <f>IF($X276="","",S276+P276)</f>
        <v/>
      </c>
      <c r="U276" s="7">
        <f>IF($X276="","",V276-T276)</f>
        <v/>
      </c>
      <c r="V276" s="7">
        <f>IF($X276="","",O276+R276)</f>
        <v/>
      </c>
      <c r="W276" s="7">
        <f>IF($X276="","",V276-T276-M276)</f>
        <v/>
      </c>
      <c r="X276" s="16">
        <f>IF(ROWS($X$2:$X276)&lt;=MAX('Per Line'!$W$2:$W$1501),MATCH(ROWS($X$2:$X276),'Per Line'!$W$2:$W$1501,0),"")</f>
        <v/>
      </c>
      <c r="Y276">
        <f>IF($X276="","",C276&amp;"|"&amp;COUNTIF($C$2:$C276,C276))</f>
        <v/>
      </c>
    </row>
    <row r="277">
      <c r="A277" s="15" t="n"/>
      <c r="B277">
        <f>IF($X277="","",INDEX('Per Line'!$A$2:$A$1501,$X277)&amp;"")</f>
        <v/>
      </c>
      <c r="C277">
        <f>IF($X277="","",IF(OR(TRIM(H277)="",TRIM(H277)="All",TRIM(H277)="All Comp"),TRIM(J277),TRIM(H277)))</f>
        <v/>
      </c>
      <c r="D277">
        <f>IF($X277="","",INDEX('Per Line'!$B$2:$B$1501,$X277)&amp;"")</f>
        <v/>
      </c>
      <c r="E277">
        <f>IF($X277="","",INDEX('Per Line'!$C$2:$C$1501,$X277)&amp;"")</f>
        <v/>
      </c>
      <c r="F277">
        <f>IF($X277="","",INDEX('Per Line'!$D$2:$D$1501,$X277)&amp;"")</f>
        <v/>
      </c>
      <c r="G277" s="15" t="n"/>
      <c r="H277" s="15" t="n"/>
      <c r="I277" s="15" t="n"/>
      <c r="J277" s="15" t="n"/>
      <c r="K277" s="14">
        <f>IF($X277="","",INDEX('Per Line'!$R$2:$R$1501,$X277))</f>
        <v/>
      </c>
      <c r="L277">
        <f>IF($X277="","",INDEX('Per Line'!$E$2:$E$1501,$X277))</f>
        <v/>
      </c>
      <c r="M277" s="7">
        <f>IF($X277="","",L277*U277/100)</f>
        <v/>
      </c>
      <c r="N277">
        <f>IF($X277="","",IF(ISNUMBER(SEARCH("3&amp;12",SUBSTITUTE(J277," ",""))),Settings!$G$7,Settings!$C$7))</f>
        <v/>
      </c>
      <c r="O277" s="7">
        <f>IF($X277="","",SUMIFS('Per Line'!$N$2:$N$1501,'Per Line'!$A$2:$A$1501,$B277,'Per Line'!$X$2:$X$1501,0))</f>
        <v/>
      </c>
      <c r="P277" s="7">
        <f>IF($X277="","",O277*N277)</f>
        <v/>
      </c>
      <c r="Q277">
        <f>IF($X277="","",IF(ISNUMBER(SEARCH("3&amp;12",SUBSTITUTE(J277," ",""))),Settings!$G$6,Settings!$C$6))</f>
        <v/>
      </c>
      <c r="R277" s="7">
        <f>IF($X277="","",SUMIFS('Per Line'!$N$2:$N$1501,'Per Line'!$A$2:$A$1501,$B277,'Per Line'!$X$2:$X$1501,1))</f>
        <v/>
      </c>
      <c r="S277" s="7">
        <f>IF($X277="","",R277*Q277)</f>
        <v/>
      </c>
      <c r="T277" s="7">
        <f>IF($X277="","",S277+P277)</f>
        <v/>
      </c>
      <c r="U277" s="7">
        <f>IF($X277="","",V277-T277)</f>
        <v/>
      </c>
      <c r="V277" s="7">
        <f>IF($X277="","",O277+R277)</f>
        <v/>
      </c>
      <c r="W277" s="7">
        <f>IF($X277="","",V277-T277-M277)</f>
        <v/>
      </c>
      <c r="X277" s="16">
        <f>IF(ROWS($X$2:$X277)&lt;=MAX('Per Line'!$W$2:$W$1501),MATCH(ROWS($X$2:$X277),'Per Line'!$W$2:$W$1501,0),"")</f>
        <v/>
      </c>
      <c r="Y277">
        <f>IF($X277="","",C277&amp;"|"&amp;COUNTIF($C$2:$C277,C277))</f>
        <v/>
      </c>
    </row>
    <row r="278">
      <c r="A278" s="15" t="n"/>
      <c r="B278">
        <f>IF($X278="","",INDEX('Per Line'!$A$2:$A$1501,$X278)&amp;"")</f>
        <v/>
      </c>
      <c r="C278">
        <f>IF($X278="","",IF(OR(TRIM(H278)="",TRIM(H278)="All",TRIM(H278)="All Comp"),TRIM(J278),TRIM(H278)))</f>
        <v/>
      </c>
      <c r="D278">
        <f>IF($X278="","",INDEX('Per Line'!$B$2:$B$1501,$X278)&amp;"")</f>
        <v/>
      </c>
      <c r="E278">
        <f>IF($X278="","",INDEX('Per Line'!$C$2:$C$1501,$X278)&amp;"")</f>
        <v/>
      </c>
      <c r="F278">
        <f>IF($X278="","",INDEX('Per Line'!$D$2:$D$1501,$X278)&amp;"")</f>
        <v/>
      </c>
      <c r="G278" s="15" t="n"/>
      <c r="H278" s="15" t="n"/>
      <c r="I278" s="15" t="n"/>
      <c r="J278" s="15" t="n"/>
      <c r="K278" s="14">
        <f>IF($X278="","",INDEX('Per Line'!$R$2:$R$1501,$X278))</f>
        <v/>
      </c>
      <c r="L278">
        <f>IF($X278="","",INDEX('Per Line'!$E$2:$E$1501,$X278))</f>
        <v/>
      </c>
      <c r="M278" s="7">
        <f>IF($X278="","",L278*U278/100)</f>
        <v/>
      </c>
      <c r="N278">
        <f>IF($X278="","",IF(ISNUMBER(SEARCH("3&amp;12",SUBSTITUTE(J278," ",""))),Settings!$G$7,Settings!$C$7))</f>
        <v/>
      </c>
      <c r="O278" s="7">
        <f>IF($X278="","",SUMIFS('Per Line'!$N$2:$N$1501,'Per Line'!$A$2:$A$1501,$B278,'Per Line'!$X$2:$X$1501,0))</f>
        <v/>
      </c>
      <c r="P278" s="7">
        <f>IF($X278="","",O278*N278)</f>
        <v/>
      </c>
      <c r="Q278">
        <f>IF($X278="","",IF(ISNUMBER(SEARCH("3&amp;12",SUBSTITUTE(J278," ",""))),Settings!$G$6,Settings!$C$6))</f>
        <v/>
      </c>
      <c r="R278" s="7">
        <f>IF($X278="","",SUMIFS('Per Line'!$N$2:$N$1501,'Per Line'!$A$2:$A$1501,$B278,'Per Line'!$X$2:$X$1501,1))</f>
        <v/>
      </c>
      <c r="S278" s="7">
        <f>IF($X278="","",R278*Q278)</f>
        <v/>
      </c>
      <c r="T278" s="7">
        <f>IF($X278="","",S278+P278)</f>
        <v/>
      </c>
      <c r="U278" s="7">
        <f>IF($X278="","",V278-T278)</f>
        <v/>
      </c>
      <c r="V278" s="7">
        <f>IF($X278="","",O278+R278)</f>
        <v/>
      </c>
      <c r="W278" s="7">
        <f>IF($X278="","",V278-T278-M278)</f>
        <v/>
      </c>
      <c r="X278" s="16">
        <f>IF(ROWS($X$2:$X278)&lt;=MAX('Per Line'!$W$2:$W$1501),MATCH(ROWS($X$2:$X278),'Per Line'!$W$2:$W$1501,0),"")</f>
        <v/>
      </c>
      <c r="Y278">
        <f>IF($X278="","",C278&amp;"|"&amp;COUNTIF($C$2:$C278,C278))</f>
        <v/>
      </c>
    </row>
    <row r="279">
      <c r="A279" s="15" t="n"/>
      <c r="B279">
        <f>IF($X279="","",INDEX('Per Line'!$A$2:$A$1501,$X279)&amp;"")</f>
        <v/>
      </c>
      <c r="C279">
        <f>IF($X279="","",IF(OR(TRIM(H279)="",TRIM(H279)="All",TRIM(H279)="All Comp"),TRIM(J279),TRIM(H279)))</f>
        <v/>
      </c>
      <c r="D279">
        <f>IF($X279="","",INDEX('Per Line'!$B$2:$B$1501,$X279)&amp;"")</f>
        <v/>
      </c>
      <c r="E279">
        <f>IF($X279="","",INDEX('Per Line'!$C$2:$C$1501,$X279)&amp;"")</f>
        <v/>
      </c>
      <c r="F279">
        <f>IF($X279="","",INDEX('Per Line'!$D$2:$D$1501,$X279)&amp;"")</f>
        <v/>
      </c>
      <c r="G279" s="15" t="n"/>
      <c r="H279" s="15" t="n"/>
      <c r="I279" s="15" t="n"/>
      <c r="J279" s="15" t="n"/>
      <c r="K279" s="14">
        <f>IF($X279="","",INDEX('Per Line'!$R$2:$R$1501,$X279))</f>
        <v/>
      </c>
      <c r="L279">
        <f>IF($X279="","",INDEX('Per Line'!$E$2:$E$1501,$X279))</f>
        <v/>
      </c>
      <c r="M279" s="7">
        <f>IF($X279="","",L279*U279/100)</f>
        <v/>
      </c>
      <c r="N279">
        <f>IF($X279="","",IF(ISNUMBER(SEARCH("3&amp;12",SUBSTITUTE(J279," ",""))),Settings!$G$7,Settings!$C$7))</f>
        <v/>
      </c>
      <c r="O279" s="7">
        <f>IF($X279="","",SUMIFS('Per Line'!$N$2:$N$1501,'Per Line'!$A$2:$A$1501,$B279,'Per Line'!$X$2:$X$1501,0))</f>
        <v/>
      </c>
      <c r="P279" s="7">
        <f>IF($X279="","",O279*N279)</f>
        <v/>
      </c>
      <c r="Q279">
        <f>IF($X279="","",IF(ISNUMBER(SEARCH("3&amp;12",SUBSTITUTE(J279," ",""))),Settings!$G$6,Settings!$C$6))</f>
        <v/>
      </c>
      <c r="R279" s="7">
        <f>IF($X279="","",SUMIFS('Per Line'!$N$2:$N$1501,'Per Line'!$A$2:$A$1501,$B279,'Per Line'!$X$2:$X$1501,1))</f>
        <v/>
      </c>
      <c r="S279" s="7">
        <f>IF($X279="","",R279*Q279)</f>
        <v/>
      </c>
      <c r="T279" s="7">
        <f>IF($X279="","",S279+P279)</f>
        <v/>
      </c>
      <c r="U279" s="7">
        <f>IF($X279="","",V279-T279)</f>
        <v/>
      </c>
      <c r="V279" s="7">
        <f>IF($X279="","",O279+R279)</f>
        <v/>
      </c>
      <c r="W279" s="7">
        <f>IF($X279="","",V279-T279-M279)</f>
        <v/>
      </c>
      <c r="X279" s="16">
        <f>IF(ROWS($X$2:$X279)&lt;=MAX('Per Line'!$W$2:$W$1501),MATCH(ROWS($X$2:$X279),'Per Line'!$W$2:$W$1501,0),"")</f>
        <v/>
      </c>
      <c r="Y279">
        <f>IF($X279="","",C279&amp;"|"&amp;COUNTIF($C$2:$C279,C279))</f>
        <v/>
      </c>
    </row>
    <row r="280">
      <c r="A280" s="15" t="n"/>
      <c r="B280">
        <f>IF($X280="","",INDEX('Per Line'!$A$2:$A$1501,$X280)&amp;"")</f>
        <v/>
      </c>
      <c r="C280">
        <f>IF($X280="","",IF(OR(TRIM(H280)="",TRIM(H280)="All",TRIM(H280)="All Comp"),TRIM(J280),TRIM(H280)))</f>
        <v/>
      </c>
      <c r="D280">
        <f>IF($X280="","",INDEX('Per Line'!$B$2:$B$1501,$X280)&amp;"")</f>
        <v/>
      </c>
      <c r="E280">
        <f>IF($X280="","",INDEX('Per Line'!$C$2:$C$1501,$X280)&amp;"")</f>
        <v/>
      </c>
      <c r="F280">
        <f>IF($X280="","",INDEX('Per Line'!$D$2:$D$1501,$X280)&amp;"")</f>
        <v/>
      </c>
      <c r="G280" s="15" t="n"/>
      <c r="H280" s="15" t="n"/>
      <c r="I280" s="15" t="n"/>
      <c r="J280" s="15" t="n"/>
      <c r="K280" s="14">
        <f>IF($X280="","",INDEX('Per Line'!$R$2:$R$1501,$X280))</f>
        <v/>
      </c>
      <c r="L280">
        <f>IF($X280="","",INDEX('Per Line'!$E$2:$E$1501,$X280))</f>
        <v/>
      </c>
      <c r="M280" s="7">
        <f>IF($X280="","",L280*U280/100)</f>
        <v/>
      </c>
      <c r="N280">
        <f>IF($X280="","",IF(ISNUMBER(SEARCH("3&amp;12",SUBSTITUTE(J280," ",""))),Settings!$G$7,Settings!$C$7))</f>
        <v/>
      </c>
      <c r="O280" s="7">
        <f>IF($X280="","",SUMIFS('Per Line'!$N$2:$N$1501,'Per Line'!$A$2:$A$1501,$B280,'Per Line'!$X$2:$X$1501,0))</f>
        <v/>
      </c>
      <c r="P280" s="7">
        <f>IF($X280="","",O280*N280)</f>
        <v/>
      </c>
      <c r="Q280">
        <f>IF($X280="","",IF(ISNUMBER(SEARCH("3&amp;12",SUBSTITUTE(J280," ",""))),Settings!$G$6,Settings!$C$6))</f>
        <v/>
      </c>
      <c r="R280" s="7">
        <f>IF($X280="","",SUMIFS('Per Line'!$N$2:$N$1501,'Per Line'!$A$2:$A$1501,$B280,'Per Line'!$X$2:$X$1501,1))</f>
        <v/>
      </c>
      <c r="S280" s="7">
        <f>IF($X280="","",R280*Q280)</f>
        <v/>
      </c>
      <c r="T280" s="7">
        <f>IF($X280="","",S280+P280)</f>
        <v/>
      </c>
      <c r="U280" s="7">
        <f>IF($X280="","",V280-T280)</f>
        <v/>
      </c>
      <c r="V280" s="7">
        <f>IF($X280="","",O280+R280)</f>
        <v/>
      </c>
      <c r="W280" s="7">
        <f>IF($X280="","",V280-T280-M280)</f>
        <v/>
      </c>
      <c r="X280" s="16">
        <f>IF(ROWS($X$2:$X280)&lt;=MAX('Per Line'!$W$2:$W$1501),MATCH(ROWS($X$2:$X280),'Per Line'!$W$2:$W$1501,0),"")</f>
        <v/>
      </c>
      <c r="Y280">
        <f>IF($X280="","",C280&amp;"|"&amp;COUNTIF($C$2:$C280,C280))</f>
        <v/>
      </c>
    </row>
    <row r="281">
      <c r="A281" s="15" t="n"/>
      <c r="B281">
        <f>IF($X281="","",INDEX('Per Line'!$A$2:$A$1501,$X281)&amp;"")</f>
        <v/>
      </c>
      <c r="C281">
        <f>IF($X281="","",IF(OR(TRIM(H281)="",TRIM(H281)="All",TRIM(H281)="All Comp"),TRIM(J281),TRIM(H281)))</f>
        <v/>
      </c>
      <c r="D281">
        <f>IF($X281="","",INDEX('Per Line'!$B$2:$B$1501,$X281)&amp;"")</f>
        <v/>
      </c>
      <c r="E281">
        <f>IF($X281="","",INDEX('Per Line'!$C$2:$C$1501,$X281)&amp;"")</f>
        <v/>
      </c>
      <c r="F281">
        <f>IF($X281="","",INDEX('Per Line'!$D$2:$D$1501,$X281)&amp;"")</f>
        <v/>
      </c>
      <c r="G281" s="15" t="n"/>
      <c r="H281" s="15" t="n"/>
      <c r="I281" s="15" t="n"/>
      <c r="J281" s="15" t="n"/>
      <c r="K281" s="14">
        <f>IF($X281="","",INDEX('Per Line'!$R$2:$R$1501,$X281))</f>
        <v/>
      </c>
      <c r="L281">
        <f>IF($X281="","",INDEX('Per Line'!$E$2:$E$1501,$X281))</f>
        <v/>
      </c>
      <c r="M281" s="7">
        <f>IF($X281="","",L281*U281/100)</f>
        <v/>
      </c>
      <c r="N281">
        <f>IF($X281="","",IF(ISNUMBER(SEARCH("3&amp;12",SUBSTITUTE(J281," ",""))),Settings!$G$7,Settings!$C$7))</f>
        <v/>
      </c>
      <c r="O281" s="7">
        <f>IF($X281="","",SUMIFS('Per Line'!$N$2:$N$1501,'Per Line'!$A$2:$A$1501,$B281,'Per Line'!$X$2:$X$1501,0))</f>
        <v/>
      </c>
      <c r="P281" s="7">
        <f>IF($X281="","",O281*N281)</f>
        <v/>
      </c>
      <c r="Q281">
        <f>IF($X281="","",IF(ISNUMBER(SEARCH("3&amp;12",SUBSTITUTE(J281," ",""))),Settings!$G$6,Settings!$C$6))</f>
        <v/>
      </c>
      <c r="R281" s="7">
        <f>IF($X281="","",SUMIFS('Per Line'!$N$2:$N$1501,'Per Line'!$A$2:$A$1501,$B281,'Per Line'!$X$2:$X$1501,1))</f>
        <v/>
      </c>
      <c r="S281" s="7">
        <f>IF($X281="","",R281*Q281)</f>
        <v/>
      </c>
      <c r="T281" s="7">
        <f>IF($X281="","",S281+P281)</f>
        <v/>
      </c>
      <c r="U281" s="7">
        <f>IF($X281="","",V281-T281)</f>
        <v/>
      </c>
      <c r="V281" s="7">
        <f>IF($X281="","",O281+R281)</f>
        <v/>
      </c>
      <c r="W281" s="7">
        <f>IF($X281="","",V281-T281-M281)</f>
        <v/>
      </c>
      <c r="X281" s="16">
        <f>IF(ROWS($X$2:$X281)&lt;=MAX('Per Line'!$W$2:$W$1501),MATCH(ROWS($X$2:$X281),'Per Line'!$W$2:$W$1501,0),"")</f>
        <v/>
      </c>
      <c r="Y281">
        <f>IF($X281="","",C281&amp;"|"&amp;COUNTIF($C$2:$C281,C281))</f>
        <v/>
      </c>
    </row>
    <row r="282">
      <c r="A282" s="15" t="n"/>
      <c r="B282">
        <f>IF($X282="","",INDEX('Per Line'!$A$2:$A$1501,$X282)&amp;"")</f>
        <v/>
      </c>
      <c r="C282">
        <f>IF($X282="","",IF(OR(TRIM(H282)="",TRIM(H282)="All",TRIM(H282)="All Comp"),TRIM(J282),TRIM(H282)))</f>
        <v/>
      </c>
      <c r="D282">
        <f>IF($X282="","",INDEX('Per Line'!$B$2:$B$1501,$X282)&amp;"")</f>
        <v/>
      </c>
      <c r="E282">
        <f>IF($X282="","",INDEX('Per Line'!$C$2:$C$1501,$X282)&amp;"")</f>
        <v/>
      </c>
      <c r="F282">
        <f>IF($X282="","",INDEX('Per Line'!$D$2:$D$1501,$X282)&amp;"")</f>
        <v/>
      </c>
      <c r="G282" s="15" t="n"/>
      <c r="H282" s="15" t="n"/>
      <c r="I282" s="15" t="n"/>
      <c r="J282" s="15" t="n"/>
      <c r="K282" s="14">
        <f>IF($X282="","",INDEX('Per Line'!$R$2:$R$1501,$X282))</f>
        <v/>
      </c>
      <c r="L282">
        <f>IF($X282="","",INDEX('Per Line'!$E$2:$E$1501,$X282))</f>
        <v/>
      </c>
      <c r="M282" s="7">
        <f>IF($X282="","",L282*U282/100)</f>
        <v/>
      </c>
      <c r="N282">
        <f>IF($X282="","",IF(ISNUMBER(SEARCH("3&amp;12",SUBSTITUTE(J282," ",""))),Settings!$G$7,Settings!$C$7))</f>
        <v/>
      </c>
      <c r="O282" s="7">
        <f>IF($X282="","",SUMIFS('Per Line'!$N$2:$N$1501,'Per Line'!$A$2:$A$1501,$B282,'Per Line'!$X$2:$X$1501,0))</f>
        <v/>
      </c>
      <c r="P282" s="7">
        <f>IF($X282="","",O282*N282)</f>
        <v/>
      </c>
      <c r="Q282">
        <f>IF($X282="","",IF(ISNUMBER(SEARCH("3&amp;12",SUBSTITUTE(J282," ",""))),Settings!$G$6,Settings!$C$6))</f>
        <v/>
      </c>
      <c r="R282" s="7">
        <f>IF($X282="","",SUMIFS('Per Line'!$N$2:$N$1501,'Per Line'!$A$2:$A$1501,$B282,'Per Line'!$X$2:$X$1501,1))</f>
        <v/>
      </c>
      <c r="S282" s="7">
        <f>IF($X282="","",R282*Q282)</f>
        <v/>
      </c>
      <c r="T282" s="7">
        <f>IF($X282="","",S282+P282)</f>
        <v/>
      </c>
      <c r="U282" s="7">
        <f>IF($X282="","",V282-T282)</f>
        <v/>
      </c>
      <c r="V282" s="7">
        <f>IF($X282="","",O282+R282)</f>
        <v/>
      </c>
      <c r="W282" s="7">
        <f>IF($X282="","",V282-T282-M282)</f>
        <v/>
      </c>
      <c r="X282" s="16">
        <f>IF(ROWS($X$2:$X282)&lt;=MAX('Per Line'!$W$2:$W$1501),MATCH(ROWS($X$2:$X282),'Per Line'!$W$2:$W$1501,0),"")</f>
        <v/>
      </c>
      <c r="Y282">
        <f>IF($X282="","",C282&amp;"|"&amp;COUNTIF($C$2:$C282,C282))</f>
        <v/>
      </c>
    </row>
    <row r="283">
      <c r="A283" s="15" t="n"/>
      <c r="B283">
        <f>IF($X283="","",INDEX('Per Line'!$A$2:$A$1501,$X283)&amp;"")</f>
        <v/>
      </c>
      <c r="C283">
        <f>IF($X283="","",IF(OR(TRIM(H283)="",TRIM(H283)="All",TRIM(H283)="All Comp"),TRIM(J283),TRIM(H283)))</f>
        <v/>
      </c>
      <c r="D283">
        <f>IF($X283="","",INDEX('Per Line'!$B$2:$B$1501,$X283)&amp;"")</f>
        <v/>
      </c>
      <c r="E283">
        <f>IF($X283="","",INDEX('Per Line'!$C$2:$C$1501,$X283)&amp;"")</f>
        <v/>
      </c>
      <c r="F283">
        <f>IF($X283="","",INDEX('Per Line'!$D$2:$D$1501,$X283)&amp;"")</f>
        <v/>
      </c>
      <c r="G283" s="15" t="n"/>
      <c r="H283" s="15" t="n"/>
      <c r="I283" s="15" t="n"/>
      <c r="J283" s="15" t="n"/>
      <c r="K283" s="14">
        <f>IF($X283="","",INDEX('Per Line'!$R$2:$R$1501,$X283))</f>
        <v/>
      </c>
      <c r="L283">
        <f>IF($X283="","",INDEX('Per Line'!$E$2:$E$1501,$X283))</f>
        <v/>
      </c>
      <c r="M283" s="7">
        <f>IF($X283="","",L283*U283/100)</f>
        <v/>
      </c>
      <c r="N283">
        <f>IF($X283="","",IF(ISNUMBER(SEARCH("3&amp;12",SUBSTITUTE(J283," ",""))),Settings!$G$7,Settings!$C$7))</f>
        <v/>
      </c>
      <c r="O283" s="7">
        <f>IF($X283="","",SUMIFS('Per Line'!$N$2:$N$1501,'Per Line'!$A$2:$A$1501,$B283,'Per Line'!$X$2:$X$1501,0))</f>
        <v/>
      </c>
      <c r="P283" s="7">
        <f>IF($X283="","",O283*N283)</f>
        <v/>
      </c>
      <c r="Q283">
        <f>IF($X283="","",IF(ISNUMBER(SEARCH("3&amp;12",SUBSTITUTE(J283," ",""))),Settings!$G$6,Settings!$C$6))</f>
        <v/>
      </c>
      <c r="R283" s="7">
        <f>IF($X283="","",SUMIFS('Per Line'!$N$2:$N$1501,'Per Line'!$A$2:$A$1501,$B283,'Per Line'!$X$2:$X$1501,1))</f>
        <v/>
      </c>
      <c r="S283" s="7">
        <f>IF($X283="","",R283*Q283)</f>
        <v/>
      </c>
      <c r="T283" s="7">
        <f>IF($X283="","",S283+P283)</f>
        <v/>
      </c>
      <c r="U283" s="7">
        <f>IF($X283="","",V283-T283)</f>
        <v/>
      </c>
      <c r="V283" s="7">
        <f>IF($X283="","",O283+R283)</f>
        <v/>
      </c>
      <c r="W283" s="7">
        <f>IF($X283="","",V283-T283-M283)</f>
        <v/>
      </c>
      <c r="X283" s="16">
        <f>IF(ROWS($X$2:$X283)&lt;=MAX('Per Line'!$W$2:$W$1501),MATCH(ROWS($X$2:$X283),'Per Line'!$W$2:$W$1501,0),"")</f>
        <v/>
      </c>
      <c r="Y283">
        <f>IF($X283="","",C283&amp;"|"&amp;COUNTIF($C$2:$C283,C283))</f>
        <v/>
      </c>
    </row>
    <row r="284">
      <c r="A284" s="15" t="n"/>
      <c r="B284">
        <f>IF($X284="","",INDEX('Per Line'!$A$2:$A$1501,$X284)&amp;"")</f>
        <v/>
      </c>
      <c r="C284">
        <f>IF($X284="","",IF(OR(TRIM(H284)="",TRIM(H284)="All",TRIM(H284)="All Comp"),TRIM(J284),TRIM(H284)))</f>
        <v/>
      </c>
      <c r="D284">
        <f>IF($X284="","",INDEX('Per Line'!$B$2:$B$1501,$X284)&amp;"")</f>
        <v/>
      </c>
      <c r="E284">
        <f>IF($X284="","",INDEX('Per Line'!$C$2:$C$1501,$X284)&amp;"")</f>
        <v/>
      </c>
      <c r="F284">
        <f>IF($X284="","",INDEX('Per Line'!$D$2:$D$1501,$X284)&amp;"")</f>
        <v/>
      </c>
      <c r="G284" s="15" t="n"/>
      <c r="H284" s="15" t="n"/>
      <c r="I284" s="15" t="n"/>
      <c r="J284" s="15" t="n"/>
      <c r="K284" s="14">
        <f>IF($X284="","",INDEX('Per Line'!$R$2:$R$1501,$X284))</f>
        <v/>
      </c>
      <c r="L284">
        <f>IF($X284="","",INDEX('Per Line'!$E$2:$E$1501,$X284))</f>
        <v/>
      </c>
      <c r="M284" s="7">
        <f>IF($X284="","",L284*U284/100)</f>
        <v/>
      </c>
      <c r="N284">
        <f>IF($X284="","",IF(ISNUMBER(SEARCH("3&amp;12",SUBSTITUTE(J284," ",""))),Settings!$G$7,Settings!$C$7))</f>
        <v/>
      </c>
      <c r="O284" s="7">
        <f>IF($X284="","",SUMIFS('Per Line'!$N$2:$N$1501,'Per Line'!$A$2:$A$1501,$B284,'Per Line'!$X$2:$X$1501,0))</f>
        <v/>
      </c>
      <c r="P284" s="7">
        <f>IF($X284="","",O284*N284)</f>
        <v/>
      </c>
      <c r="Q284">
        <f>IF($X284="","",IF(ISNUMBER(SEARCH("3&amp;12",SUBSTITUTE(J284," ",""))),Settings!$G$6,Settings!$C$6))</f>
        <v/>
      </c>
      <c r="R284" s="7">
        <f>IF($X284="","",SUMIFS('Per Line'!$N$2:$N$1501,'Per Line'!$A$2:$A$1501,$B284,'Per Line'!$X$2:$X$1501,1))</f>
        <v/>
      </c>
      <c r="S284" s="7">
        <f>IF($X284="","",R284*Q284)</f>
        <v/>
      </c>
      <c r="T284" s="7">
        <f>IF($X284="","",S284+P284)</f>
        <v/>
      </c>
      <c r="U284" s="7">
        <f>IF($X284="","",V284-T284)</f>
        <v/>
      </c>
      <c r="V284" s="7">
        <f>IF($X284="","",O284+R284)</f>
        <v/>
      </c>
      <c r="W284" s="7">
        <f>IF($X284="","",V284-T284-M284)</f>
        <v/>
      </c>
      <c r="X284" s="16">
        <f>IF(ROWS($X$2:$X284)&lt;=MAX('Per Line'!$W$2:$W$1501),MATCH(ROWS($X$2:$X284),'Per Line'!$W$2:$W$1501,0),"")</f>
        <v/>
      </c>
      <c r="Y284">
        <f>IF($X284="","",C284&amp;"|"&amp;COUNTIF($C$2:$C284,C284))</f>
        <v/>
      </c>
    </row>
    <row r="285">
      <c r="A285" s="15" t="n"/>
      <c r="B285">
        <f>IF($X285="","",INDEX('Per Line'!$A$2:$A$1501,$X285)&amp;"")</f>
        <v/>
      </c>
      <c r="C285">
        <f>IF($X285="","",IF(OR(TRIM(H285)="",TRIM(H285)="All",TRIM(H285)="All Comp"),TRIM(J285),TRIM(H285)))</f>
        <v/>
      </c>
      <c r="D285">
        <f>IF($X285="","",INDEX('Per Line'!$B$2:$B$1501,$X285)&amp;"")</f>
        <v/>
      </c>
      <c r="E285">
        <f>IF($X285="","",INDEX('Per Line'!$C$2:$C$1501,$X285)&amp;"")</f>
        <v/>
      </c>
      <c r="F285">
        <f>IF($X285="","",INDEX('Per Line'!$D$2:$D$1501,$X285)&amp;"")</f>
        <v/>
      </c>
      <c r="G285" s="15" t="n"/>
      <c r="H285" s="15" t="n"/>
      <c r="I285" s="15" t="n"/>
      <c r="J285" s="15" t="n"/>
      <c r="K285" s="14">
        <f>IF($X285="","",INDEX('Per Line'!$R$2:$R$1501,$X285))</f>
        <v/>
      </c>
      <c r="L285">
        <f>IF($X285="","",INDEX('Per Line'!$E$2:$E$1501,$X285))</f>
        <v/>
      </c>
      <c r="M285" s="7">
        <f>IF($X285="","",L285*U285/100)</f>
        <v/>
      </c>
      <c r="N285">
        <f>IF($X285="","",IF(ISNUMBER(SEARCH("3&amp;12",SUBSTITUTE(J285," ",""))),Settings!$G$7,Settings!$C$7))</f>
        <v/>
      </c>
      <c r="O285" s="7">
        <f>IF($X285="","",SUMIFS('Per Line'!$N$2:$N$1501,'Per Line'!$A$2:$A$1501,$B285,'Per Line'!$X$2:$X$1501,0))</f>
        <v/>
      </c>
      <c r="P285" s="7">
        <f>IF($X285="","",O285*N285)</f>
        <v/>
      </c>
      <c r="Q285">
        <f>IF($X285="","",IF(ISNUMBER(SEARCH("3&amp;12",SUBSTITUTE(J285," ",""))),Settings!$G$6,Settings!$C$6))</f>
        <v/>
      </c>
      <c r="R285" s="7">
        <f>IF($X285="","",SUMIFS('Per Line'!$N$2:$N$1501,'Per Line'!$A$2:$A$1501,$B285,'Per Line'!$X$2:$X$1501,1))</f>
        <v/>
      </c>
      <c r="S285" s="7">
        <f>IF($X285="","",R285*Q285)</f>
        <v/>
      </c>
      <c r="T285" s="7">
        <f>IF($X285="","",S285+P285)</f>
        <v/>
      </c>
      <c r="U285" s="7">
        <f>IF($X285="","",V285-T285)</f>
        <v/>
      </c>
      <c r="V285" s="7">
        <f>IF($X285="","",O285+R285)</f>
        <v/>
      </c>
      <c r="W285" s="7">
        <f>IF($X285="","",V285-T285-M285)</f>
        <v/>
      </c>
      <c r="X285" s="16">
        <f>IF(ROWS($X$2:$X285)&lt;=MAX('Per Line'!$W$2:$W$1501),MATCH(ROWS($X$2:$X285),'Per Line'!$W$2:$W$1501,0),"")</f>
        <v/>
      </c>
      <c r="Y285">
        <f>IF($X285="","",C285&amp;"|"&amp;COUNTIF($C$2:$C285,C285))</f>
        <v/>
      </c>
    </row>
    <row r="286">
      <c r="A286" s="15" t="n"/>
      <c r="B286">
        <f>IF($X286="","",INDEX('Per Line'!$A$2:$A$1501,$X286)&amp;"")</f>
        <v/>
      </c>
      <c r="C286">
        <f>IF($X286="","",IF(OR(TRIM(H286)="",TRIM(H286)="All",TRIM(H286)="All Comp"),TRIM(J286),TRIM(H286)))</f>
        <v/>
      </c>
      <c r="D286">
        <f>IF($X286="","",INDEX('Per Line'!$B$2:$B$1501,$X286)&amp;"")</f>
        <v/>
      </c>
      <c r="E286">
        <f>IF($X286="","",INDEX('Per Line'!$C$2:$C$1501,$X286)&amp;"")</f>
        <v/>
      </c>
      <c r="F286">
        <f>IF($X286="","",INDEX('Per Line'!$D$2:$D$1501,$X286)&amp;"")</f>
        <v/>
      </c>
      <c r="G286" s="15" t="n"/>
      <c r="H286" s="15" t="n"/>
      <c r="I286" s="15" t="n"/>
      <c r="J286" s="15" t="n"/>
      <c r="K286" s="14">
        <f>IF($X286="","",INDEX('Per Line'!$R$2:$R$1501,$X286))</f>
        <v/>
      </c>
      <c r="L286">
        <f>IF($X286="","",INDEX('Per Line'!$E$2:$E$1501,$X286))</f>
        <v/>
      </c>
      <c r="M286" s="7">
        <f>IF($X286="","",L286*U286/100)</f>
        <v/>
      </c>
      <c r="N286">
        <f>IF($X286="","",IF(ISNUMBER(SEARCH("3&amp;12",SUBSTITUTE(J286," ",""))),Settings!$G$7,Settings!$C$7))</f>
        <v/>
      </c>
      <c r="O286" s="7">
        <f>IF($X286="","",SUMIFS('Per Line'!$N$2:$N$1501,'Per Line'!$A$2:$A$1501,$B286,'Per Line'!$X$2:$X$1501,0))</f>
        <v/>
      </c>
      <c r="P286" s="7">
        <f>IF($X286="","",O286*N286)</f>
        <v/>
      </c>
      <c r="Q286">
        <f>IF($X286="","",IF(ISNUMBER(SEARCH("3&amp;12",SUBSTITUTE(J286," ",""))),Settings!$G$6,Settings!$C$6))</f>
        <v/>
      </c>
      <c r="R286" s="7">
        <f>IF($X286="","",SUMIFS('Per Line'!$N$2:$N$1501,'Per Line'!$A$2:$A$1501,$B286,'Per Line'!$X$2:$X$1501,1))</f>
        <v/>
      </c>
      <c r="S286" s="7">
        <f>IF($X286="","",R286*Q286)</f>
        <v/>
      </c>
      <c r="T286" s="7">
        <f>IF($X286="","",S286+P286)</f>
        <v/>
      </c>
      <c r="U286" s="7">
        <f>IF($X286="","",V286-T286)</f>
        <v/>
      </c>
      <c r="V286" s="7">
        <f>IF($X286="","",O286+R286)</f>
        <v/>
      </c>
      <c r="W286" s="7">
        <f>IF($X286="","",V286-T286-M286)</f>
        <v/>
      </c>
      <c r="X286" s="16">
        <f>IF(ROWS($X$2:$X286)&lt;=MAX('Per Line'!$W$2:$W$1501),MATCH(ROWS($X$2:$X286),'Per Line'!$W$2:$W$1501,0),"")</f>
        <v/>
      </c>
      <c r="Y286">
        <f>IF($X286="","",C286&amp;"|"&amp;COUNTIF($C$2:$C286,C286))</f>
        <v/>
      </c>
    </row>
    <row r="287">
      <c r="A287" s="15" t="n"/>
      <c r="B287">
        <f>IF($X287="","",INDEX('Per Line'!$A$2:$A$1501,$X287)&amp;"")</f>
        <v/>
      </c>
      <c r="C287">
        <f>IF($X287="","",IF(OR(TRIM(H287)="",TRIM(H287)="All",TRIM(H287)="All Comp"),TRIM(J287),TRIM(H287)))</f>
        <v/>
      </c>
      <c r="D287">
        <f>IF($X287="","",INDEX('Per Line'!$B$2:$B$1501,$X287)&amp;"")</f>
        <v/>
      </c>
      <c r="E287">
        <f>IF($X287="","",INDEX('Per Line'!$C$2:$C$1501,$X287)&amp;"")</f>
        <v/>
      </c>
      <c r="F287">
        <f>IF($X287="","",INDEX('Per Line'!$D$2:$D$1501,$X287)&amp;"")</f>
        <v/>
      </c>
      <c r="G287" s="15" t="n"/>
      <c r="H287" s="15" t="n"/>
      <c r="I287" s="15" t="n"/>
      <c r="J287" s="15" t="n"/>
      <c r="K287" s="14">
        <f>IF($X287="","",INDEX('Per Line'!$R$2:$R$1501,$X287))</f>
        <v/>
      </c>
      <c r="L287">
        <f>IF($X287="","",INDEX('Per Line'!$E$2:$E$1501,$X287))</f>
        <v/>
      </c>
      <c r="M287" s="7">
        <f>IF($X287="","",L287*U287/100)</f>
        <v/>
      </c>
      <c r="N287">
        <f>IF($X287="","",IF(ISNUMBER(SEARCH("3&amp;12",SUBSTITUTE(J287," ",""))),Settings!$G$7,Settings!$C$7))</f>
        <v/>
      </c>
      <c r="O287" s="7">
        <f>IF($X287="","",SUMIFS('Per Line'!$N$2:$N$1501,'Per Line'!$A$2:$A$1501,$B287,'Per Line'!$X$2:$X$1501,0))</f>
        <v/>
      </c>
      <c r="P287" s="7">
        <f>IF($X287="","",O287*N287)</f>
        <v/>
      </c>
      <c r="Q287">
        <f>IF($X287="","",IF(ISNUMBER(SEARCH("3&amp;12",SUBSTITUTE(J287," ",""))),Settings!$G$6,Settings!$C$6))</f>
        <v/>
      </c>
      <c r="R287" s="7">
        <f>IF($X287="","",SUMIFS('Per Line'!$N$2:$N$1501,'Per Line'!$A$2:$A$1501,$B287,'Per Line'!$X$2:$X$1501,1))</f>
        <v/>
      </c>
      <c r="S287" s="7">
        <f>IF($X287="","",R287*Q287)</f>
        <v/>
      </c>
      <c r="T287" s="7">
        <f>IF($X287="","",S287+P287)</f>
        <v/>
      </c>
      <c r="U287" s="7">
        <f>IF($X287="","",V287-T287)</f>
        <v/>
      </c>
      <c r="V287" s="7">
        <f>IF($X287="","",O287+R287)</f>
        <v/>
      </c>
      <c r="W287" s="7">
        <f>IF($X287="","",V287-T287-M287)</f>
        <v/>
      </c>
      <c r="X287" s="16">
        <f>IF(ROWS($X$2:$X287)&lt;=MAX('Per Line'!$W$2:$W$1501),MATCH(ROWS($X$2:$X287),'Per Line'!$W$2:$W$1501,0),"")</f>
        <v/>
      </c>
      <c r="Y287">
        <f>IF($X287="","",C287&amp;"|"&amp;COUNTIF($C$2:$C287,C287))</f>
        <v/>
      </c>
    </row>
    <row r="288">
      <c r="A288" s="15" t="n"/>
      <c r="B288">
        <f>IF($X288="","",INDEX('Per Line'!$A$2:$A$1501,$X288)&amp;"")</f>
        <v/>
      </c>
      <c r="C288">
        <f>IF($X288="","",IF(OR(TRIM(H288)="",TRIM(H288)="All",TRIM(H288)="All Comp"),TRIM(J288),TRIM(H288)))</f>
        <v/>
      </c>
      <c r="D288">
        <f>IF($X288="","",INDEX('Per Line'!$B$2:$B$1501,$X288)&amp;"")</f>
        <v/>
      </c>
      <c r="E288">
        <f>IF($X288="","",INDEX('Per Line'!$C$2:$C$1501,$X288)&amp;"")</f>
        <v/>
      </c>
      <c r="F288">
        <f>IF($X288="","",INDEX('Per Line'!$D$2:$D$1501,$X288)&amp;"")</f>
        <v/>
      </c>
      <c r="G288" s="15" t="n"/>
      <c r="H288" s="15" t="n"/>
      <c r="I288" s="15" t="n"/>
      <c r="J288" s="15" t="n"/>
      <c r="K288" s="14">
        <f>IF($X288="","",INDEX('Per Line'!$R$2:$R$1501,$X288))</f>
        <v/>
      </c>
      <c r="L288">
        <f>IF($X288="","",INDEX('Per Line'!$E$2:$E$1501,$X288))</f>
        <v/>
      </c>
      <c r="M288" s="7">
        <f>IF($X288="","",L288*U288/100)</f>
        <v/>
      </c>
      <c r="N288">
        <f>IF($X288="","",IF(ISNUMBER(SEARCH("3&amp;12",SUBSTITUTE(J288," ",""))),Settings!$G$7,Settings!$C$7))</f>
        <v/>
      </c>
      <c r="O288" s="7">
        <f>IF($X288="","",SUMIFS('Per Line'!$N$2:$N$1501,'Per Line'!$A$2:$A$1501,$B288,'Per Line'!$X$2:$X$1501,0))</f>
        <v/>
      </c>
      <c r="P288" s="7">
        <f>IF($X288="","",O288*N288)</f>
        <v/>
      </c>
      <c r="Q288">
        <f>IF($X288="","",IF(ISNUMBER(SEARCH("3&amp;12",SUBSTITUTE(J288," ",""))),Settings!$G$6,Settings!$C$6))</f>
        <v/>
      </c>
      <c r="R288" s="7">
        <f>IF($X288="","",SUMIFS('Per Line'!$N$2:$N$1501,'Per Line'!$A$2:$A$1501,$B288,'Per Line'!$X$2:$X$1501,1))</f>
        <v/>
      </c>
      <c r="S288" s="7">
        <f>IF($X288="","",R288*Q288)</f>
        <v/>
      </c>
      <c r="T288" s="7">
        <f>IF($X288="","",S288+P288)</f>
        <v/>
      </c>
      <c r="U288" s="7">
        <f>IF($X288="","",V288-T288)</f>
        <v/>
      </c>
      <c r="V288" s="7">
        <f>IF($X288="","",O288+R288)</f>
        <v/>
      </c>
      <c r="W288" s="7">
        <f>IF($X288="","",V288-T288-M288)</f>
        <v/>
      </c>
      <c r="X288" s="16">
        <f>IF(ROWS($X$2:$X288)&lt;=MAX('Per Line'!$W$2:$W$1501),MATCH(ROWS($X$2:$X288),'Per Line'!$W$2:$W$1501,0),"")</f>
        <v/>
      </c>
      <c r="Y288">
        <f>IF($X288="","",C288&amp;"|"&amp;COUNTIF($C$2:$C288,C288))</f>
        <v/>
      </c>
    </row>
    <row r="289">
      <c r="A289" s="15" t="n"/>
      <c r="B289">
        <f>IF($X289="","",INDEX('Per Line'!$A$2:$A$1501,$X289)&amp;"")</f>
        <v/>
      </c>
      <c r="C289">
        <f>IF($X289="","",IF(OR(TRIM(H289)="",TRIM(H289)="All",TRIM(H289)="All Comp"),TRIM(J289),TRIM(H289)))</f>
        <v/>
      </c>
      <c r="D289">
        <f>IF($X289="","",INDEX('Per Line'!$B$2:$B$1501,$X289)&amp;"")</f>
        <v/>
      </c>
      <c r="E289">
        <f>IF($X289="","",INDEX('Per Line'!$C$2:$C$1501,$X289)&amp;"")</f>
        <v/>
      </c>
      <c r="F289">
        <f>IF($X289="","",INDEX('Per Line'!$D$2:$D$1501,$X289)&amp;"")</f>
        <v/>
      </c>
      <c r="G289" s="15" t="n"/>
      <c r="H289" s="15" t="n"/>
      <c r="I289" s="15" t="n"/>
      <c r="J289" s="15" t="n"/>
      <c r="K289" s="14">
        <f>IF($X289="","",INDEX('Per Line'!$R$2:$R$1501,$X289))</f>
        <v/>
      </c>
      <c r="L289">
        <f>IF($X289="","",INDEX('Per Line'!$E$2:$E$1501,$X289))</f>
        <v/>
      </c>
      <c r="M289" s="7">
        <f>IF($X289="","",L289*U289/100)</f>
        <v/>
      </c>
      <c r="N289">
        <f>IF($X289="","",IF(ISNUMBER(SEARCH("3&amp;12",SUBSTITUTE(J289," ",""))),Settings!$G$7,Settings!$C$7))</f>
        <v/>
      </c>
      <c r="O289" s="7">
        <f>IF($X289="","",SUMIFS('Per Line'!$N$2:$N$1501,'Per Line'!$A$2:$A$1501,$B289,'Per Line'!$X$2:$X$1501,0))</f>
        <v/>
      </c>
      <c r="P289" s="7">
        <f>IF($X289="","",O289*N289)</f>
        <v/>
      </c>
      <c r="Q289">
        <f>IF($X289="","",IF(ISNUMBER(SEARCH("3&amp;12",SUBSTITUTE(J289," ",""))),Settings!$G$6,Settings!$C$6))</f>
        <v/>
      </c>
      <c r="R289" s="7">
        <f>IF($X289="","",SUMIFS('Per Line'!$N$2:$N$1501,'Per Line'!$A$2:$A$1501,$B289,'Per Line'!$X$2:$X$1501,1))</f>
        <v/>
      </c>
      <c r="S289" s="7">
        <f>IF($X289="","",R289*Q289)</f>
        <v/>
      </c>
      <c r="T289" s="7">
        <f>IF($X289="","",S289+P289)</f>
        <v/>
      </c>
      <c r="U289" s="7">
        <f>IF($X289="","",V289-T289)</f>
        <v/>
      </c>
      <c r="V289" s="7">
        <f>IF($X289="","",O289+R289)</f>
        <v/>
      </c>
      <c r="W289" s="7">
        <f>IF($X289="","",V289-T289-M289)</f>
        <v/>
      </c>
      <c r="X289" s="16">
        <f>IF(ROWS($X$2:$X289)&lt;=MAX('Per Line'!$W$2:$W$1501),MATCH(ROWS($X$2:$X289),'Per Line'!$W$2:$W$1501,0),"")</f>
        <v/>
      </c>
      <c r="Y289">
        <f>IF($X289="","",C289&amp;"|"&amp;COUNTIF($C$2:$C289,C289))</f>
        <v/>
      </c>
    </row>
    <row r="290">
      <c r="A290" s="15" t="n"/>
      <c r="B290">
        <f>IF($X290="","",INDEX('Per Line'!$A$2:$A$1501,$X290)&amp;"")</f>
        <v/>
      </c>
      <c r="C290">
        <f>IF($X290="","",IF(OR(TRIM(H290)="",TRIM(H290)="All",TRIM(H290)="All Comp"),TRIM(J290),TRIM(H290)))</f>
        <v/>
      </c>
      <c r="D290">
        <f>IF($X290="","",INDEX('Per Line'!$B$2:$B$1501,$X290)&amp;"")</f>
        <v/>
      </c>
      <c r="E290">
        <f>IF($X290="","",INDEX('Per Line'!$C$2:$C$1501,$X290)&amp;"")</f>
        <v/>
      </c>
      <c r="F290">
        <f>IF($X290="","",INDEX('Per Line'!$D$2:$D$1501,$X290)&amp;"")</f>
        <v/>
      </c>
      <c r="G290" s="15" t="n"/>
      <c r="H290" s="15" t="n"/>
      <c r="I290" s="15" t="n"/>
      <c r="J290" s="15" t="n"/>
      <c r="K290" s="14">
        <f>IF($X290="","",INDEX('Per Line'!$R$2:$R$1501,$X290))</f>
        <v/>
      </c>
      <c r="L290">
        <f>IF($X290="","",INDEX('Per Line'!$E$2:$E$1501,$X290))</f>
        <v/>
      </c>
      <c r="M290" s="7">
        <f>IF($X290="","",L290*U290/100)</f>
        <v/>
      </c>
      <c r="N290">
        <f>IF($X290="","",IF(ISNUMBER(SEARCH("3&amp;12",SUBSTITUTE(J290," ",""))),Settings!$G$7,Settings!$C$7))</f>
        <v/>
      </c>
      <c r="O290" s="7">
        <f>IF($X290="","",SUMIFS('Per Line'!$N$2:$N$1501,'Per Line'!$A$2:$A$1501,$B290,'Per Line'!$X$2:$X$1501,0))</f>
        <v/>
      </c>
      <c r="P290" s="7">
        <f>IF($X290="","",O290*N290)</f>
        <v/>
      </c>
      <c r="Q290">
        <f>IF($X290="","",IF(ISNUMBER(SEARCH("3&amp;12",SUBSTITUTE(J290," ",""))),Settings!$G$6,Settings!$C$6))</f>
        <v/>
      </c>
      <c r="R290" s="7">
        <f>IF($X290="","",SUMIFS('Per Line'!$N$2:$N$1501,'Per Line'!$A$2:$A$1501,$B290,'Per Line'!$X$2:$X$1501,1))</f>
        <v/>
      </c>
      <c r="S290" s="7">
        <f>IF($X290="","",R290*Q290)</f>
        <v/>
      </c>
      <c r="T290" s="7">
        <f>IF($X290="","",S290+P290)</f>
        <v/>
      </c>
      <c r="U290" s="7">
        <f>IF($X290="","",V290-T290)</f>
        <v/>
      </c>
      <c r="V290" s="7">
        <f>IF($X290="","",O290+R290)</f>
        <v/>
      </c>
      <c r="W290" s="7">
        <f>IF($X290="","",V290-T290-M290)</f>
        <v/>
      </c>
      <c r="X290" s="16">
        <f>IF(ROWS($X$2:$X290)&lt;=MAX('Per Line'!$W$2:$W$1501),MATCH(ROWS($X$2:$X290),'Per Line'!$W$2:$W$1501,0),"")</f>
        <v/>
      </c>
      <c r="Y290">
        <f>IF($X290="","",C290&amp;"|"&amp;COUNTIF($C$2:$C290,C290))</f>
        <v/>
      </c>
    </row>
    <row r="291">
      <c r="A291" s="15" t="n"/>
      <c r="B291">
        <f>IF($X291="","",INDEX('Per Line'!$A$2:$A$1501,$X291)&amp;"")</f>
        <v/>
      </c>
      <c r="C291">
        <f>IF($X291="","",IF(OR(TRIM(H291)="",TRIM(H291)="All",TRIM(H291)="All Comp"),TRIM(J291),TRIM(H291)))</f>
        <v/>
      </c>
      <c r="D291">
        <f>IF($X291="","",INDEX('Per Line'!$B$2:$B$1501,$X291)&amp;"")</f>
        <v/>
      </c>
      <c r="E291">
        <f>IF($X291="","",INDEX('Per Line'!$C$2:$C$1501,$X291)&amp;"")</f>
        <v/>
      </c>
      <c r="F291">
        <f>IF($X291="","",INDEX('Per Line'!$D$2:$D$1501,$X291)&amp;"")</f>
        <v/>
      </c>
      <c r="G291" s="15" t="n"/>
      <c r="H291" s="15" t="n"/>
      <c r="I291" s="15" t="n"/>
      <c r="J291" s="15" t="n"/>
      <c r="K291" s="14">
        <f>IF($X291="","",INDEX('Per Line'!$R$2:$R$1501,$X291))</f>
        <v/>
      </c>
      <c r="L291">
        <f>IF($X291="","",INDEX('Per Line'!$E$2:$E$1501,$X291))</f>
        <v/>
      </c>
      <c r="M291" s="7">
        <f>IF($X291="","",L291*U291/100)</f>
        <v/>
      </c>
      <c r="N291">
        <f>IF($X291="","",IF(ISNUMBER(SEARCH("3&amp;12",SUBSTITUTE(J291," ",""))),Settings!$G$7,Settings!$C$7))</f>
        <v/>
      </c>
      <c r="O291" s="7">
        <f>IF($X291="","",SUMIFS('Per Line'!$N$2:$N$1501,'Per Line'!$A$2:$A$1501,$B291,'Per Line'!$X$2:$X$1501,0))</f>
        <v/>
      </c>
      <c r="P291" s="7">
        <f>IF($X291="","",O291*N291)</f>
        <v/>
      </c>
      <c r="Q291">
        <f>IF($X291="","",IF(ISNUMBER(SEARCH("3&amp;12",SUBSTITUTE(J291," ",""))),Settings!$G$6,Settings!$C$6))</f>
        <v/>
      </c>
      <c r="R291" s="7">
        <f>IF($X291="","",SUMIFS('Per Line'!$N$2:$N$1501,'Per Line'!$A$2:$A$1501,$B291,'Per Line'!$X$2:$X$1501,1))</f>
        <v/>
      </c>
      <c r="S291" s="7">
        <f>IF($X291="","",R291*Q291)</f>
        <v/>
      </c>
      <c r="T291" s="7">
        <f>IF($X291="","",S291+P291)</f>
        <v/>
      </c>
      <c r="U291" s="7">
        <f>IF($X291="","",V291-T291)</f>
        <v/>
      </c>
      <c r="V291" s="7">
        <f>IF($X291="","",O291+R291)</f>
        <v/>
      </c>
      <c r="W291" s="7">
        <f>IF($X291="","",V291-T291-M291)</f>
        <v/>
      </c>
      <c r="X291" s="16">
        <f>IF(ROWS($X$2:$X291)&lt;=MAX('Per Line'!$W$2:$W$1501),MATCH(ROWS($X$2:$X291),'Per Line'!$W$2:$W$1501,0),"")</f>
        <v/>
      </c>
      <c r="Y291">
        <f>IF($X291="","",C291&amp;"|"&amp;COUNTIF($C$2:$C291,C291))</f>
        <v/>
      </c>
    </row>
    <row r="292">
      <c r="A292" s="15" t="n"/>
      <c r="B292">
        <f>IF($X292="","",INDEX('Per Line'!$A$2:$A$1501,$X292)&amp;"")</f>
        <v/>
      </c>
      <c r="C292">
        <f>IF($X292="","",IF(OR(TRIM(H292)="",TRIM(H292)="All",TRIM(H292)="All Comp"),TRIM(J292),TRIM(H292)))</f>
        <v/>
      </c>
      <c r="D292">
        <f>IF($X292="","",INDEX('Per Line'!$B$2:$B$1501,$X292)&amp;"")</f>
        <v/>
      </c>
      <c r="E292">
        <f>IF($X292="","",INDEX('Per Line'!$C$2:$C$1501,$X292)&amp;"")</f>
        <v/>
      </c>
      <c r="F292">
        <f>IF($X292="","",INDEX('Per Line'!$D$2:$D$1501,$X292)&amp;"")</f>
        <v/>
      </c>
      <c r="G292" s="15" t="n"/>
      <c r="H292" s="15" t="n"/>
      <c r="I292" s="15" t="n"/>
      <c r="J292" s="15" t="n"/>
      <c r="K292" s="14">
        <f>IF($X292="","",INDEX('Per Line'!$R$2:$R$1501,$X292))</f>
        <v/>
      </c>
      <c r="L292">
        <f>IF($X292="","",INDEX('Per Line'!$E$2:$E$1501,$X292))</f>
        <v/>
      </c>
      <c r="M292" s="7">
        <f>IF($X292="","",L292*U292/100)</f>
        <v/>
      </c>
      <c r="N292">
        <f>IF($X292="","",IF(ISNUMBER(SEARCH("3&amp;12",SUBSTITUTE(J292," ",""))),Settings!$G$7,Settings!$C$7))</f>
        <v/>
      </c>
      <c r="O292" s="7">
        <f>IF($X292="","",SUMIFS('Per Line'!$N$2:$N$1501,'Per Line'!$A$2:$A$1501,$B292,'Per Line'!$X$2:$X$1501,0))</f>
        <v/>
      </c>
      <c r="P292" s="7">
        <f>IF($X292="","",O292*N292)</f>
        <v/>
      </c>
      <c r="Q292">
        <f>IF($X292="","",IF(ISNUMBER(SEARCH("3&amp;12",SUBSTITUTE(J292," ",""))),Settings!$G$6,Settings!$C$6))</f>
        <v/>
      </c>
      <c r="R292" s="7">
        <f>IF($X292="","",SUMIFS('Per Line'!$N$2:$N$1501,'Per Line'!$A$2:$A$1501,$B292,'Per Line'!$X$2:$X$1501,1))</f>
        <v/>
      </c>
      <c r="S292" s="7">
        <f>IF($X292="","",R292*Q292)</f>
        <v/>
      </c>
      <c r="T292" s="7">
        <f>IF($X292="","",S292+P292)</f>
        <v/>
      </c>
      <c r="U292" s="7">
        <f>IF($X292="","",V292-T292)</f>
        <v/>
      </c>
      <c r="V292" s="7">
        <f>IF($X292="","",O292+R292)</f>
        <v/>
      </c>
      <c r="W292" s="7">
        <f>IF($X292="","",V292-T292-M292)</f>
        <v/>
      </c>
      <c r="X292" s="16">
        <f>IF(ROWS($X$2:$X292)&lt;=MAX('Per Line'!$W$2:$W$1501),MATCH(ROWS($X$2:$X292),'Per Line'!$W$2:$W$1501,0),"")</f>
        <v/>
      </c>
      <c r="Y292">
        <f>IF($X292="","",C292&amp;"|"&amp;COUNTIF($C$2:$C292,C292))</f>
        <v/>
      </c>
    </row>
    <row r="293">
      <c r="A293" s="15" t="n"/>
      <c r="B293">
        <f>IF($X293="","",INDEX('Per Line'!$A$2:$A$1501,$X293)&amp;"")</f>
        <v/>
      </c>
      <c r="C293">
        <f>IF($X293="","",IF(OR(TRIM(H293)="",TRIM(H293)="All",TRIM(H293)="All Comp"),TRIM(J293),TRIM(H293)))</f>
        <v/>
      </c>
      <c r="D293">
        <f>IF($X293="","",INDEX('Per Line'!$B$2:$B$1501,$X293)&amp;"")</f>
        <v/>
      </c>
      <c r="E293">
        <f>IF($X293="","",INDEX('Per Line'!$C$2:$C$1501,$X293)&amp;"")</f>
        <v/>
      </c>
      <c r="F293">
        <f>IF($X293="","",INDEX('Per Line'!$D$2:$D$1501,$X293)&amp;"")</f>
        <v/>
      </c>
      <c r="G293" s="15" t="n"/>
      <c r="H293" s="15" t="n"/>
      <c r="I293" s="15" t="n"/>
      <c r="J293" s="15" t="n"/>
      <c r="K293" s="14">
        <f>IF($X293="","",INDEX('Per Line'!$R$2:$R$1501,$X293))</f>
        <v/>
      </c>
      <c r="L293">
        <f>IF($X293="","",INDEX('Per Line'!$E$2:$E$1501,$X293))</f>
        <v/>
      </c>
      <c r="M293" s="7">
        <f>IF($X293="","",L293*U293/100)</f>
        <v/>
      </c>
      <c r="N293">
        <f>IF($X293="","",IF(ISNUMBER(SEARCH("3&amp;12",SUBSTITUTE(J293," ",""))),Settings!$G$7,Settings!$C$7))</f>
        <v/>
      </c>
      <c r="O293" s="7">
        <f>IF($X293="","",SUMIFS('Per Line'!$N$2:$N$1501,'Per Line'!$A$2:$A$1501,$B293,'Per Line'!$X$2:$X$1501,0))</f>
        <v/>
      </c>
      <c r="P293" s="7">
        <f>IF($X293="","",O293*N293)</f>
        <v/>
      </c>
      <c r="Q293">
        <f>IF($X293="","",IF(ISNUMBER(SEARCH("3&amp;12",SUBSTITUTE(J293," ",""))),Settings!$G$6,Settings!$C$6))</f>
        <v/>
      </c>
      <c r="R293" s="7">
        <f>IF($X293="","",SUMIFS('Per Line'!$N$2:$N$1501,'Per Line'!$A$2:$A$1501,$B293,'Per Line'!$X$2:$X$1501,1))</f>
        <v/>
      </c>
      <c r="S293" s="7">
        <f>IF($X293="","",R293*Q293)</f>
        <v/>
      </c>
      <c r="T293" s="7">
        <f>IF($X293="","",S293+P293)</f>
        <v/>
      </c>
      <c r="U293" s="7">
        <f>IF($X293="","",V293-T293)</f>
        <v/>
      </c>
      <c r="V293" s="7">
        <f>IF($X293="","",O293+R293)</f>
        <v/>
      </c>
      <c r="W293" s="7">
        <f>IF($X293="","",V293-T293-M293)</f>
        <v/>
      </c>
      <c r="X293" s="16">
        <f>IF(ROWS($X$2:$X293)&lt;=MAX('Per Line'!$W$2:$W$1501),MATCH(ROWS($X$2:$X293),'Per Line'!$W$2:$W$1501,0),"")</f>
        <v/>
      </c>
      <c r="Y293">
        <f>IF($X293="","",C293&amp;"|"&amp;COUNTIF($C$2:$C293,C293))</f>
        <v/>
      </c>
    </row>
    <row r="294">
      <c r="A294" s="15" t="n"/>
      <c r="B294">
        <f>IF($X294="","",INDEX('Per Line'!$A$2:$A$1501,$X294)&amp;"")</f>
        <v/>
      </c>
      <c r="C294">
        <f>IF($X294="","",IF(OR(TRIM(H294)="",TRIM(H294)="All",TRIM(H294)="All Comp"),TRIM(J294),TRIM(H294)))</f>
        <v/>
      </c>
      <c r="D294">
        <f>IF($X294="","",INDEX('Per Line'!$B$2:$B$1501,$X294)&amp;"")</f>
        <v/>
      </c>
      <c r="E294">
        <f>IF($X294="","",INDEX('Per Line'!$C$2:$C$1501,$X294)&amp;"")</f>
        <v/>
      </c>
      <c r="F294">
        <f>IF($X294="","",INDEX('Per Line'!$D$2:$D$1501,$X294)&amp;"")</f>
        <v/>
      </c>
      <c r="G294" s="15" t="n"/>
      <c r="H294" s="15" t="n"/>
      <c r="I294" s="15" t="n"/>
      <c r="J294" s="15" t="n"/>
      <c r="K294" s="14">
        <f>IF($X294="","",INDEX('Per Line'!$R$2:$R$1501,$X294))</f>
        <v/>
      </c>
      <c r="L294">
        <f>IF($X294="","",INDEX('Per Line'!$E$2:$E$1501,$X294))</f>
        <v/>
      </c>
      <c r="M294" s="7">
        <f>IF($X294="","",L294*U294/100)</f>
        <v/>
      </c>
      <c r="N294">
        <f>IF($X294="","",IF(ISNUMBER(SEARCH("3&amp;12",SUBSTITUTE(J294," ",""))),Settings!$G$7,Settings!$C$7))</f>
        <v/>
      </c>
      <c r="O294" s="7">
        <f>IF($X294="","",SUMIFS('Per Line'!$N$2:$N$1501,'Per Line'!$A$2:$A$1501,$B294,'Per Line'!$X$2:$X$1501,0))</f>
        <v/>
      </c>
      <c r="P294" s="7">
        <f>IF($X294="","",O294*N294)</f>
        <v/>
      </c>
      <c r="Q294">
        <f>IF($X294="","",IF(ISNUMBER(SEARCH("3&amp;12",SUBSTITUTE(J294," ",""))),Settings!$G$6,Settings!$C$6))</f>
        <v/>
      </c>
      <c r="R294" s="7">
        <f>IF($X294="","",SUMIFS('Per Line'!$N$2:$N$1501,'Per Line'!$A$2:$A$1501,$B294,'Per Line'!$X$2:$X$1501,1))</f>
        <v/>
      </c>
      <c r="S294" s="7">
        <f>IF($X294="","",R294*Q294)</f>
        <v/>
      </c>
      <c r="T294" s="7">
        <f>IF($X294="","",S294+P294)</f>
        <v/>
      </c>
      <c r="U294" s="7">
        <f>IF($X294="","",V294-T294)</f>
        <v/>
      </c>
      <c r="V294" s="7">
        <f>IF($X294="","",O294+R294)</f>
        <v/>
      </c>
      <c r="W294" s="7">
        <f>IF($X294="","",V294-T294-M294)</f>
        <v/>
      </c>
      <c r="X294" s="16">
        <f>IF(ROWS($X$2:$X294)&lt;=MAX('Per Line'!$W$2:$W$1501),MATCH(ROWS($X$2:$X294),'Per Line'!$W$2:$W$1501,0),"")</f>
        <v/>
      </c>
      <c r="Y294">
        <f>IF($X294="","",C294&amp;"|"&amp;COUNTIF($C$2:$C294,C294))</f>
        <v/>
      </c>
    </row>
    <row r="295">
      <c r="A295" s="15" t="n"/>
      <c r="B295">
        <f>IF($X295="","",INDEX('Per Line'!$A$2:$A$1501,$X295)&amp;"")</f>
        <v/>
      </c>
      <c r="C295">
        <f>IF($X295="","",IF(OR(TRIM(H295)="",TRIM(H295)="All",TRIM(H295)="All Comp"),TRIM(J295),TRIM(H295)))</f>
        <v/>
      </c>
      <c r="D295">
        <f>IF($X295="","",INDEX('Per Line'!$B$2:$B$1501,$X295)&amp;"")</f>
        <v/>
      </c>
      <c r="E295">
        <f>IF($X295="","",INDEX('Per Line'!$C$2:$C$1501,$X295)&amp;"")</f>
        <v/>
      </c>
      <c r="F295">
        <f>IF($X295="","",INDEX('Per Line'!$D$2:$D$1501,$X295)&amp;"")</f>
        <v/>
      </c>
      <c r="G295" s="15" t="n"/>
      <c r="H295" s="15" t="n"/>
      <c r="I295" s="15" t="n"/>
      <c r="J295" s="15" t="n"/>
      <c r="K295" s="14">
        <f>IF($X295="","",INDEX('Per Line'!$R$2:$R$1501,$X295))</f>
        <v/>
      </c>
      <c r="L295">
        <f>IF($X295="","",INDEX('Per Line'!$E$2:$E$1501,$X295))</f>
        <v/>
      </c>
      <c r="M295" s="7">
        <f>IF($X295="","",L295*U295/100)</f>
        <v/>
      </c>
      <c r="N295">
        <f>IF($X295="","",IF(ISNUMBER(SEARCH("3&amp;12",SUBSTITUTE(J295," ",""))),Settings!$G$7,Settings!$C$7))</f>
        <v/>
      </c>
      <c r="O295" s="7">
        <f>IF($X295="","",SUMIFS('Per Line'!$N$2:$N$1501,'Per Line'!$A$2:$A$1501,$B295,'Per Line'!$X$2:$X$1501,0))</f>
        <v/>
      </c>
      <c r="P295" s="7">
        <f>IF($X295="","",O295*N295)</f>
        <v/>
      </c>
      <c r="Q295">
        <f>IF($X295="","",IF(ISNUMBER(SEARCH("3&amp;12",SUBSTITUTE(J295," ",""))),Settings!$G$6,Settings!$C$6))</f>
        <v/>
      </c>
      <c r="R295" s="7">
        <f>IF($X295="","",SUMIFS('Per Line'!$N$2:$N$1501,'Per Line'!$A$2:$A$1501,$B295,'Per Line'!$X$2:$X$1501,1))</f>
        <v/>
      </c>
      <c r="S295" s="7">
        <f>IF($X295="","",R295*Q295)</f>
        <v/>
      </c>
      <c r="T295" s="7">
        <f>IF($X295="","",S295+P295)</f>
        <v/>
      </c>
      <c r="U295" s="7">
        <f>IF($X295="","",V295-T295)</f>
        <v/>
      </c>
      <c r="V295" s="7">
        <f>IF($X295="","",O295+R295)</f>
        <v/>
      </c>
      <c r="W295" s="7">
        <f>IF($X295="","",V295-T295-M295)</f>
        <v/>
      </c>
      <c r="X295" s="16">
        <f>IF(ROWS($X$2:$X295)&lt;=MAX('Per Line'!$W$2:$W$1501),MATCH(ROWS($X$2:$X295),'Per Line'!$W$2:$W$1501,0),"")</f>
        <v/>
      </c>
      <c r="Y295">
        <f>IF($X295="","",C295&amp;"|"&amp;COUNTIF($C$2:$C295,C295))</f>
        <v/>
      </c>
    </row>
    <row r="296">
      <c r="A296" s="15" t="n"/>
      <c r="B296">
        <f>IF($X296="","",INDEX('Per Line'!$A$2:$A$1501,$X296)&amp;"")</f>
        <v/>
      </c>
      <c r="C296">
        <f>IF($X296="","",IF(OR(TRIM(H296)="",TRIM(H296)="All",TRIM(H296)="All Comp"),TRIM(J296),TRIM(H296)))</f>
        <v/>
      </c>
      <c r="D296">
        <f>IF($X296="","",INDEX('Per Line'!$B$2:$B$1501,$X296)&amp;"")</f>
        <v/>
      </c>
      <c r="E296">
        <f>IF($X296="","",INDEX('Per Line'!$C$2:$C$1501,$X296)&amp;"")</f>
        <v/>
      </c>
      <c r="F296">
        <f>IF($X296="","",INDEX('Per Line'!$D$2:$D$1501,$X296)&amp;"")</f>
        <v/>
      </c>
      <c r="G296" s="15" t="n"/>
      <c r="H296" s="15" t="n"/>
      <c r="I296" s="15" t="n"/>
      <c r="J296" s="15" t="n"/>
      <c r="K296" s="14">
        <f>IF($X296="","",INDEX('Per Line'!$R$2:$R$1501,$X296))</f>
        <v/>
      </c>
      <c r="L296">
        <f>IF($X296="","",INDEX('Per Line'!$E$2:$E$1501,$X296))</f>
        <v/>
      </c>
      <c r="M296" s="7">
        <f>IF($X296="","",L296*U296/100)</f>
        <v/>
      </c>
      <c r="N296">
        <f>IF($X296="","",IF(ISNUMBER(SEARCH("3&amp;12",SUBSTITUTE(J296," ",""))),Settings!$G$7,Settings!$C$7))</f>
        <v/>
      </c>
      <c r="O296" s="7">
        <f>IF($X296="","",SUMIFS('Per Line'!$N$2:$N$1501,'Per Line'!$A$2:$A$1501,$B296,'Per Line'!$X$2:$X$1501,0))</f>
        <v/>
      </c>
      <c r="P296" s="7">
        <f>IF($X296="","",O296*N296)</f>
        <v/>
      </c>
      <c r="Q296">
        <f>IF($X296="","",IF(ISNUMBER(SEARCH("3&amp;12",SUBSTITUTE(J296," ",""))),Settings!$G$6,Settings!$C$6))</f>
        <v/>
      </c>
      <c r="R296" s="7">
        <f>IF($X296="","",SUMIFS('Per Line'!$N$2:$N$1501,'Per Line'!$A$2:$A$1501,$B296,'Per Line'!$X$2:$X$1501,1))</f>
        <v/>
      </c>
      <c r="S296" s="7">
        <f>IF($X296="","",R296*Q296)</f>
        <v/>
      </c>
      <c r="T296" s="7">
        <f>IF($X296="","",S296+P296)</f>
        <v/>
      </c>
      <c r="U296" s="7">
        <f>IF($X296="","",V296-T296)</f>
        <v/>
      </c>
      <c r="V296" s="7">
        <f>IF($X296="","",O296+R296)</f>
        <v/>
      </c>
      <c r="W296" s="7">
        <f>IF($X296="","",V296-T296-M296)</f>
        <v/>
      </c>
      <c r="X296" s="16">
        <f>IF(ROWS($X$2:$X296)&lt;=MAX('Per Line'!$W$2:$W$1501),MATCH(ROWS($X$2:$X296),'Per Line'!$W$2:$W$1501,0),"")</f>
        <v/>
      </c>
      <c r="Y296">
        <f>IF($X296="","",C296&amp;"|"&amp;COUNTIF($C$2:$C296,C296))</f>
        <v/>
      </c>
    </row>
    <row r="297">
      <c r="A297" s="15" t="n"/>
      <c r="B297">
        <f>IF($X297="","",INDEX('Per Line'!$A$2:$A$1501,$X297)&amp;"")</f>
        <v/>
      </c>
      <c r="C297">
        <f>IF($X297="","",IF(OR(TRIM(H297)="",TRIM(H297)="All",TRIM(H297)="All Comp"),TRIM(J297),TRIM(H297)))</f>
        <v/>
      </c>
      <c r="D297">
        <f>IF($X297="","",INDEX('Per Line'!$B$2:$B$1501,$X297)&amp;"")</f>
        <v/>
      </c>
      <c r="E297">
        <f>IF($X297="","",INDEX('Per Line'!$C$2:$C$1501,$X297)&amp;"")</f>
        <v/>
      </c>
      <c r="F297">
        <f>IF($X297="","",INDEX('Per Line'!$D$2:$D$1501,$X297)&amp;"")</f>
        <v/>
      </c>
      <c r="G297" s="15" t="n"/>
      <c r="H297" s="15" t="n"/>
      <c r="I297" s="15" t="n"/>
      <c r="J297" s="15" t="n"/>
      <c r="K297" s="14">
        <f>IF($X297="","",INDEX('Per Line'!$R$2:$R$1501,$X297))</f>
        <v/>
      </c>
      <c r="L297">
        <f>IF($X297="","",INDEX('Per Line'!$E$2:$E$1501,$X297))</f>
        <v/>
      </c>
      <c r="M297" s="7">
        <f>IF($X297="","",L297*U297/100)</f>
        <v/>
      </c>
      <c r="N297">
        <f>IF($X297="","",IF(ISNUMBER(SEARCH("3&amp;12",SUBSTITUTE(J297," ",""))),Settings!$G$7,Settings!$C$7))</f>
        <v/>
      </c>
      <c r="O297" s="7">
        <f>IF($X297="","",SUMIFS('Per Line'!$N$2:$N$1501,'Per Line'!$A$2:$A$1501,$B297,'Per Line'!$X$2:$X$1501,0))</f>
        <v/>
      </c>
      <c r="P297" s="7">
        <f>IF($X297="","",O297*N297)</f>
        <v/>
      </c>
      <c r="Q297">
        <f>IF($X297="","",IF(ISNUMBER(SEARCH("3&amp;12",SUBSTITUTE(J297," ",""))),Settings!$G$6,Settings!$C$6))</f>
        <v/>
      </c>
      <c r="R297" s="7">
        <f>IF($X297="","",SUMIFS('Per Line'!$N$2:$N$1501,'Per Line'!$A$2:$A$1501,$B297,'Per Line'!$X$2:$X$1501,1))</f>
        <v/>
      </c>
      <c r="S297" s="7">
        <f>IF($X297="","",R297*Q297)</f>
        <v/>
      </c>
      <c r="T297" s="7">
        <f>IF($X297="","",S297+P297)</f>
        <v/>
      </c>
      <c r="U297" s="7">
        <f>IF($X297="","",V297-T297)</f>
        <v/>
      </c>
      <c r="V297" s="7">
        <f>IF($X297="","",O297+R297)</f>
        <v/>
      </c>
      <c r="W297" s="7">
        <f>IF($X297="","",V297-T297-M297)</f>
        <v/>
      </c>
      <c r="X297" s="16">
        <f>IF(ROWS($X$2:$X297)&lt;=MAX('Per Line'!$W$2:$W$1501),MATCH(ROWS($X$2:$X297),'Per Line'!$W$2:$W$1501,0),"")</f>
        <v/>
      </c>
      <c r="Y297">
        <f>IF($X297="","",C297&amp;"|"&amp;COUNTIF($C$2:$C297,C297))</f>
        <v/>
      </c>
    </row>
    <row r="298">
      <c r="A298" s="15" t="n"/>
      <c r="B298">
        <f>IF($X298="","",INDEX('Per Line'!$A$2:$A$1501,$X298)&amp;"")</f>
        <v/>
      </c>
      <c r="C298">
        <f>IF($X298="","",IF(OR(TRIM(H298)="",TRIM(H298)="All",TRIM(H298)="All Comp"),TRIM(J298),TRIM(H298)))</f>
        <v/>
      </c>
      <c r="D298">
        <f>IF($X298="","",INDEX('Per Line'!$B$2:$B$1501,$X298)&amp;"")</f>
        <v/>
      </c>
      <c r="E298">
        <f>IF($X298="","",INDEX('Per Line'!$C$2:$C$1501,$X298)&amp;"")</f>
        <v/>
      </c>
      <c r="F298">
        <f>IF($X298="","",INDEX('Per Line'!$D$2:$D$1501,$X298)&amp;"")</f>
        <v/>
      </c>
      <c r="G298" s="15" t="n"/>
      <c r="H298" s="15" t="n"/>
      <c r="I298" s="15" t="n"/>
      <c r="J298" s="15" t="n"/>
      <c r="K298" s="14">
        <f>IF($X298="","",INDEX('Per Line'!$R$2:$R$1501,$X298))</f>
        <v/>
      </c>
      <c r="L298">
        <f>IF($X298="","",INDEX('Per Line'!$E$2:$E$1501,$X298))</f>
        <v/>
      </c>
      <c r="M298" s="7">
        <f>IF($X298="","",L298*U298/100)</f>
        <v/>
      </c>
      <c r="N298">
        <f>IF($X298="","",IF(ISNUMBER(SEARCH("3&amp;12",SUBSTITUTE(J298," ",""))),Settings!$G$7,Settings!$C$7))</f>
        <v/>
      </c>
      <c r="O298" s="7">
        <f>IF($X298="","",SUMIFS('Per Line'!$N$2:$N$1501,'Per Line'!$A$2:$A$1501,$B298,'Per Line'!$X$2:$X$1501,0))</f>
        <v/>
      </c>
      <c r="P298" s="7">
        <f>IF($X298="","",O298*N298)</f>
        <v/>
      </c>
      <c r="Q298">
        <f>IF($X298="","",IF(ISNUMBER(SEARCH("3&amp;12",SUBSTITUTE(J298," ",""))),Settings!$G$6,Settings!$C$6))</f>
        <v/>
      </c>
      <c r="R298" s="7">
        <f>IF($X298="","",SUMIFS('Per Line'!$N$2:$N$1501,'Per Line'!$A$2:$A$1501,$B298,'Per Line'!$X$2:$X$1501,1))</f>
        <v/>
      </c>
      <c r="S298" s="7">
        <f>IF($X298="","",R298*Q298)</f>
        <v/>
      </c>
      <c r="T298" s="7">
        <f>IF($X298="","",S298+P298)</f>
        <v/>
      </c>
      <c r="U298" s="7">
        <f>IF($X298="","",V298-T298)</f>
        <v/>
      </c>
      <c r="V298" s="7">
        <f>IF($X298="","",O298+R298)</f>
        <v/>
      </c>
      <c r="W298" s="7">
        <f>IF($X298="","",V298-T298-M298)</f>
        <v/>
      </c>
      <c r="X298" s="16">
        <f>IF(ROWS($X$2:$X298)&lt;=MAX('Per Line'!$W$2:$W$1501),MATCH(ROWS($X$2:$X298),'Per Line'!$W$2:$W$1501,0),"")</f>
        <v/>
      </c>
      <c r="Y298">
        <f>IF($X298="","",C298&amp;"|"&amp;COUNTIF($C$2:$C298,C298))</f>
        <v/>
      </c>
    </row>
    <row r="299">
      <c r="A299" s="15" t="n"/>
      <c r="B299">
        <f>IF($X299="","",INDEX('Per Line'!$A$2:$A$1501,$X299)&amp;"")</f>
        <v/>
      </c>
      <c r="C299">
        <f>IF($X299="","",IF(OR(TRIM(H299)="",TRIM(H299)="All",TRIM(H299)="All Comp"),TRIM(J299),TRIM(H299)))</f>
        <v/>
      </c>
      <c r="D299">
        <f>IF($X299="","",INDEX('Per Line'!$B$2:$B$1501,$X299)&amp;"")</f>
        <v/>
      </c>
      <c r="E299">
        <f>IF($X299="","",INDEX('Per Line'!$C$2:$C$1501,$X299)&amp;"")</f>
        <v/>
      </c>
      <c r="F299">
        <f>IF($X299="","",INDEX('Per Line'!$D$2:$D$1501,$X299)&amp;"")</f>
        <v/>
      </c>
      <c r="G299" s="15" t="n"/>
      <c r="H299" s="15" t="n"/>
      <c r="I299" s="15" t="n"/>
      <c r="J299" s="15" t="n"/>
      <c r="K299" s="14">
        <f>IF($X299="","",INDEX('Per Line'!$R$2:$R$1501,$X299))</f>
        <v/>
      </c>
      <c r="L299">
        <f>IF($X299="","",INDEX('Per Line'!$E$2:$E$1501,$X299))</f>
        <v/>
      </c>
      <c r="M299" s="7">
        <f>IF($X299="","",L299*U299/100)</f>
        <v/>
      </c>
      <c r="N299">
        <f>IF($X299="","",IF(ISNUMBER(SEARCH("3&amp;12",SUBSTITUTE(J299," ",""))),Settings!$G$7,Settings!$C$7))</f>
        <v/>
      </c>
      <c r="O299" s="7">
        <f>IF($X299="","",SUMIFS('Per Line'!$N$2:$N$1501,'Per Line'!$A$2:$A$1501,$B299,'Per Line'!$X$2:$X$1501,0))</f>
        <v/>
      </c>
      <c r="P299" s="7">
        <f>IF($X299="","",O299*N299)</f>
        <v/>
      </c>
      <c r="Q299">
        <f>IF($X299="","",IF(ISNUMBER(SEARCH("3&amp;12",SUBSTITUTE(J299," ",""))),Settings!$G$6,Settings!$C$6))</f>
        <v/>
      </c>
      <c r="R299" s="7">
        <f>IF($X299="","",SUMIFS('Per Line'!$N$2:$N$1501,'Per Line'!$A$2:$A$1501,$B299,'Per Line'!$X$2:$X$1501,1))</f>
        <v/>
      </c>
      <c r="S299" s="7">
        <f>IF($X299="","",R299*Q299)</f>
        <v/>
      </c>
      <c r="T299" s="7">
        <f>IF($X299="","",S299+P299)</f>
        <v/>
      </c>
      <c r="U299" s="7">
        <f>IF($X299="","",V299-T299)</f>
        <v/>
      </c>
      <c r="V299" s="7">
        <f>IF($X299="","",O299+R299)</f>
        <v/>
      </c>
      <c r="W299" s="7">
        <f>IF($X299="","",V299-T299-M299)</f>
        <v/>
      </c>
      <c r="X299" s="16">
        <f>IF(ROWS($X$2:$X299)&lt;=MAX('Per Line'!$W$2:$W$1501),MATCH(ROWS($X$2:$X299),'Per Line'!$W$2:$W$1501,0),"")</f>
        <v/>
      </c>
      <c r="Y299">
        <f>IF($X299="","",C299&amp;"|"&amp;COUNTIF($C$2:$C299,C299))</f>
        <v/>
      </c>
    </row>
    <row r="300">
      <c r="A300" s="15" t="n"/>
      <c r="B300">
        <f>IF($X300="","",INDEX('Per Line'!$A$2:$A$1501,$X300)&amp;"")</f>
        <v/>
      </c>
      <c r="C300">
        <f>IF($X300="","",IF(OR(TRIM(H300)="",TRIM(H300)="All",TRIM(H300)="All Comp"),TRIM(J300),TRIM(H300)))</f>
        <v/>
      </c>
      <c r="D300">
        <f>IF($X300="","",INDEX('Per Line'!$B$2:$B$1501,$X300)&amp;"")</f>
        <v/>
      </c>
      <c r="E300">
        <f>IF($X300="","",INDEX('Per Line'!$C$2:$C$1501,$X300)&amp;"")</f>
        <v/>
      </c>
      <c r="F300">
        <f>IF($X300="","",INDEX('Per Line'!$D$2:$D$1501,$X300)&amp;"")</f>
        <v/>
      </c>
      <c r="G300" s="15" t="n"/>
      <c r="H300" s="15" t="n"/>
      <c r="I300" s="15" t="n"/>
      <c r="J300" s="15" t="n"/>
      <c r="K300" s="14">
        <f>IF($X300="","",INDEX('Per Line'!$R$2:$R$1501,$X300))</f>
        <v/>
      </c>
      <c r="L300">
        <f>IF($X300="","",INDEX('Per Line'!$E$2:$E$1501,$X300))</f>
        <v/>
      </c>
      <c r="M300" s="7">
        <f>IF($X300="","",L300*U300/100)</f>
        <v/>
      </c>
      <c r="N300">
        <f>IF($X300="","",IF(ISNUMBER(SEARCH("3&amp;12",SUBSTITUTE(J300," ",""))),Settings!$G$7,Settings!$C$7))</f>
        <v/>
      </c>
      <c r="O300" s="7">
        <f>IF($X300="","",SUMIFS('Per Line'!$N$2:$N$1501,'Per Line'!$A$2:$A$1501,$B300,'Per Line'!$X$2:$X$1501,0))</f>
        <v/>
      </c>
      <c r="P300" s="7">
        <f>IF($X300="","",O300*N300)</f>
        <v/>
      </c>
      <c r="Q300">
        <f>IF($X300="","",IF(ISNUMBER(SEARCH("3&amp;12",SUBSTITUTE(J300," ",""))),Settings!$G$6,Settings!$C$6))</f>
        <v/>
      </c>
      <c r="R300" s="7">
        <f>IF($X300="","",SUMIFS('Per Line'!$N$2:$N$1501,'Per Line'!$A$2:$A$1501,$B300,'Per Line'!$X$2:$X$1501,1))</f>
        <v/>
      </c>
      <c r="S300" s="7">
        <f>IF($X300="","",R300*Q300)</f>
        <v/>
      </c>
      <c r="T300" s="7">
        <f>IF($X300="","",S300+P300)</f>
        <v/>
      </c>
      <c r="U300" s="7">
        <f>IF($X300="","",V300-T300)</f>
        <v/>
      </c>
      <c r="V300" s="7">
        <f>IF($X300="","",O300+R300)</f>
        <v/>
      </c>
      <c r="W300" s="7">
        <f>IF($X300="","",V300-T300-M300)</f>
        <v/>
      </c>
      <c r="X300" s="16">
        <f>IF(ROWS($X$2:$X300)&lt;=MAX('Per Line'!$W$2:$W$1501),MATCH(ROWS($X$2:$X300),'Per Line'!$W$2:$W$1501,0),"")</f>
        <v/>
      </c>
      <c r="Y300">
        <f>IF($X300="","",C300&amp;"|"&amp;COUNTIF($C$2:$C300,C300))</f>
        <v/>
      </c>
    </row>
    <row r="301">
      <c r="A301" s="15" t="n"/>
      <c r="B301">
        <f>IF($X301="","",INDEX('Per Line'!$A$2:$A$1501,$X301)&amp;"")</f>
        <v/>
      </c>
      <c r="C301">
        <f>IF($X301="","",IF(OR(TRIM(H301)="",TRIM(H301)="All",TRIM(H301)="All Comp"),TRIM(J301),TRIM(H301)))</f>
        <v/>
      </c>
      <c r="D301">
        <f>IF($X301="","",INDEX('Per Line'!$B$2:$B$1501,$X301)&amp;"")</f>
        <v/>
      </c>
      <c r="E301">
        <f>IF($X301="","",INDEX('Per Line'!$C$2:$C$1501,$X301)&amp;"")</f>
        <v/>
      </c>
      <c r="F301">
        <f>IF($X301="","",INDEX('Per Line'!$D$2:$D$1501,$X301)&amp;"")</f>
        <v/>
      </c>
      <c r="G301" s="15" t="n"/>
      <c r="H301" s="15" t="n"/>
      <c r="I301" s="15" t="n"/>
      <c r="J301" s="15" t="n"/>
      <c r="K301" s="14">
        <f>IF($X301="","",INDEX('Per Line'!$R$2:$R$1501,$X301))</f>
        <v/>
      </c>
      <c r="L301">
        <f>IF($X301="","",INDEX('Per Line'!$E$2:$E$1501,$X301))</f>
        <v/>
      </c>
      <c r="M301" s="7">
        <f>IF($X301="","",L301*U301/100)</f>
        <v/>
      </c>
      <c r="N301">
        <f>IF($X301="","",IF(ISNUMBER(SEARCH("3&amp;12",SUBSTITUTE(J301," ",""))),Settings!$G$7,Settings!$C$7))</f>
        <v/>
      </c>
      <c r="O301" s="7">
        <f>IF($X301="","",SUMIFS('Per Line'!$N$2:$N$1501,'Per Line'!$A$2:$A$1501,$B301,'Per Line'!$X$2:$X$1501,0))</f>
        <v/>
      </c>
      <c r="P301" s="7">
        <f>IF($X301="","",O301*N301)</f>
        <v/>
      </c>
      <c r="Q301">
        <f>IF($X301="","",IF(ISNUMBER(SEARCH("3&amp;12",SUBSTITUTE(J301," ",""))),Settings!$G$6,Settings!$C$6))</f>
        <v/>
      </c>
      <c r="R301" s="7">
        <f>IF($X301="","",SUMIFS('Per Line'!$N$2:$N$1501,'Per Line'!$A$2:$A$1501,$B301,'Per Line'!$X$2:$X$1501,1))</f>
        <v/>
      </c>
      <c r="S301" s="7">
        <f>IF($X301="","",R301*Q301)</f>
        <v/>
      </c>
      <c r="T301" s="7">
        <f>IF($X301="","",S301+P301)</f>
        <v/>
      </c>
      <c r="U301" s="7">
        <f>IF($X301="","",V301-T301)</f>
        <v/>
      </c>
      <c r="V301" s="7">
        <f>IF($X301="","",O301+R301)</f>
        <v/>
      </c>
      <c r="W301" s="7">
        <f>IF($X301="","",V301-T301-M301)</f>
        <v/>
      </c>
      <c r="X301" s="16">
        <f>IF(ROWS($X$2:$X301)&lt;=MAX('Per Line'!$W$2:$W$1501),MATCH(ROWS($X$2:$X301),'Per Line'!$W$2:$W$1501,0),"")</f>
        <v/>
      </c>
      <c r="Y301">
        <f>IF($X301="","",C301&amp;"|"&amp;COUNTIF($C$2:$C301,C301))</f>
        <v/>
      </c>
    </row>
    <row r="302">
      <c r="A302" s="15" t="n"/>
      <c r="B302">
        <f>IF($X302="","",INDEX('Per Line'!$A$2:$A$1501,$X302)&amp;"")</f>
        <v/>
      </c>
      <c r="C302">
        <f>IF($X302="","",IF(OR(TRIM(H302)="",TRIM(H302)="All",TRIM(H302)="All Comp"),TRIM(J302),TRIM(H302)))</f>
        <v/>
      </c>
      <c r="D302">
        <f>IF($X302="","",INDEX('Per Line'!$B$2:$B$1501,$X302)&amp;"")</f>
        <v/>
      </c>
      <c r="E302">
        <f>IF($X302="","",INDEX('Per Line'!$C$2:$C$1501,$X302)&amp;"")</f>
        <v/>
      </c>
      <c r="F302">
        <f>IF($X302="","",INDEX('Per Line'!$D$2:$D$1501,$X302)&amp;"")</f>
        <v/>
      </c>
      <c r="G302" s="15" t="n"/>
      <c r="H302" s="15" t="n"/>
      <c r="I302" s="15" t="n"/>
      <c r="J302" s="15" t="n"/>
      <c r="K302" s="14">
        <f>IF($X302="","",INDEX('Per Line'!$R$2:$R$1501,$X302))</f>
        <v/>
      </c>
      <c r="L302">
        <f>IF($X302="","",INDEX('Per Line'!$E$2:$E$1501,$X302))</f>
        <v/>
      </c>
      <c r="M302" s="7">
        <f>IF($X302="","",L302*U302/100)</f>
        <v/>
      </c>
      <c r="N302">
        <f>IF($X302="","",IF(ISNUMBER(SEARCH("3&amp;12",SUBSTITUTE(J302," ",""))),Settings!$G$7,Settings!$C$7))</f>
        <v/>
      </c>
      <c r="O302" s="7">
        <f>IF($X302="","",SUMIFS('Per Line'!$N$2:$N$1501,'Per Line'!$A$2:$A$1501,$B302,'Per Line'!$X$2:$X$1501,0))</f>
        <v/>
      </c>
      <c r="P302" s="7">
        <f>IF($X302="","",O302*N302)</f>
        <v/>
      </c>
      <c r="Q302">
        <f>IF($X302="","",IF(ISNUMBER(SEARCH("3&amp;12",SUBSTITUTE(J302," ",""))),Settings!$G$6,Settings!$C$6))</f>
        <v/>
      </c>
      <c r="R302" s="7">
        <f>IF($X302="","",SUMIFS('Per Line'!$N$2:$N$1501,'Per Line'!$A$2:$A$1501,$B302,'Per Line'!$X$2:$X$1501,1))</f>
        <v/>
      </c>
      <c r="S302" s="7">
        <f>IF($X302="","",R302*Q302)</f>
        <v/>
      </c>
      <c r="T302" s="7">
        <f>IF($X302="","",S302+P302)</f>
        <v/>
      </c>
      <c r="U302" s="7">
        <f>IF($X302="","",V302-T302)</f>
        <v/>
      </c>
      <c r="V302" s="7">
        <f>IF($X302="","",O302+R302)</f>
        <v/>
      </c>
      <c r="W302" s="7">
        <f>IF($X302="","",V302-T302-M302)</f>
        <v/>
      </c>
      <c r="X302" s="16">
        <f>IF(ROWS($X$2:$X302)&lt;=MAX('Per Line'!$W$2:$W$1501),MATCH(ROWS($X$2:$X302),'Per Line'!$W$2:$W$1501,0),"")</f>
        <v/>
      </c>
      <c r="Y302">
        <f>IF($X302="","",C302&amp;"|"&amp;COUNTIF($C$2:$C302,C302))</f>
        <v/>
      </c>
    </row>
    <row r="303">
      <c r="A303" s="15" t="n"/>
      <c r="B303">
        <f>IF($X303="","",INDEX('Per Line'!$A$2:$A$1501,$X303)&amp;"")</f>
        <v/>
      </c>
      <c r="C303">
        <f>IF($X303="","",IF(OR(TRIM(H303)="",TRIM(H303)="All",TRIM(H303)="All Comp"),TRIM(J303),TRIM(H303)))</f>
        <v/>
      </c>
      <c r="D303">
        <f>IF($X303="","",INDEX('Per Line'!$B$2:$B$1501,$X303)&amp;"")</f>
        <v/>
      </c>
      <c r="E303">
        <f>IF($X303="","",INDEX('Per Line'!$C$2:$C$1501,$X303)&amp;"")</f>
        <v/>
      </c>
      <c r="F303">
        <f>IF($X303="","",INDEX('Per Line'!$D$2:$D$1501,$X303)&amp;"")</f>
        <v/>
      </c>
      <c r="G303" s="15" t="n"/>
      <c r="H303" s="15" t="n"/>
      <c r="I303" s="15" t="n"/>
      <c r="J303" s="15" t="n"/>
      <c r="K303" s="14">
        <f>IF($X303="","",INDEX('Per Line'!$R$2:$R$1501,$X303))</f>
        <v/>
      </c>
      <c r="L303">
        <f>IF($X303="","",INDEX('Per Line'!$E$2:$E$1501,$X303))</f>
        <v/>
      </c>
      <c r="M303" s="7">
        <f>IF($X303="","",L303*U303/100)</f>
        <v/>
      </c>
      <c r="N303">
        <f>IF($X303="","",IF(ISNUMBER(SEARCH("3&amp;12",SUBSTITUTE(J303," ",""))),Settings!$G$7,Settings!$C$7))</f>
        <v/>
      </c>
      <c r="O303" s="7">
        <f>IF($X303="","",SUMIFS('Per Line'!$N$2:$N$1501,'Per Line'!$A$2:$A$1501,$B303,'Per Line'!$X$2:$X$1501,0))</f>
        <v/>
      </c>
      <c r="P303" s="7">
        <f>IF($X303="","",O303*N303)</f>
        <v/>
      </c>
      <c r="Q303">
        <f>IF($X303="","",IF(ISNUMBER(SEARCH("3&amp;12",SUBSTITUTE(J303," ",""))),Settings!$G$6,Settings!$C$6))</f>
        <v/>
      </c>
      <c r="R303" s="7">
        <f>IF($X303="","",SUMIFS('Per Line'!$N$2:$N$1501,'Per Line'!$A$2:$A$1501,$B303,'Per Line'!$X$2:$X$1501,1))</f>
        <v/>
      </c>
      <c r="S303" s="7">
        <f>IF($X303="","",R303*Q303)</f>
        <v/>
      </c>
      <c r="T303" s="7">
        <f>IF($X303="","",S303+P303)</f>
        <v/>
      </c>
      <c r="U303" s="7">
        <f>IF($X303="","",V303-T303)</f>
        <v/>
      </c>
      <c r="V303" s="7">
        <f>IF($X303="","",O303+R303)</f>
        <v/>
      </c>
      <c r="W303" s="7">
        <f>IF($X303="","",V303-T303-M303)</f>
        <v/>
      </c>
      <c r="X303" s="16">
        <f>IF(ROWS($X$2:$X303)&lt;=MAX('Per Line'!$W$2:$W$1501),MATCH(ROWS($X$2:$X303),'Per Line'!$W$2:$W$1501,0),"")</f>
        <v/>
      </c>
      <c r="Y303">
        <f>IF($X303="","",C303&amp;"|"&amp;COUNTIF($C$2:$C303,C303))</f>
        <v/>
      </c>
    </row>
    <row r="304">
      <c r="A304" s="15" t="n"/>
      <c r="B304">
        <f>IF($X304="","",INDEX('Per Line'!$A$2:$A$1501,$X304)&amp;"")</f>
        <v/>
      </c>
      <c r="C304">
        <f>IF($X304="","",IF(OR(TRIM(H304)="",TRIM(H304)="All",TRIM(H304)="All Comp"),TRIM(J304),TRIM(H304)))</f>
        <v/>
      </c>
      <c r="D304">
        <f>IF($X304="","",INDEX('Per Line'!$B$2:$B$1501,$X304)&amp;"")</f>
        <v/>
      </c>
      <c r="E304">
        <f>IF($X304="","",INDEX('Per Line'!$C$2:$C$1501,$X304)&amp;"")</f>
        <v/>
      </c>
      <c r="F304">
        <f>IF($X304="","",INDEX('Per Line'!$D$2:$D$1501,$X304)&amp;"")</f>
        <v/>
      </c>
      <c r="G304" s="15" t="n"/>
      <c r="H304" s="15" t="n"/>
      <c r="I304" s="15" t="n"/>
      <c r="J304" s="15" t="n"/>
      <c r="K304" s="14">
        <f>IF($X304="","",INDEX('Per Line'!$R$2:$R$1501,$X304))</f>
        <v/>
      </c>
      <c r="L304">
        <f>IF($X304="","",INDEX('Per Line'!$E$2:$E$1501,$X304))</f>
        <v/>
      </c>
      <c r="M304" s="7">
        <f>IF($X304="","",L304*U304/100)</f>
        <v/>
      </c>
      <c r="N304">
        <f>IF($X304="","",IF(ISNUMBER(SEARCH("3&amp;12",SUBSTITUTE(J304," ",""))),Settings!$G$7,Settings!$C$7))</f>
        <v/>
      </c>
      <c r="O304" s="7">
        <f>IF($X304="","",SUMIFS('Per Line'!$N$2:$N$1501,'Per Line'!$A$2:$A$1501,$B304,'Per Line'!$X$2:$X$1501,0))</f>
        <v/>
      </c>
      <c r="P304" s="7">
        <f>IF($X304="","",O304*N304)</f>
        <v/>
      </c>
      <c r="Q304">
        <f>IF($X304="","",IF(ISNUMBER(SEARCH("3&amp;12",SUBSTITUTE(J304," ",""))),Settings!$G$6,Settings!$C$6))</f>
        <v/>
      </c>
      <c r="R304" s="7">
        <f>IF($X304="","",SUMIFS('Per Line'!$N$2:$N$1501,'Per Line'!$A$2:$A$1501,$B304,'Per Line'!$X$2:$X$1501,1))</f>
        <v/>
      </c>
      <c r="S304" s="7">
        <f>IF($X304="","",R304*Q304)</f>
        <v/>
      </c>
      <c r="T304" s="7">
        <f>IF($X304="","",S304+P304)</f>
        <v/>
      </c>
      <c r="U304" s="7">
        <f>IF($X304="","",V304-T304)</f>
        <v/>
      </c>
      <c r="V304" s="7">
        <f>IF($X304="","",O304+R304)</f>
        <v/>
      </c>
      <c r="W304" s="7">
        <f>IF($X304="","",V304-T304-M304)</f>
        <v/>
      </c>
      <c r="X304" s="16">
        <f>IF(ROWS($X$2:$X304)&lt;=MAX('Per Line'!$W$2:$W$1501),MATCH(ROWS($X$2:$X304),'Per Line'!$W$2:$W$1501,0),"")</f>
        <v/>
      </c>
      <c r="Y304">
        <f>IF($X304="","",C304&amp;"|"&amp;COUNTIF($C$2:$C304,C304))</f>
        <v/>
      </c>
    </row>
    <row r="305">
      <c r="A305" s="15" t="n"/>
      <c r="B305">
        <f>IF($X305="","",INDEX('Per Line'!$A$2:$A$1501,$X305)&amp;"")</f>
        <v/>
      </c>
      <c r="C305">
        <f>IF($X305="","",IF(OR(TRIM(H305)="",TRIM(H305)="All",TRIM(H305)="All Comp"),TRIM(J305),TRIM(H305)))</f>
        <v/>
      </c>
      <c r="D305">
        <f>IF($X305="","",INDEX('Per Line'!$B$2:$B$1501,$X305)&amp;"")</f>
        <v/>
      </c>
      <c r="E305">
        <f>IF($X305="","",INDEX('Per Line'!$C$2:$C$1501,$X305)&amp;"")</f>
        <v/>
      </c>
      <c r="F305">
        <f>IF($X305="","",INDEX('Per Line'!$D$2:$D$1501,$X305)&amp;"")</f>
        <v/>
      </c>
      <c r="G305" s="15" t="n"/>
      <c r="H305" s="15" t="n"/>
      <c r="I305" s="15" t="n"/>
      <c r="J305" s="15" t="n"/>
      <c r="K305" s="14">
        <f>IF($X305="","",INDEX('Per Line'!$R$2:$R$1501,$X305))</f>
        <v/>
      </c>
      <c r="L305">
        <f>IF($X305="","",INDEX('Per Line'!$E$2:$E$1501,$X305))</f>
        <v/>
      </c>
      <c r="M305" s="7">
        <f>IF($X305="","",L305*U305/100)</f>
        <v/>
      </c>
      <c r="N305">
        <f>IF($X305="","",IF(ISNUMBER(SEARCH("3&amp;12",SUBSTITUTE(J305," ",""))),Settings!$G$7,Settings!$C$7))</f>
        <v/>
      </c>
      <c r="O305" s="7">
        <f>IF($X305="","",SUMIFS('Per Line'!$N$2:$N$1501,'Per Line'!$A$2:$A$1501,$B305,'Per Line'!$X$2:$X$1501,0))</f>
        <v/>
      </c>
      <c r="P305" s="7">
        <f>IF($X305="","",O305*N305)</f>
        <v/>
      </c>
      <c r="Q305">
        <f>IF($X305="","",IF(ISNUMBER(SEARCH("3&amp;12",SUBSTITUTE(J305," ",""))),Settings!$G$6,Settings!$C$6))</f>
        <v/>
      </c>
      <c r="R305" s="7">
        <f>IF($X305="","",SUMIFS('Per Line'!$N$2:$N$1501,'Per Line'!$A$2:$A$1501,$B305,'Per Line'!$X$2:$X$1501,1))</f>
        <v/>
      </c>
      <c r="S305" s="7">
        <f>IF($X305="","",R305*Q305)</f>
        <v/>
      </c>
      <c r="T305" s="7">
        <f>IF($X305="","",S305+P305)</f>
        <v/>
      </c>
      <c r="U305" s="7">
        <f>IF($X305="","",V305-T305)</f>
        <v/>
      </c>
      <c r="V305" s="7">
        <f>IF($X305="","",O305+R305)</f>
        <v/>
      </c>
      <c r="W305" s="7">
        <f>IF($X305="","",V305-T305-M305)</f>
        <v/>
      </c>
      <c r="X305" s="16">
        <f>IF(ROWS($X$2:$X305)&lt;=MAX('Per Line'!$W$2:$W$1501),MATCH(ROWS($X$2:$X305),'Per Line'!$W$2:$W$1501,0),"")</f>
        <v/>
      </c>
      <c r="Y305">
        <f>IF($X305="","",C305&amp;"|"&amp;COUNTIF($C$2:$C305,C305))</f>
        <v/>
      </c>
    </row>
    <row r="306">
      <c r="A306" s="15" t="n"/>
      <c r="B306">
        <f>IF($X306="","",INDEX('Per Line'!$A$2:$A$1501,$X306)&amp;"")</f>
        <v/>
      </c>
      <c r="C306">
        <f>IF($X306="","",IF(OR(TRIM(H306)="",TRIM(H306)="All",TRIM(H306)="All Comp"),TRIM(J306),TRIM(H306)))</f>
        <v/>
      </c>
      <c r="D306">
        <f>IF($X306="","",INDEX('Per Line'!$B$2:$B$1501,$X306)&amp;"")</f>
        <v/>
      </c>
      <c r="E306">
        <f>IF($X306="","",INDEX('Per Line'!$C$2:$C$1501,$X306)&amp;"")</f>
        <v/>
      </c>
      <c r="F306">
        <f>IF($X306="","",INDEX('Per Line'!$D$2:$D$1501,$X306)&amp;"")</f>
        <v/>
      </c>
      <c r="G306" s="15" t="n"/>
      <c r="H306" s="15" t="n"/>
      <c r="I306" s="15" t="n"/>
      <c r="J306" s="15" t="n"/>
      <c r="K306" s="14">
        <f>IF($X306="","",INDEX('Per Line'!$R$2:$R$1501,$X306))</f>
        <v/>
      </c>
      <c r="L306">
        <f>IF($X306="","",INDEX('Per Line'!$E$2:$E$1501,$X306))</f>
        <v/>
      </c>
      <c r="M306" s="7">
        <f>IF($X306="","",L306*U306/100)</f>
        <v/>
      </c>
      <c r="N306">
        <f>IF($X306="","",IF(ISNUMBER(SEARCH("3&amp;12",SUBSTITUTE(J306," ",""))),Settings!$G$7,Settings!$C$7))</f>
        <v/>
      </c>
      <c r="O306" s="7">
        <f>IF($X306="","",SUMIFS('Per Line'!$N$2:$N$1501,'Per Line'!$A$2:$A$1501,$B306,'Per Line'!$X$2:$X$1501,0))</f>
        <v/>
      </c>
      <c r="P306" s="7">
        <f>IF($X306="","",O306*N306)</f>
        <v/>
      </c>
      <c r="Q306">
        <f>IF($X306="","",IF(ISNUMBER(SEARCH("3&amp;12",SUBSTITUTE(J306," ",""))),Settings!$G$6,Settings!$C$6))</f>
        <v/>
      </c>
      <c r="R306" s="7">
        <f>IF($X306="","",SUMIFS('Per Line'!$N$2:$N$1501,'Per Line'!$A$2:$A$1501,$B306,'Per Line'!$X$2:$X$1501,1))</f>
        <v/>
      </c>
      <c r="S306" s="7">
        <f>IF($X306="","",R306*Q306)</f>
        <v/>
      </c>
      <c r="T306" s="7">
        <f>IF($X306="","",S306+P306)</f>
        <v/>
      </c>
      <c r="U306" s="7">
        <f>IF($X306="","",V306-T306)</f>
        <v/>
      </c>
      <c r="V306" s="7">
        <f>IF($X306="","",O306+R306)</f>
        <v/>
      </c>
      <c r="W306" s="7">
        <f>IF($X306="","",V306-T306-M306)</f>
        <v/>
      </c>
      <c r="X306" s="16">
        <f>IF(ROWS($X$2:$X306)&lt;=MAX('Per Line'!$W$2:$W$1501),MATCH(ROWS($X$2:$X306),'Per Line'!$W$2:$W$1501,0),"")</f>
        <v/>
      </c>
      <c r="Y306">
        <f>IF($X306="","",C306&amp;"|"&amp;COUNTIF($C$2:$C306,C306))</f>
        <v/>
      </c>
    </row>
    <row r="307">
      <c r="A307" s="15" t="n"/>
      <c r="B307">
        <f>IF($X307="","",INDEX('Per Line'!$A$2:$A$1501,$X307)&amp;"")</f>
        <v/>
      </c>
      <c r="C307">
        <f>IF($X307="","",IF(OR(TRIM(H307)="",TRIM(H307)="All",TRIM(H307)="All Comp"),TRIM(J307),TRIM(H307)))</f>
        <v/>
      </c>
      <c r="D307">
        <f>IF($X307="","",INDEX('Per Line'!$B$2:$B$1501,$X307)&amp;"")</f>
        <v/>
      </c>
      <c r="E307">
        <f>IF($X307="","",INDEX('Per Line'!$C$2:$C$1501,$X307)&amp;"")</f>
        <v/>
      </c>
      <c r="F307">
        <f>IF($X307="","",INDEX('Per Line'!$D$2:$D$1501,$X307)&amp;"")</f>
        <v/>
      </c>
      <c r="G307" s="15" t="n"/>
      <c r="H307" s="15" t="n"/>
      <c r="I307" s="15" t="n"/>
      <c r="J307" s="15" t="n"/>
      <c r="K307" s="14">
        <f>IF($X307="","",INDEX('Per Line'!$R$2:$R$1501,$X307))</f>
        <v/>
      </c>
      <c r="L307">
        <f>IF($X307="","",INDEX('Per Line'!$E$2:$E$1501,$X307))</f>
        <v/>
      </c>
      <c r="M307" s="7">
        <f>IF($X307="","",L307*U307/100)</f>
        <v/>
      </c>
      <c r="N307">
        <f>IF($X307="","",IF(ISNUMBER(SEARCH("3&amp;12",SUBSTITUTE(J307," ",""))),Settings!$G$7,Settings!$C$7))</f>
        <v/>
      </c>
      <c r="O307" s="7">
        <f>IF($X307="","",SUMIFS('Per Line'!$N$2:$N$1501,'Per Line'!$A$2:$A$1501,$B307,'Per Line'!$X$2:$X$1501,0))</f>
        <v/>
      </c>
      <c r="P307" s="7">
        <f>IF($X307="","",O307*N307)</f>
        <v/>
      </c>
      <c r="Q307">
        <f>IF($X307="","",IF(ISNUMBER(SEARCH("3&amp;12",SUBSTITUTE(J307," ",""))),Settings!$G$6,Settings!$C$6))</f>
        <v/>
      </c>
      <c r="R307" s="7">
        <f>IF($X307="","",SUMIFS('Per Line'!$N$2:$N$1501,'Per Line'!$A$2:$A$1501,$B307,'Per Line'!$X$2:$X$1501,1))</f>
        <v/>
      </c>
      <c r="S307" s="7">
        <f>IF($X307="","",R307*Q307)</f>
        <v/>
      </c>
      <c r="T307" s="7">
        <f>IF($X307="","",S307+P307)</f>
        <v/>
      </c>
      <c r="U307" s="7">
        <f>IF($X307="","",V307-T307)</f>
        <v/>
      </c>
      <c r="V307" s="7">
        <f>IF($X307="","",O307+R307)</f>
        <v/>
      </c>
      <c r="W307" s="7">
        <f>IF($X307="","",V307-T307-M307)</f>
        <v/>
      </c>
      <c r="X307" s="16">
        <f>IF(ROWS($X$2:$X307)&lt;=MAX('Per Line'!$W$2:$W$1501),MATCH(ROWS($X$2:$X307),'Per Line'!$W$2:$W$1501,0),"")</f>
        <v/>
      </c>
      <c r="Y307">
        <f>IF($X307="","",C307&amp;"|"&amp;COUNTIF($C$2:$C307,C307))</f>
        <v/>
      </c>
    </row>
    <row r="308">
      <c r="A308" s="15" t="n"/>
      <c r="B308">
        <f>IF($X308="","",INDEX('Per Line'!$A$2:$A$1501,$X308)&amp;"")</f>
        <v/>
      </c>
      <c r="C308">
        <f>IF($X308="","",IF(OR(TRIM(H308)="",TRIM(H308)="All",TRIM(H308)="All Comp"),TRIM(J308),TRIM(H308)))</f>
        <v/>
      </c>
      <c r="D308">
        <f>IF($X308="","",INDEX('Per Line'!$B$2:$B$1501,$X308)&amp;"")</f>
        <v/>
      </c>
      <c r="E308">
        <f>IF($X308="","",INDEX('Per Line'!$C$2:$C$1501,$X308)&amp;"")</f>
        <v/>
      </c>
      <c r="F308">
        <f>IF($X308="","",INDEX('Per Line'!$D$2:$D$1501,$X308)&amp;"")</f>
        <v/>
      </c>
      <c r="G308" s="15" t="n"/>
      <c r="H308" s="15" t="n"/>
      <c r="I308" s="15" t="n"/>
      <c r="J308" s="15" t="n"/>
      <c r="K308" s="14">
        <f>IF($X308="","",INDEX('Per Line'!$R$2:$R$1501,$X308))</f>
        <v/>
      </c>
      <c r="L308">
        <f>IF($X308="","",INDEX('Per Line'!$E$2:$E$1501,$X308))</f>
        <v/>
      </c>
      <c r="M308" s="7">
        <f>IF($X308="","",L308*U308/100)</f>
        <v/>
      </c>
      <c r="N308">
        <f>IF($X308="","",IF(ISNUMBER(SEARCH("3&amp;12",SUBSTITUTE(J308," ",""))),Settings!$G$7,Settings!$C$7))</f>
        <v/>
      </c>
      <c r="O308" s="7">
        <f>IF($X308="","",SUMIFS('Per Line'!$N$2:$N$1501,'Per Line'!$A$2:$A$1501,$B308,'Per Line'!$X$2:$X$1501,0))</f>
        <v/>
      </c>
      <c r="P308" s="7">
        <f>IF($X308="","",O308*N308)</f>
        <v/>
      </c>
      <c r="Q308">
        <f>IF($X308="","",IF(ISNUMBER(SEARCH("3&amp;12",SUBSTITUTE(J308," ",""))),Settings!$G$6,Settings!$C$6))</f>
        <v/>
      </c>
      <c r="R308" s="7">
        <f>IF($X308="","",SUMIFS('Per Line'!$N$2:$N$1501,'Per Line'!$A$2:$A$1501,$B308,'Per Line'!$X$2:$X$1501,1))</f>
        <v/>
      </c>
      <c r="S308" s="7">
        <f>IF($X308="","",R308*Q308)</f>
        <v/>
      </c>
      <c r="T308" s="7">
        <f>IF($X308="","",S308+P308)</f>
        <v/>
      </c>
      <c r="U308" s="7">
        <f>IF($X308="","",V308-T308)</f>
        <v/>
      </c>
      <c r="V308" s="7">
        <f>IF($X308="","",O308+R308)</f>
        <v/>
      </c>
      <c r="W308" s="7">
        <f>IF($X308="","",V308-T308-M308)</f>
        <v/>
      </c>
      <c r="X308" s="16">
        <f>IF(ROWS($X$2:$X308)&lt;=MAX('Per Line'!$W$2:$W$1501),MATCH(ROWS($X$2:$X308),'Per Line'!$W$2:$W$1501,0),"")</f>
        <v/>
      </c>
      <c r="Y308">
        <f>IF($X308="","",C308&amp;"|"&amp;COUNTIF($C$2:$C308,C308))</f>
        <v/>
      </c>
    </row>
    <row r="309">
      <c r="A309" s="15" t="n"/>
      <c r="B309">
        <f>IF($X309="","",INDEX('Per Line'!$A$2:$A$1501,$X309)&amp;"")</f>
        <v/>
      </c>
      <c r="C309">
        <f>IF($X309="","",IF(OR(TRIM(H309)="",TRIM(H309)="All",TRIM(H309)="All Comp"),TRIM(J309),TRIM(H309)))</f>
        <v/>
      </c>
      <c r="D309">
        <f>IF($X309="","",INDEX('Per Line'!$B$2:$B$1501,$X309)&amp;"")</f>
        <v/>
      </c>
      <c r="E309">
        <f>IF($X309="","",INDEX('Per Line'!$C$2:$C$1501,$X309)&amp;"")</f>
        <v/>
      </c>
      <c r="F309">
        <f>IF($X309="","",INDEX('Per Line'!$D$2:$D$1501,$X309)&amp;"")</f>
        <v/>
      </c>
      <c r="G309" s="15" t="n"/>
      <c r="H309" s="15" t="n"/>
      <c r="I309" s="15" t="n"/>
      <c r="J309" s="15" t="n"/>
      <c r="K309" s="14">
        <f>IF($X309="","",INDEX('Per Line'!$R$2:$R$1501,$X309))</f>
        <v/>
      </c>
      <c r="L309">
        <f>IF($X309="","",INDEX('Per Line'!$E$2:$E$1501,$X309))</f>
        <v/>
      </c>
      <c r="M309" s="7">
        <f>IF($X309="","",L309*U309/100)</f>
        <v/>
      </c>
      <c r="N309">
        <f>IF($X309="","",IF(ISNUMBER(SEARCH("3&amp;12",SUBSTITUTE(J309," ",""))),Settings!$G$7,Settings!$C$7))</f>
        <v/>
      </c>
      <c r="O309" s="7">
        <f>IF($X309="","",SUMIFS('Per Line'!$N$2:$N$1501,'Per Line'!$A$2:$A$1501,$B309,'Per Line'!$X$2:$X$1501,0))</f>
        <v/>
      </c>
      <c r="P309" s="7">
        <f>IF($X309="","",O309*N309)</f>
        <v/>
      </c>
      <c r="Q309">
        <f>IF($X309="","",IF(ISNUMBER(SEARCH("3&amp;12",SUBSTITUTE(J309," ",""))),Settings!$G$6,Settings!$C$6))</f>
        <v/>
      </c>
      <c r="R309" s="7">
        <f>IF($X309="","",SUMIFS('Per Line'!$N$2:$N$1501,'Per Line'!$A$2:$A$1501,$B309,'Per Line'!$X$2:$X$1501,1))</f>
        <v/>
      </c>
      <c r="S309" s="7">
        <f>IF($X309="","",R309*Q309)</f>
        <v/>
      </c>
      <c r="T309" s="7">
        <f>IF($X309="","",S309+P309)</f>
        <v/>
      </c>
      <c r="U309" s="7">
        <f>IF($X309="","",V309-T309)</f>
        <v/>
      </c>
      <c r="V309" s="7">
        <f>IF($X309="","",O309+R309)</f>
        <v/>
      </c>
      <c r="W309" s="7">
        <f>IF($X309="","",V309-T309-M309)</f>
        <v/>
      </c>
      <c r="X309" s="16">
        <f>IF(ROWS($X$2:$X309)&lt;=MAX('Per Line'!$W$2:$W$1501),MATCH(ROWS($X$2:$X309),'Per Line'!$W$2:$W$1501,0),"")</f>
        <v/>
      </c>
      <c r="Y309">
        <f>IF($X309="","",C309&amp;"|"&amp;COUNTIF($C$2:$C309,C309))</f>
        <v/>
      </c>
    </row>
    <row r="310">
      <c r="A310" s="15" t="n"/>
      <c r="B310">
        <f>IF($X310="","",INDEX('Per Line'!$A$2:$A$1501,$X310)&amp;"")</f>
        <v/>
      </c>
      <c r="C310">
        <f>IF($X310="","",IF(OR(TRIM(H310)="",TRIM(H310)="All",TRIM(H310)="All Comp"),TRIM(J310),TRIM(H310)))</f>
        <v/>
      </c>
      <c r="D310">
        <f>IF($X310="","",INDEX('Per Line'!$B$2:$B$1501,$X310)&amp;"")</f>
        <v/>
      </c>
      <c r="E310">
        <f>IF($X310="","",INDEX('Per Line'!$C$2:$C$1501,$X310)&amp;"")</f>
        <v/>
      </c>
      <c r="F310">
        <f>IF($X310="","",INDEX('Per Line'!$D$2:$D$1501,$X310)&amp;"")</f>
        <v/>
      </c>
      <c r="G310" s="15" t="n"/>
      <c r="H310" s="15" t="n"/>
      <c r="I310" s="15" t="n"/>
      <c r="J310" s="15" t="n"/>
      <c r="K310" s="14">
        <f>IF($X310="","",INDEX('Per Line'!$R$2:$R$1501,$X310))</f>
        <v/>
      </c>
      <c r="L310">
        <f>IF($X310="","",INDEX('Per Line'!$E$2:$E$1501,$X310))</f>
        <v/>
      </c>
      <c r="M310" s="7">
        <f>IF($X310="","",L310*U310/100)</f>
        <v/>
      </c>
      <c r="N310">
        <f>IF($X310="","",IF(ISNUMBER(SEARCH("3&amp;12",SUBSTITUTE(J310," ",""))),Settings!$G$7,Settings!$C$7))</f>
        <v/>
      </c>
      <c r="O310" s="7">
        <f>IF($X310="","",SUMIFS('Per Line'!$N$2:$N$1501,'Per Line'!$A$2:$A$1501,$B310,'Per Line'!$X$2:$X$1501,0))</f>
        <v/>
      </c>
      <c r="P310" s="7">
        <f>IF($X310="","",O310*N310)</f>
        <v/>
      </c>
      <c r="Q310">
        <f>IF($X310="","",IF(ISNUMBER(SEARCH("3&amp;12",SUBSTITUTE(J310," ",""))),Settings!$G$6,Settings!$C$6))</f>
        <v/>
      </c>
      <c r="R310" s="7">
        <f>IF($X310="","",SUMIFS('Per Line'!$N$2:$N$1501,'Per Line'!$A$2:$A$1501,$B310,'Per Line'!$X$2:$X$1501,1))</f>
        <v/>
      </c>
      <c r="S310" s="7">
        <f>IF($X310="","",R310*Q310)</f>
        <v/>
      </c>
      <c r="T310" s="7">
        <f>IF($X310="","",S310+P310)</f>
        <v/>
      </c>
      <c r="U310" s="7">
        <f>IF($X310="","",V310-T310)</f>
        <v/>
      </c>
      <c r="V310" s="7">
        <f>IF($X310="","",O310+R310)</f>
        <v/>
      </c>
      <c r="W310" s="7">
        <f>IF($X310="","",V310-T310-M310)</f>
        <v/>
      </c>
      <c r="X310" s="16">
        <f>IF(ROWS($X$2:$X310)&lt;=MAX('Per Line'!$W$2:$W$1501),MATCH(ROWS($X$2:$X310),'Per Line'!$W$2:$W$1501,0),"")</f>
        <v/>
      </c>
      <c r="Y310">
        <f>IF($X310="","",C310&amp;"|"&amp;COUNTIF($C$2:$C310,C310))</f>
        <v/>
      </c>
    </row>
    <row r="311">
      <c r="A311" s="15" t="n"/>
      <c r="B311">
        <f>IF($X311="","",INDEX('Per Line'!$A$2:$A$1501,$X311)&amp;"")</f>
        <v/>
      </c>
      <c r="C311">
        <f>IF($X311="","",IF(OR(TRIM(H311)="",TRIM(H311)="All",TRIM(H311)="All Comp"),TRIM(J311),TRIM(H311)))</f>
        <v/>
      </c>
      <c r="D311">
        <f>IF($X311="","",INDEX('Per Line'!$B$2:$B$1501,$X311)&amp;"")</f>
        <v/>
      </c>
      <c r="E311">
        <f>IF($X311="","",INDEX('Per Line'!$C$2:$C$1501,$X311)&amp;"")</f>
        <v/>
      </c>
      <c r="F311">
        <f>IF($X311="","",INDEX('Per Line'!$D$2:$D$1501,$X311)&amp;"")</f>
        <v/>
      </c>
      <c r="G311" s="15" t="n"/>
      <c r="H311" s="15" t="n"/>
      <c r="I311" s="15" t="n"/>
      <c r="J311" s="15" t="n"/>
      <c r="K311" s="14">
        <f>IF($X311="","",INDEX('Per Line'!$R$2:$R$1501,$X311))</f>
        <v/>
      </c>
      <c r="L311">
        <f>IF($X311="","",INDEX('Per Line'!$E$2:$E$1501,$X311))</f>
        <v/>
      </c>
      <c r="M311" s="7">
        <f>IF($X311="","",L311*U311/100)</f>
        <v/>
      </c>
      <c r="N311">
        <f>IF($X311="","",IF(ISNUMBER(SEARCH("3&amp;12",SUBSTITUTE(J311," ",""))),Settings!$G$7,Settings!$C$7))</f>
        <v/>
      </c>
      <c r="O311" s="7">
        <f>IF($X311="","",SUMIFS('Per Line'!$N$2:$N$1501,'Per Line'!$A$2:$A$1501,$B311,'Per Line'!$X$2:$X$1501,0))</f>
        <v/>
      </c>
      <c r="P311" s="7">
        <f>IF($X311="","",O311*N311)</f>
        <v/>
      </c>
      <c r="Q311">
        <f>IF($X311="","",IF(ISNUMBER(SEARCH("3&amp;12",SUBSTITUTE(J311," ",""))),Settings!$G$6,Settings!$C$6))</f>
        <v/>
      </c>
      <c r="R311" s="7">
        <f>IF($X311="","",SUMIFS('Per Line'!$N$2:$N$1501,'Per Line'!$A$2:$A$1501,$B311,'Per Line'!$X$2:$X$1501,1))</f>
        <v/>
      </c>
      <c r="S311" s="7">
        <f>IF($X311="","",R311*Q311)</f>
        <v/>
      </c>
      <c r="T311" s="7">
        <f>IF($X311="","",S311+P311)</f>
        <v/>
      </c>
      <c r="U311" s="7">
        <f>IF($X311="","",V311-T311)</f>
        <v/>
      </c>
      <c r="V311" s="7">
        <f>IF($X311="","",O311+R311)</f>
        <v/>
      </c>
      <c r="W311" s="7">
        <f>IF($X311="","",V311-T311-M311)</f>
        <v/>
      </c>
      <c r="X311" s="16">
        <f>IF(ROWS($X$2:$X311)&lt;=MAX('Per Line'!$W$2:$W$1501),MATCH(ROWS($X$2:$X311),'Per Line'!$W$2:$W$1501,0),"")</f>
        <v/>
      </c>
      <c r="Y311">
        <f>IF($X311="","",C311&amp;"|"&amp;COUNTIF($C$2:$C311,C311))</f>
        <v/>
      </c>
    </row>
    <row r="312">
      <c r="A312" s="15" t="n"/>
      <c r="B312">
        <f>IF($X312="","",INDEX('Per Line'!$A$2:$A$1501,$X312)&amp;"")</f>
        <v/>
      </c>
      <c r="C312">
        <f>IF($X312="","",IF(OR(TRIM(H312)="",TRIM(H312)="All",TRIM(H312)="All Comp"),TRIM(J312),TRIM(H312)))</f>
        <v/>
      </c>
      <c r="D312">
        <f>IF($X312="","",INDEX('Per Line'!$B$2:$B$1501,$X312)&amp;"")</f>
        <v/>
      </c>
      <c r="E312">
        <f>IF($X312="","",INDEX('Per Line'!$C$2:$C$1501,$X312)&amp;"")</f>
        <v/>
      </c>
      <c r="F312">
        <f>IF($X312="","",INDEX('Per Line'!$D$2:$D$1501,$X312)&amp;"")</f>
        <v/>
      </c>
      <c r="G312" s="15" t="n"/>
      <c r="H312" s="15" t="n"/>
      <c r="I312" s="15" t="n"/>
      <c r="J312" s="15" t="n"/>
      <c r="K312" s="14">
        <f>IF($X312="","",INDEX('Per Line'!$R$2:$R$1501,$X312))</f>
        <v/>
      </c>
      <c r="L312">
        <f>IF($X312="","",INDEX('Per Line'!$E$2:$E$1501,$X312))</f>
        <v/>
      </c>
      <c r="M312" s="7">
        <f>IF($X312="","",L312*U312/100)</f>
        <v/>
      </c>
      <c r="N312">
        <f>IF($X312="","",IF(ISNUMBER(SEARCH("3&amp;12",SUBSTITUTE(J312," ",""))),Settings!$G$7,Settings!$C$7))</f>
        <v/>
      </c>
      <c r="O312" s="7">
        <f>IF($X312="","",SUMIFS('Per Line'!$N$2:$N$1501,'Per Line'!$A$2:$A$1501,$B312,'Per Line'!$X$2:$X$1501,0))</f>
        <v/>
      </c>
      <c r="P312" s="7">
        <f>IF($X312="","",O312*N312)</f>
        <v/>
      </c>
      <c r="Q312">
        <f>IF($X312="","",IF(ISNUMBER(SEARCH("3&amp;12",SUBSTITUTE(J312," ",""))),Settings!$G$6,Settings!$C$6))</f>
        <v/>
      </c>
      <c r="R312" s="7">
        <f>IF($X312="","",SUMIFS('Per Line'!$N$2:$N$1501,'Per Line'!$A$2:$A$1501,$B312,'Per Line'!$X$2:$X$1501,1))</f>
        <v/>
      </c>
      <c r="S312" s="7">
        <f>IF($X312="","",R312*Q312)</f>
        <v/>
      </c>
      <c r="T312" s="7">
        <f>IF($X312="","",S312+P312)</f>
        <v/>
      </c>
      <c r="U312" s="7">
        <f>IF($X312="","",V312-T312)</f>
        <v/>
      </c>
      <c r="V312" s="7">
        <f>IF($X312="","",O312+R312)</f>
        <v/>
      </c>
      <c r="W312" s="7">
        <f>IF($X312="","",V312-T312-M312)</f>
        <v/>
      </c>
      <c r="X312" s="16">
        <f>IF(ROWS($X$2:$X312)&lt;=MAX('Per Line'!$W$2:$W$1501),MATCH(ROWS($X$2:$X312),'Per Line'!$W$2:$W$1501,0),"")</f>
        <v/>
      </c>
      <c r="Y312">
        <f>IF($X312="","",C312&amp;"|"&amp;COUNTIF($C$2:$C312,C312))</f>
        <v/>
      </c>
    </row>
    <row r="313">
      <c r="A313" s="15" t="n"/>
      <c r="B313">
        <f>IF($X313="","",INDEX('Per Line'!$A$2:$A$1501,$X313)&amp;"")</f>
        <v/>
      </c>
      <c r="C313">
        <f>IF($X313="","",IF(OR(TRIM(H313)="",TRIM(H313)="All",TRIM(H313)="All Comp"),TRIM(J313),TRIM(H313)))</f>
        <v/>
      </c>
      <c r="D313">
        <f>IF($X313="","",INDEX('Per Line'!$B$2:$B$1501,$X313)&amp;"")</f>
        <v/>
      </c>
      <c r="E313">
        <f>IF($X313="","",INDEX('Per Line'!$C$2:$C$1501,$X313)&amp;"")</f>
        <v/>
      </c>
      <c r="F313">
        <f>IF($X313="","",INDEX('Per Line'!$D$2:$D$1501,$X313)&amp;"")</f>
        <v/>
      </c>
      <c r="G313" s="15" t="n"/>
      <c r="H313" s="15" t="n"/>
      <c r="I313" s="15" t="n"/>
      <c r="J313" s="15" t="n"/>
      <c r="K313" s="14">
        <f>IF($X313="","",INDEX('Per Line'!$R$2:$R$1501,$X313))</f>
        <v/>
      </c>
      <c r="L313">
        <f>IF($X313="","",INDEX('Per Line'!$E$2:$E$1501,$X313))</f>
        <v/>
      </c>
      <c r="M313" s="7">
        <f>IF($X313="","",L313*U313/100)</f>
        <v/>
      </c>
      <c r="N313">
        <f>IF($X313="","",IF(ISNUMBER(SEARCH("3&amp;12",SUBSTITUTE(J313," ",""))),Settings!$G$7,Settings!$C$7))</f>
        <v/>
      </c>
      <c r="O313" s="7">
        <f>IF($X313="","",SUMIFS('Per Line'!$N$2:$N$1501,'Per Line'!$A$2:$A$1501,$B313,'Per Line'!$X$2:$X$1501,0))</f>
        <v/>
      </c>
      <c r="P313" s="7">
        <f>IF($X313="","",O313*N313)</f>
        <v/>
      </c>
      <c r="Q313">
        <f>IF($X313="","",IF(ISNUMBER(SEARCH("3&amp;12",SUBSTITUTE(J313," ",""))),Settings!$G$6,Settings!$C$6))</f>
        <v/>
      </c>
      <c r="R313" s="7">
        <f>IF($X313="","",SUMIFS('Per Line'!$N$2:$N$1501,'Per Line'!$A$2:$A$1501,$B313,'Per Line'!$X$2:$X$1501,1))</f>
        <v/>
      </c>
      <c r="S313" s="7">
        <f>IF($X313="","",R313*Q313)</f>
        <v/>
      </c>
      <c r="T313" s="7">
        <f>IF($X313="","",S313+P313)</f>
        <v/>
      </c>
      <c r="U313" s="7">
        <f>IF($X313="","",V313-T313)</f>
        <v/>
      </c>
      <c r="V313" s="7">
        <f>IF($X313="","",O313+R313)</f>
        <v/>
      </c>
      <c r="W313" s="7">
        <f>IF($X313="","",V313-T313-M313)</f>
        <v/>
      </c>
      <c r="X313" s="16">
        <f>IF(ROWS($X$2:$X313)&lt;=MAX('Per Line'!$W$2:$W$1501),MATCH(ROWS($X$2:$X313),'Per Line'!$W$2:$W$1501,0),"")</f>
        <v/>
      </c>
      <c r="Y313">
        <f>IF($X313="","",C313&amp;"|"&amp;COUNTIF($C$2:$C313,C313))</f>
        <v/>
      </c>
    </row>
    <row r="314">
      <c r="A314" s="15" t="n"/>
      <c r="B314">
        <f>IF($X314="","",INDEX('Per Line'!$A$2:$A$1501,$X314)&amp;"")</f>
        <v/>
      </c>
      <c r="C314">
        <f>IF($X314="","",IF(OR(TRIM(H314)="",TRIM(H314)="All",TRIM(H314)="All Comp"),TRIM(J314),TRIM(H314)))</f>
        <v/>
      </c>
      <c r="D314">
        <f>IF($X314="","",INDEX('Per Line'!$B$2:$B$1501,$X314)&amp;"")</f>
        <v/>
      </c>
      <c r="E314">
        <f>IF($X314="","",INDEX('Per Line'!$C$2:$C$1501,$X314)&amp;"")</f>
        <v/>
      </c>
      <c r="F314">
        <f>IF($X314="","",INDEX('Per Line'!$D$2:$D$1501,$X314)&amp;"")</f>
        <v/>
      </c>
      <c r="G314" s="15" t="n"/>
      <c r="H314" s="15" t="n"/>
      <c r="I314" s="15" t="n"/>
      <c r="J314" s="15" t="n"/>
      <c r="K314" s="14">
        <f>IF($X314="","",INDEX('Per Line'!$R$2:$R$1501,$X314))</f>
        <v/>
      </c>
      <c r="L314">
        <f>IF($X314="","",INDEX('Per Line'!$E$2:$E$1501,$X314))</f>
        <v/>
      </c>
      <c r="M314" s="7">
        <f>IF($X314="","",L314*U314/100)</f>
        <v/>
      </c>
      <c r="N314">
        <f>IF($X314="","",IF(ISNUMBER(SEARCH("3&amp;12",SUBSTITUTE(J314," ",""))),Settings!$G$7,Settings!$C$7))</f>
        <v/>
      </c>
      <c r="O314" s="7">
        <f>IF($X314="","",SUMIFS('Per Line'!$N$2:$N$1501,'Per Line'!$A$2:$A$1501,$B314,'Per Line'!$X$2:$X$1501,0))</f>
        <v/>
      </c>
      <c r="P314" s="7">
        <f>IF($X314="","",O314*N314)</f>
        <v/>
      </c>
      <c r="Q314">
        <f>IF($X314="","",IF(ISNUMBER(SEARCH("3&amp;12",SUBSTITUTE(J314," ",""))),Settings!$G$6,Settings!$C$6))</f>
        <v/>
      </c>
      <c r="R314" s="7">
        <f>IF($X314="","",SUMIFS('Per Line'!$N$2:$N$1501,'Per Line'!$A$2:$A$1501,$B314,'Per Line'!$X$2:$X$1501,1))</f>
        <v/>
      </c>
      <c r="S314" s="7">
        <f>IF($X314="","",R314*Q314)</f>
        <v/>
      </c>
      <c r="T314" s="7">
        <f>IF($X314="","",S314+P314)</f>
        <v/>
      </c>
      <c r="U314" s="7">
        <f>IF($X314="","",V314-T314)</f>
        <v/>
      </c>
      <c r="V314" s="7">
        <f>IF($X314="","",O314+R314)</f>
        <v/>
      </c>
      <c r="W314" s="7">
        <f>IF($X314="","",V314-T314-M314)</f>
        <v/>
      </c>
      <c r="X314" s="16">
        <f>IF(ROWS($X$2:$X314)&lt;=MAX('Per Line'!$W$2:$W$1501),MATCH(ROWS($X$2:$X314),'Per Line'!$W$2:$W$1501,0),"")</f>
        <v/>
      </c>
      <c r="Y314">
        <f>IF($X314="","",C314&amp;"|"&amp;COUNTIF($C$2:$C314,C314))</f>
        <v/>
      </c>
    </row>
    <row r="315">
      <c r="A315" s="15" t="n"/>
      <c r="B315">
        <f>IF($X315="","",INDEX('Per Line'!$A$2:$A$1501,$X315)&amp;"")</f>
        <v/>
      </c>
      <c r="C315">
        <f>IF($X315="","",IF(OR(TRIM(H315)="",TRIM(H315)="All",TRIM(H315)="All Comp"),TRIM(J315),TRIM(H315)))</f>
        <v/>
      </c>
      <c r="D315">
        <f>IF($X315="","",INDEX('Per Line'!$B$2:$B$1501,$X315)&amp;"")</f>
        <v/>
      </c>
      <c r="E315">
        <f>IF($X315="","",INDEX('Per Line'!$C$2:$C$1501,$X315)&amp;"")</f>
        <v/>
      </c>
      <c r="F315">
        <f>IF($X315="","",INDEX('Per Line'!$D$2:$D$1501,$X315)&amp;"")</f>
        <v/>
      </c>
      <c r="G315" s="15" t="n"/>
      <c r="H315" s="15" t="n"/>
      <c r="I315" s="15" t="n"/>
      <c r="J315" s="15" t="n"/>
      <c r="K315" s="14">
        <f>IF($X315="","",INDEX('Per Line'!$R$2:$R$1501,$X315))</f>
        <v/>
      </c>
      <c r="L315">
        <f>IF($X315="","",INDEX('Per Line'!$E$2:$E$1501,$X315))</f>
        <v/>
      </c>
      <c r="M315" s="7">
        <f>IF($X315="","",L315*U315/100)</f>
        <v/>
      </c>
      <c r="N315">
        <f>IF($X315="","",IF(ISNUMBER(SEARCH("3&amp;12",SUBSTITUTE(J315," ",""))),Settings!$G$7,Settings!$C$7))</f>
        <v/>
      </c>
      <c r="O315" s="7">
        <f>IF($X315="","",SUMIFS('Per Line'!$N$2:$N$1501,'Per Line'!$A$2:$A$1501,$B315,'Per Line'!$X$2:$X$1501,0))</f>
        <v/>
      </c>
      <c r="P315" s="7">
        <f>IF($X315="","",O315*N315)</f>
        <v/>
      </c>
      <c r="Q315">
        <f>IF($X315="","",IF(ISNUMBER(SEARCH("3&amp;12",SUBSTITUTE(J315," ",""))),Settings!$G$6,Settings!$C$6))</f>
        <v/>
      </c>
      <c r="R315" s="7">
        <f>IF($X315="","",SUMIFS('Per Line'!$N$2:$N$1501,'Per Line'!$A$2:$A$1501,$B315,'Per Line'!$X$2:$X$1501,1))</f>
        <v/>
      </c>
      <c r="S315" s="7">
        <f>IF($X315="","",R315*Q315)</f>
        <v/>
      </c>
      <c r="T315" s="7">
        <f>IF($X315="","",S315+P315)</f>
        <v/>
      </c>
      <c r="U315" s="7">
        <f>IF($X315="","",V315-T315)</f>
        <v/>
      </c>
      <c r="V315" s="7">
        <f>IF($X315="","",O315+R315)</f>
        <v/>
      </c>
      <c r="W315" s="7">
        <f>IF($X315="","",V315-T315-M315)</f>
        <v/>
      </c>
      <c r="X315" s="16">
        <f>IF(ROWS($X$2:$X315)&lt;=MAX('Per Line'!$W$2:$W$1501),MATCH(ROWS($X$2:$X315),'Per Line'!$W$2:$W$1501,0),"")</f>
        <v/>
      </c>
      <c r="Y315">
        <f>IF($X315="","",C315&amp;"|"&amp;COUNTIF($C$2:$C315,C315))</f>
        <v/>
      </c>
    </row>
    <row r="316">
      <c r="A316" s="15" t="n"/>
      <c r="B316">
        <f>IF($X316="","",INDEX('Per Line'!$A$2:$A$1501,$X316)&amp;"")</f>
        <v/>
      </c>
      <c r="C316">
        <f>IF($X316="","",IF(OR(TRIM(H316)="",TRIM(H316)="All",TRIM(H316)="All Comp"),TRIM(J316),TRIM(H316)))</f>
        <v/>
      </c>
      <c r="D316">
        <f>IF($X316="","",INDEX('Per Line'!$B$2:$B$1501,$X316)&amp;"")</f>
        <v/>
      </c>
      <c r="E316">
        <f>IF($X316="","",INDEX('Per Line'!$C$2:$C$1501,$X316)&amp;"")</f>
        <v/>
      </c>
      <c r="F316">
        <f>IF($X316="","",INDEX('Per Line'!$D$2:$D$1501,$X316)&amp;"")</f>
        <v/>
      </c>
      <c r="G316" s="15" t="n"/>
      <c r="H316" s="15" t="n"/>
      <c r="I316" s="15" t="n"/>
      <c r="J316" s="15" t="n"/>
      <c r="K316" s="14">
        <f>IF($X316="","",INDEX('Per Line'!$R$2:$R$1501,$X316))</f>
        <v/>
      </c>
      <c r="L316">
        <f>IF($X316="","",INDEX('Per Line'!$E$2:$E$1501,$X316))</f>
        <v/>
      </c>
      <c r="M316" s="7">
        <f>IF($X316="","",L316*U316/100)</f>
        <v/>
      </c>
      <c r="N316">
        <f>IF($X316="","",IF(ISNUMBER(SEARCH("3&amp;12",SUBSTITUTE(J316," ",""))),Settings!$G$7,Settings!$C$7))</f>
        <v/>
      </c>
      <c r="O316" s="7">
        <f>IF($X316="","",SUMIFS('Per Line'!$N$2:$N$1501,'Per Line'!$A$2:$A$1501,$B316,'Per Line'!$X$2:$X$1501,0))</f>
        <v/>
      </c>
      <c r="P316" s="7">
        <f>IF($X316="","",O316*N316)</f>
        <v/>
      </c>
      <c r="Q316">
        <f>IF($X316="","",IF(ISNUMBER(SEARCH("3&amp;12",SUBSTITUTE(J316," ",""))),Settings!$G$6,Settings!$C$6))</f>
        <v/>
      </c>
      <c r="R316" s="7">
        <f>IF($X316="","",SUMIFS('Per Line'!$N$2:$N$1501,'Per Line'!$A$2:$A$1501,$B316,'Per Line'!$X$2:$X$1501,1))</f>
        <v/>
      </c>
      <c r="S316" s="7">
        <f>IF($X316="","",R316*Q316)</f>
        <v/>
      </c>
      <c r="T316" s="7">
        <f>IF($X316="","",S316+P316)</f>
        <v/>
      </c>
      <c r="U316" s="7">
        <f>IF($X316="","",V316-T316)</f>
        <v/>
      </c>
      <c r="V316" s="7">
        <f>IF($X316="","",O316+R316)</f>
        <v/>
      </c>
      <c r="W316" s="7">
        <f>IF($X316="","",V316-T316-M316)</f>
        <v/>
      </c>
      <c r="X316" s="16">
        <f>IF(ROWS($X$2:$X316)&lt;=MAX('Per Line'!$W$2:$W$1501),MATCH(ROWS($X$2:$X316),'Per Line'!$W$2:$W$1501,0),"")</f>
        <v/>
      </c>
      <c r="Y316">
        <f>IF($X316="","",C316&amp;"|"&amp;COUNTIF($C$2:$C316,C316))</f>
        <v/>
      </c>
    </row>
    <row r="317">
      <c r="A317" s="15" t="n"/>
      <c r="B317">
        <f>IF($X317="","",INDEX('Per Line'!$A$2:$A$1501,$X317)&amp;"")</f>
        <v/>
      </c>
      <c r="C317">
        <f>IF($X317="","",IF(OR(TRIM(H317)="",TRIM(H317)="All",TRIM(H317)="All Comp"),TRIM(J317),TRIM(H317)))</f>
        <v/>
      </c>
      <c r="D317">
        <f>IF($X317="","",INDEX('Per Line'!$B$2:$B$1501,$X317)&amp;"")</f>
        <v/>
      </c>
      <c r="E317">
        <f>IF($X317="","",INDEX('Per Line'!$C$2:$C$1501,$X317)&amp;"")</f>
        <v/>
      </c>
      <c r="F317">
        <f>IF($X317="","",INDEX('Per Line'!$D$2:$D$1501,$X317)&amp;"")</f>
        <v/>
      </c>
      <c r="G317" s="15" t="n"/>
      <c r="H317" s="15" t="n"/>
      <c r="I317" s="15" t="n"/>
      <c r="J317" s="15" t="n"/>
      <c r="K317" s="14">
        <f>IF($X317="","",INDEX('Per Line'!$R$2:$R$1501,$X317))</f>
        <v/>
      </c>
      <c r="L317">
        <f>IF($X317="","",INDEX('Per Line'!$E$2:$E$1501,$X317))</f>
        <v/>
      </c>
      <c r="M317" s="7">
        <f>IF($X317="","",L317*U317/100)</f>
        <v/>
      </c>
      <c r="N317">
        <f>IF($X317="","",IF(ISNUMBER(SEARCH("3&amp;12",SUBSTITUTE(J317," ",""))),Settings!$G$7,Settings!$C$7))</f>
        <v/>
      </c>
      <c r="O317" s="7">
        <f>IF($X317="","",SUMIFS('Per Line'!$N$2:$N$1501,'Per Line'!$A$2:$A$1501,$B317,'Per Line'!$X$2:$X$1501,0))</f>
        <v/>
      </c>
      <c r="P317" s="7">
        <f>IF($X317="","",O317*N317)</f>
        <v/>
      </c>
      <c r="Q317">
        <f>IF($X317="","",IF(ISNUMBER(SEARCH("3&amp;12",SUBSTITUTE(J317," ",""))),Settings!$G$6,Settings!$C$6))</f>
        <v/>
      </c>
      <c r="R317" s="7">
        <f>IF($X317="","",SUMIFS('Per Line'!$N$2:$N$1501,'Per Line'!$A$2:$A$1501,$B317,'Per Line'!$X$2:$X$1501,1))</f>
        <v/>
      </c>
      <c r="S317" s="7">
        <f>IF($X317="","",R317*Q317)</f>
        <v/>
      </c>
      <c r="T317" s="7">
        <f>IF($X317="","",S317+P317)</f>
        <v/>
      </c>
      <c r="U317" s="7">
        <f>IF($X317="","",V317-T317)</f>
        <v/>
      </c>
      <c r="V317" s="7">
        <f>IF($X317="","",O317+R317)</f>
        <v/>
      </c>
      <c r="W317" s="7">
        <f>IF($X317="","",V317-T317-M317)</f>
        <v/>
      </c>
      <c r="X317" s="16">
        <f>IF(ROWS($X$2:$X317)&lt;=MAX('Per Line'!$W$2:$W$1501),MATCH(ROWS($X$2:$X317),'Per Line'!$W$2:$W$1501,0),"")</f>
        <v/>
      </c>
      <c r="Y317">
        <f>IF($X317="","",C317&amp;"|"&amp;COUNTIF($C$2:$C317,C317))</f>
        <v/>
      </c>
    </row>
    <row r="318">
      <c r="A318" s="15" t="n"/>
      <c r="B318">
        <f>IF($X318="","",INDEX('Per Line'!$A$2:$A$1501,$X318)&amp;"")</f>
        <v/>
      </c>
      <c r="C318">
        <f>IF($X318="","",IF(OR(TRIM(H318)="",TRIM(H318)="All",TRIM(H318)="All Comp"),TRIM(J318),TRIM(H318)))</f>
        <v/>
      </c>
      <c r="D318">
        <f>IF($X318="","",INDEX('Per Line'!$B$2:$B$1501,$X318)&amp;"")</f>
        <v/>
      </c>
      <c r="E318">
        <f>IF($X318="","",INDEX('Per Line'!$C$2:$C$1501,$X318)&amp;"")</f>
        <v/>
      </c>
      <c r="F318">
        <f>IF($X318="","",INDEX('Per Line'!$D$2:$D$1501,$X318)&amp;"")</f>
        <v/>
      </c>
      <c r="G318" s="15" t="n"/>
      <c r="H318" s="15" t="n"/>
      <c r="I318" s="15" t="n"/>
      <c r="J318" s="15" t="n"/>
      <c r="K318" s="14">
        <f>IF($X318="","",INDEX('Per Line'!$R$2:$R$1501,$X318))</f>
        <v/>
      </c>
      <c r="L318">
        <f>IF($X318="","",INDEX('Per Line'!$E$2:$E$1501,$X318))</f>
        <v/>
      </c>
      <c r="M318" s="7">
        <f>IF($X318="","",L318*U318/100)</f>
        <v/>
      </c>
      <c r="N318">
        <f>IF($X318="","",IF(ISNUMBER(SEARCH("3&amp;12",SUBSTITUTE(J318," ",""))),Settings!$G$7,Settings!$C$7))</f>
        <v/>
      </c>
      <c r="O318" s="7">
        <f>IF($X318="","",SUMIFS('Per Line'!$N$2:$N$1501,'Per Line'!$A$2:$A$1501,$B318,'Per Line'!$X$2:$X$1501,0))</f>
        <v/>
      </c>
      <c r="P318" s="7">
        <f>IF($X318="","",O318*N318)</f>
        <v/>
      </c>
      <c r="Q318">
        <f>IF($X318="","",IF(ISNUMBER(SEARCH("3&amp;12",SUBSTITUTE(J318," ",""))),Settings!$G$6,Settings!$C$6))</f>
        <v/>
      </c>
      <c r="R318" s="7">
        <f>IF($X318="","",SUMIFS('Per Line'!$N$2:$N$1501,'Per Line'!$A$2:$A$1501,$B318,'Per Line'!$X$2:$X$1501,1))</f>
        <v/>
      </c>
      <c r="S318" s="7">
        <f>IF($X318="","",R318*Q318)</f>
        <v/>
      </c>
      <c r="T318" s="7">
        <f>IF($X318="","",S318+P318)</f>
        <v/>
      </c>
      <c r="U318" s="7">
        <f>IF($X318="","",V318-T318)</f>
        <v/>
      </c>
      <c r="V318" s="7">
        <f>IF($X318="","",O318+R318)</f>
        <v/>
      </c>
      <c r="W318" s="7">
        <f>IF($X318="","",V318-T318-M318)</f>
        <v/>
      </c>
      <c r="X318" s="16">
        <f>IF(ROWS($X$2:$X318)&lt;=MAX('Per Line'!$W$2:$W$1501),MATCH(ROWS($X$2:$X318),'Per Line'!$W$2:$W$1501,0),"")</f>
        <v/>
      </c>
      <c r="Y318">
        <f>IF($X318="","",C318&amp;"|"&amp;COUNTIF($C$2:$C318,C318))</f>
        <v/>
      </c>
    </row>
    <row r="319">
      <c r="A319" s="15" t="n"/>
      <c r="B319">
        <f>IF($X319="","",INDEX('Per Line'!$A$2:$A$1501,$X319)&amp;"")</f>
        <v/>
      </c>
      <c r="C319">
        <f>IF($X319="","",IF(OR(TRIM(H319)="",TRIM(H319)="All",TRIM(H319)="All Comp"),TRIM(J319),TRIM(H319)))</f>
        <v/>
      </c>
      <c r="D319">
        <f>IF($X319="","",INDEX('Per Line'!$B$2:$B$1501,$X319)&amp;"")</f>
        <v/>
      </c>
      <c r="E319">
        <f>IF($X319="","",INDEX('Per Line'!$C$2:$C$1501,$X319)&amp;"")</f>
        <v/>
      </c>
      <c r="F319">
        <f>IF($X319="","",INDEX('Per Line'!$D$2:$D$1501,$X319)&amp;"")</f>
        <v/>
      </c>
      <c r="G319" s="15" t="n"/>
      <c r="H319" s="15" t="n"/>
      <c r="I319" s="15" t="n"/>
      <c r="J319" s="15" t="n"/>
      <c r="K319" s="14">
        <f>IF($X319="","",INDEX('Per Line'!$R$2:$R$1501,$X319))</f>
        <v/>
      </c>
      <c r="L319">
        <f>IF($X319="","",INDEX('Per Line'!$E$2:$E$1501,$X319))</f>
        <v/>
      </c>
      <c r="M319" s="7">
        <f>IF($X319="","",L319*U319/100)</f>
        <v/>
      </c>
      <c r="N319">
        <f>IF($X319="","",IF(ISNUMBER(SEARCH("3&amp;12",SUBSTITUTE(J319," ",""))),Settings!$G$7,Settings!$C$7))</f>
        <v/>
      </c>
      <c r="O319" s="7">
        <f>IF($X319="","",SUMIFS('Per Line'!$N$2:$N$1501,'Per Line'!$A$2:$A$1501,$B319,'Per Line'!$X$2:$X$1501,0))</f>
        <v/>
      </c>
      <c r="P319" s="7">
        <f>IF($X319="","",O319*N319)</f>
        <v/>
      </c>
      <c r="Q319">
        <f>IF($X319="","",IF(ISNUMBER(SEARCH("3&amp;12",SUBSTITUTE(J319," ",""))),Settings!$G$6,Settings!$C$6))</f>
        <v/>
      </c>
      <c r="R319" s="7">
        <f>IF($X319="","",SUMIFS('Per Line'!$N$2:$N$1501,'Per Line'!$A$2:$A$1501,$B319,'Per Line'!$X$2:$X$1501,1))</f>
        <v/>
      </c>
      <c r="S319" s="7">
        <f>IF($X319="","",R319*Q319)</f>
        <v/>
      </c>
      <c r="T319" s="7">
        <f>IF($X319="","",S319+P319)</f>
        <v/>
      </c>
      <c r="U319" s="7">
        <f>IF($X319="","",V319-T319)</f>
        <v/>
      </c>
      <c r="V319" s="7">
        <f>IF($X319="","",O319+R319)</f>
        <v/>
      </c>
      <c r="W319" s="7">
        <f>IF($X319="","",V319-T319-M319)</f>
        <v/>
      </c>
      <c r="X319" s="16">
        <f>IF(ROWS($X$2:$X319)&lt;=MAX('Per Line'!$W$2:$W$1501),MATCH(ROWS($X$2:$X319),'Per Line'!$W$2:$W$1501,0),"")</f>
        <v/>
      </c>
      <c r="Y319">
        <f>IF($X319="","",C319&amp;"|"&amp;COUNTIF($C$2:$C319,C319))</f>
        <v/>
      </c>
    </row>
    <row r="320">
      <c r="A320" s="15" t="n"/>
      <c r="B320">
        <f>IF($X320="","",INDEX('Per Line'!$A$2:$A$1501,$X320)&amp;"")</f>
        <v/>
      </c>
      <c r="C320">
        <f>IF($X320="","",IF(OR(TRIM(H320)="",TRIM(H320)="All",TRIM(H320)="All Comp"),TRIM(J320),TRIM(H320)))</f>
        <v/>
      </c>
      <c r="D320">
        <f>IF($X320="","",INDEX('Per Line'!$B$2:$B$1501,$X320)&amp;"")</f>
        <v/>
      </c>
      <c r="E320">
        <f>IF($X320="","",INDEX('Per Line'!$C$2:$C$1501,$X320)&amp;"")</f>
        <v/>
      </c>
      <c r="F320">
        <f>IF($X320="","",INDEX('Per Line'!$D$2:$D$1501,$X320)&amp;"")</f>
        <v/>
      </c>
      <c r="G320" s="15" t="n"/>
      <c r="H320" s="15" t="n"/>
      <c r="I320" s="15" t="n"/>
      <c r="J320" s="15" t="n"/>
      <c r="K320" s="14">
        <f>IF($X320="","",INDEX('Per Line'!$R$2:$R$1501,$X320))</f>
        <v/>
      </c>
      <c r="L320">
        <f>IF($X320="","",INDEX('Per Line'!$E$2:$E$1501,$X320))</f>
        <v/>
      </c>
      <c r="M320" s="7">
        <f>IF($X320="","",L320*U320/100)</f>
        <v/>
      </c>
      <c r="N320">
        <f>IF($X320="","",IF(ISNUMBER(SEARCH("3&amp;12",SUBSTITUTE(J320," ",""))),Settings!$G$7,Settings!$C$7))</f>
        <v/>
      </c>
      <c r="O320" s="7">
        <f>IF($X320="","",SUMIFS('Per Line'!$N$2:$N$1501,'Per Line'!$A$2:$A$1501,$B320,'Per Line'!$X$2:$X$1501,0))</f>
        <v/>
      </c>
      <c r="P320" s="7">
        <f>IF($X320="","",O320*N320)</f>
        <v/>
      </c>
      <c r="Q320">
        <f>IF($X320="","",IF(ISNUMBER(SEARCH("3&amp;12",SUBSTITUTE(J320," ",""))),Settings!$G$6,Settings!$C$6))</f>
        <v/>
      </c>
      <c r="R320" s="7">
        <f>IF($X320="","",SUMIFS('Per Line'!$N$2:$N$1501,'Per Line'!$A$2:$A$1501,$B320,'Per Line'!$X$2:$X$1501,1))</f>
        <v/>
      </c>
      <c r="S320" s="7">
        <f>IF($X320="","",R320*Q320)</f>
        <v/>
      </c>
      <c r="T320" s="7">
        <f>IF($X320="","",S320+P320)</f>
        <v/>
      </c>
      <c r="U320" s="7">
        <f>IF($X320="","",V320-T320)</f>
        <v/>
      </c>
      <c r="V320" s="7">
        <f>IF($X320="","",O320+R320)</f>
        <v/>
      </c>
      <c r="W320" s="7">
        <f>IF($X320="","",V320-T320-M320)</f>
        <v/>
      </c>
      <c r="X320" s="16">
        <f>IF(ROWS($X$2:$X320)&lt;=MAX('Per Line'!$W$2:$W$1501),MATCH(ROWS($X$2:$X320),'Per Line'!$W$2:$W$1501,0),"")</f>
        <v/>
      </c>
      <c r="Y320">
        <f>IF($X320="","",C320&amp;"|"&amp;COUNTIF($C$2:$C320,C320))</f>
        <v/>
      </c>
    </row>
    <row r="321">
      <c r="A321" s="15" t="n"/>
      <c r="B321">
        <f>IF($X321="","",INDEX('Per Line'!$A$2:$A$1501,$X321)&amp;"")</f>
        <v/>
      </c>
      <c r="C321">
        <f>IF($X321="","",IF(OR(TRIM(H321)="",TRIM(H321)="All",TRIM(H321)="All Comp"),TRIM(J321),TRIM(H321)))</f>
        <v/>
      </c>
      <c r="D321">
        <f>IF($X321="","",INDEX('Per Line'!$B$2:$B$1501,$X321)&amp;"")</f>
        <v/>
      </c>
      <c r="E321">
        <f>IF($X321="","",INDEX('Per Line'!$C$2:$C$1501,$X321)&amp;"")</f>
        <v/>
      </c>
      <c r="F321">
        <f>IF($X321="","",INDEX('Per Line'!$D$2:$D$1501,$X321)&amp;"")</f>
        <v/>
      </c>
      <c r="G321" s="15" t="n"/>
      <c r="H321" s="15" t="n"/>
      <c r="I321" s="15" t="n"/>
      <c r="J321" s="15" t="n"/>
      <c r="K321" s="14">
        <f>IF($X321="","",INDEX('Per Line'!$R$2:$R$1501,$X321))</f>
        <v/>
      </c>
      <c r="L321">
        <f>IF($X321="","",INDEX('Per Line'!$E$2:$E$1501,$X321))</f>
        <v/>
      </c>
      <c r="M321" s="7">
        <f>IF($X321="","",L321*U321/100)</f>
        <v/>
      </c>
      <c r="N321">
        <f>IF($X321="","",IF(ISNUMBER(SEARCH("3&amp;12",SUBSTITUTE(J321," ",""))),Settings!$G$7,Settings!$C$7))</f>
        <v/>
      </c>
      <c r="O321" s="7">
        <f>IF($X321="","",SUMIFS('Per Line'!$N$2:$N$1501,'Per Line'!$A$2:$A$1501,$B321,'Per Line'!$X$2:$X$1501,0))</f>
        <v/>
      </c>
      <c r="P321" s="7">
        <f>IF($X321="","",O321*N321)</f>
        <v/>
      </c>
      <c r="Q321">
        <f>IF($X321="","",IF(ISNUMBER(SEARCH("3&amp;12",SUBSTITUTE(J321," ",""))),Settings!$G$6,Settings!$C$6))</f>
        <v/>
      </c>
      <c r="R321" s="7">
        <f>IF($X321="","",SUMIFS('Per Line'!$N$2:$N$1501,'Per Line'!$A$2:$A$1501,$B321,'Per Line'!$X$2:$X$1501,1))</f>
        <v/>
      </c>
      <c r="S321" s="7">
        <f>IF($X321="","",R321*Q321)</f>
        <v/>
      </c>
      <c r="T321" s="7">
        <f>IF($X321="","",S321+P321)</f>
        <v/>
      </c>
      <c r="U321" s="7">
        <f>IF($X321="","",V321-T321)</f>
        <v/>
      </c>
      <c r="V321" s="7">
        <f>IF($X321="","",O321+R321)</f>
        <v/>
      </c>
      <c r="W321" s="7">
        <f>IF($X321="","",V321-T321-M321)</f>
        <v/>
      </c>
      <c r="X321" s="16">
        <f>IF(ROWS($X$2:$X321)&lt;=MAX('Per Line'!$W$2:$W$1501),MATCH(ROWS($X$2:$X321),'Per Line'!$W$2:$W$1501,0),"")</f>
        <v/>
      </c>
      <c r="Y321">
        <f>IF($X321="","",C321&amp;"|"&amp;COUNTIF($C$2:$C321,C321))</f>
        <v/>
      </c>
    </row>
    <row r="322">
      <c r="A322" s="15" t="n"/>
      <c r="B322">
        <f>IF($X322="","",INDEX('Per Line'!$A$2:$A$1501,$X322)&amp;"")</f>
        <v/>
      </c>
      <c r="C322">
        <f>IF($X322="","",IF(OR(TRIM(H322)="",TRIM(H322)="All",TRIM(H322)="All Comp"),TRIM(J322),TRIM(H322)))</f>
        <v/>
      </c>
      <c r="D322">
        <f>IF($X322="","",INDEX('Per Line'!$B$2:$B$1501,$X322)&amp;"")</f>
        <v/>
      </c>
      <c r="E322">
        <f>IF($X322="","",INDEX('Per Line'!$C$2:$C$1501,$X322)&amp;"")</f>
        <v/>
      </c>
      <c r="F322">
        <f>IF($X322="","",INDEX('Per Line'!$D$2:$D$1501,$X322)&amp;"")</f>
        <v/>
      </c>
      <c r="G322" s="15" t="n"/>
      <c r="H322" s="15" t="n"/>
      <c r="I322" s="15" t="n"/>
      <c r="J322" s="15" t="n"/>
      <c r="K322" s="14">
        <f>IF($X322="","",INDEX('Per Line'!$R$2:$R$1501,$X322))</f>
        <v/>
      </c>
      <c r="L322">
        <f>IF($X322="","",INDEX('Per Line'!$E$2:$E$1501,$X322))</f>
        <v/>
      </c>
      <c r="M322" s="7">
        <f>IF($X322="","",L322*U322/100)</f>
        <v/>
      </c>
      <c r="N322">
        <f>IF($X322="","",IF(ISNUMBER(SEARCH("3&amp;12",SUBSTITUTE(J322," ",""))),Settings!$G$7,Settings!$C$7))</f>
        <v/>
      </c>
      <c r="O322" s="7">
        <f>IF($X322="","",SUMIFS('Per Line'!$N$2:$N$1501,'Per Line'!$A$2:$A$1501,$B322,'Per Line'!$X$2:$X$1501,0))</f>
        <v/>
      </c>
      <c r="P322" s="7">
        <f>IF($X322="","",O322*N322)</f>
        <v/>
      </c>
      <c r="Q322">
        <f>IF($X322="","",IF(ISNUMBER(SEARCH("3&amp;12",SUBSTITUTE(J322," ",""))),Settings!$G$6,Settings!$C$6))</f>
        <v/>
      </c>
      <c r="R322" s="7">
        <f>IF($X322="","",SUMIFS('Per Line'!$N$2:$N$1501,'Per Line'!$A$2:$A$1501,$B322,'Per Line'!$X$2:$X$1501,1))</f>
        <v/>
      </c>
      <c r="S322" s="7">
        <f>IF($X322="","",R322*Q322)</f>
        <v/>
      </c>
      <c r="T322" s="7">
        <f>IF($X322="","",S322+P322)</f>
        <v/>
      </c>
      <c r="U322" s="7">
        <f>IF($X322="","",V322-T322)</f>
        <v/>
      </c>
      <c r="V322" s="7">
        <f>IF($X322="","",O322+R322)</f>
        <v/>
      </c>
      <c r="W322" s="7">
        <f>IF($X322="","",V322-T322-M322)</f>
        <v/>
      </c>
      <c r="X322" s="16">
        <f>IF(ROWS($X$2:$X322)&lt;=MAX('Per Line'!$W$2:$W$1501),MATCH(ROWS($X$2:$X322),'Per Line'!$W$2:$W$1501,0),"")</f>
        <v/>
      </c>
      <c r="Y322">
        <f>IF($X322="","",C322&amp;"|"&amp;COUNTIF($C$2:$C322,C322))</f>
        <v/>
      </c>
    </row>
    <row r="323">
      <c r="A323" s="15" t="n"/>
      <c r="B323">
        <f>IF($X323="","",INDEX('Per Line'!$A$2:$A$1501,$X323)&amp;"")</f>
        <v/>
      </c>
      <c r="C323">
        <f>IF($X323="","",IF(OR(TRIM(H323)="",TRIM(H323)="All",TRIM(H323)="All Comp"),TRIM(J323),TRIM(H323)))</f>
        <v/>
      </c>
      <c r="D323">
        <f>IF($X323="","",INDEX('Per Line'!$B$2:$B$1501,$X323)&amp;"")</f>
        <v/>
      </c>
      <c r="E323">
        <f>IF($X323="","",INDEX('Per Line'!$C$2:$C$1501,$X323)&amp;"")</f>
        <v/>
      </c>
      <c r="F323">
        <f>IF($X323="","",INDEX('Per Line'!$D$2:$D$1501,$X323)&amp;"")</f>
        <v/>
      </c>
      <c r="G323" s="15" t="n"/>
      <c r="H323" s="15" t="n"/>
      <c r="I323" s="15" t="n"/>
      <c r="J323" s="15" t="n"/>
      <c r="K323" s="14">
        <f>IF($X323="","",INDEX('Per Line'!$R$2:$R$1501,$X323))</f>
        <v/>
      </c>
      <c r="L323">
        <f>IF($X323="","",INDEX('Per Line'!$E$2:$E$1501,$X323))</f>
        <v/>
      </c>
      <c r="M323" s="7">
        <f>IF($X323="","",L323*U323/100)</f>
        <v/>
      </c>
      <c r="N323">
        <f>IF($X323="","",IF(ISNUMBER(SEARCH("3&amp;12",SUBSTITUTE(J323," ",""))),Settings!$G$7,Settings!$C$7))</f>
        <v/>
      </c>
      <c r="O323" s="7">
        <f>IF($X323="","",SUMIFS('Per Line'!$N$2:$N$1501,'Per Line'!$A$2:$A$1501,$B323,'Per Line'!$X$2:$X$1501,0))</f>
        <v/>
      </c>
      <c r="P323" s="7">
        <f>IF($X323="","",O323*N323)</f>
        <v/>
      </c>
      <c r="Q323">
        <f>IF($X323="","",IF(ISNUMBER(SEARCH("3&amp;12",SUBSTITUTE(J323," ",""))),Settings!$G$6,Settings!$C$6))</f>
        <v/>
      </c>
      <c r="R323" s="7">
        <f>IF($X323="","",SUMIFS('Per Line'!$N$2:$N$1501,'Per Line'!$A$2:$A$1501,$B323,'Per Line'!$X$2:$X$1501,1))</f>
        <v/>
      </c>
      <c r="S323" s="7">
        <f>IF($X323="","",R323*Q323)</f>
        <v/>
      </c>
      <c r="T323" s="7">
        <f>IF($X323="","",S323+P323)</f>
        <v/>
      </c>
      <c r="U323" s="7">
        <f>IF($X323="","",V323-T323)</f>
        <v/>
      </c>
      <c r="V323" s="7">
        <f>IF($X323="","",O323+R323)</f>
        <v/>
      </c>
      <c r="W323" s="7">
        <f>IF($X323="","",V323-T323-M323)</f>
        <v/>
      </c>
      <c r="X323" s="16">
        <f>IF(ROWS($X$2:$X323)&lt;=MAX('Per Line'!$W$2:$W$1501),MATCH(ROWS($X$2:$X323),'Per Line'!$W$2:$W$1501,0),"")</f>
        <v/>
      </c>
      <c r="Y323">
        <f>IF($X323="","",C323&amp;"|"&amp;COUNTIF($C$2:$C323,C323))</f>
        <v/>
      </c>
    </row>
    <row r="324">
      <c r="A324" s="15" t="n"/>
      <c r="B324">
        <f>IF($X324="","",INDEX('Per Line'!$A$2:$A$1501,$X324)&amp;"")</f>
        <v/>
      </c>
      <c r="C324">
        <f>IF($X324="","",IF(OR(TRIM(H324)="",TRIM(H324)="All",TRIM(H324)="All Comp"),TRIM(J324),TRIM(H324)))</f>
        <v/>
      </c>
      <c r="D324">
        <f>IF($X324="","",INDEX('Per Line'!$B$2:$B$1501,$X324)&amp;"")</f>
        <v/>
      </c>
      <c r="E324">
        <f>IF($X324="","",INDEX('Per Line'!$C$2:$C$1501,$X324)&amp;"")</f>
        <v/>
      </c>
      <c r="F324">
        <f>IF($X324="","",INDEX('Per Line'!$D$2:$D$1501,$X324)&amp;"")</f>
        <v/>
      </c>
      <c r="G324" s="15" t="n"/>
      <c r="H324" s="15" t="n"/>
      <c r="I324" s="15" t="n"/>
      <c r="J324" s="15" t="n"/>
      <c r="K324" s="14">
        <f>IF($X324="","",INDEX('Per Line'!$R$2:$R$1501,$X324))</f>
        <v/>
      </c>
      <c r="L324">
        <f>IF($X324="","",INDEX('Per Line'!$E$2:$E$1501,$X324))</f>
        <v/>
      </c>
      <c r="M324" s="7">
        <f>IF($X324="","",L324*U324/100)</f>
        <v/>
      </c>
      <c r="N324">
        <f>IF($X324="","",IF(ISNUMBER(SEARCH("3&amp;12",SUBSTITUTE(J324," ",""))),Settings!$G$7,Settings!$C$7))</f>
        <v/>
      </c>
      <c r="O324" s="7">
        <f>IF($X324="","",SUMIFS('Per Line'!$N$2:$N$1501,'Per Line'!$A$2:$A$1501,$B324,'Per Line'!$X$2:$X$1501,0))</f>
        <v/>
      </c>
      <c r="P324" s="7">
        <f>IF($X324="","",O324*N324)</f>
        <v/>
      </c>
      <c r="Q324">
        <f>IF($X324="","",IF(ISNUMBER(SEARCH("3&amp;12",SUBSTITUTE(J324," ",""))),Settings!$G$6,Settings!$C$6))</f>
        <v/>
      </c>
      <c r="R324" s="7">
        <f>IF($X324="","",SUMIFS('Per Line'!$N$2:$N$1501,'Per Line'!$A$2:$A$1501,$B324,'Per Line'!$X$2:$X$1501,1))</f>
        <v/>
      </c>
      <c r="S324" s="7">
        <f>IF($X324="","",R324*Q324)</f>
        <v/>
      </c>
      <c r="T324" s="7">
        <f>IF($X324="","",S324+P324)</f>
        <v/>
      </c>
      <c r="U324" s="7">
        <f>IF($X324="","",V324-T324)</f>
        <v/>
      </c>
      <c r="V324" s="7">
        <f>IF($X324="","",O324+R324)</f>
        <v/>
      </c>
      <c r="W324" s="7">
        <f>IF($X324="","",V324-T324-M324)</f>
        <v/>
      </c>
      <c r="X324" s="16">
        <f>IF(ROWS($X$2:$X324)&lt;=MAX('Per Line'!$W$2:$W$1501),MATCH(ROWS($X$2:$X324),'Per Line'!$W$2:$W$1501,0),"")</f>
        <v/>
      </c>
      <c r="Y324">
        <f>IF($X324="","",C324&amp;"|"&amp;COUNTIF($C$2:$C324,C324))</f>
        <v/>
      </c>
    </row>
    <row r="325">
      <c r="A325" s="15" t="n"/>
      <c r="B325">
        <f>IF($X325="","",INDEX('Per Line'!$A$2:$A$1501,$X325)&amp;"")</f>
        <v/>
      </c>
      <c r="C325">
        <f>IF($X325="","",IF(OR(TRIM(H325)="",TRIM(H325)="All",TRIM(H325)="All Comp"),TRIM(J325),TRIM(H325)))</f>
        <v/>
      </c>
      <c r="D325">
        <f>IF($X325="","",INDEX('Per Line'!$B$2:$B$1501,$X325)&amp;"")</f>
        <v/>
      </c>
      <c r="E325">
        <f>IF($X325="","",INDEX('Per Line'!$C$2:$C$1501,$X325)&amp;"")</f>
        <v/>
      </c>
      <c r="F325">
        <f>IF($X325="","",INDEX('Per Line'!$D$2:$D$1501,$X325)&amp;"")</f>
        <v/>
      </c>
      <c r="G325" s="15" t="n"/>
      <c r="H325" s="15" t="n"/>
      <c r="I325" s="15" t="n"/>
      <c r="J325" s="15" t="n"/>
      <c r="K325" s="14">
        <f>IF($X325="","",INDEX('Per Line'!$R$2:$R$1501,$X325))</f>
        <v/>
      </c>
      <c r="L325">
        <f>IF($X325="","",INDEX('Per Line'!$E$2:$E$1501,$X325))</f>
        <v/>
      </c>
      <c r="M325" s="7">
        <f>IF($X325="","",L325*U325/100)</f>
        <v/>
      </c>
      <c r="N325">
        <f>IF($X325="","",IF(ISNUMBER(SEARCH("3&amp;12",SUBSTITUTE(J325," ",""))),Settings!$G$7,Settings!$C$7))</f>
        <v/>
      </c>
      <c r="O325" s="7">
        <f>IF($X325="","",SUMIFS('Per Line'!$N$2:$N$1501,'Per Line'!$A$2:$A$1501,$B325,'Per Line'!$X$2:$X$1501,0))</f>
        <v/>
      </c>
      <c r="P325" s="7">
        <f>IF($X325="","",O325*N325)</f>
        <v/>
      </c>
      <c r="Q325">
        <f>IF($X325="","",IF(ISNUMBER(SEARCH("3&amp;12",SUBSTITUTE(J325," ",""))),Settings!$G$6,Settings!$C$6))</f>
        <v/>
      </c>
      <c r="R325" s="7">
        <f>IF($X325="","",SUMIFS('Per Line'!$N$2:$N$1501,'Per Line'!$A$2:$A$1501,$B325,'Per Line'!$X$2:$X$1501,1))</f>
        <v/>
      </c>
      <c r="S325" s="7">
        <f>IF($X325="","",R325*Q325)</f>
        <v/>
      </c>
      <c r="T325" s="7">
        <f>IF($X325="","",S325+P325)</f>
        <v/>
      </c>
      <c r="U325" s="7">
        <f>IF($X325="","",V325-T325)</f>
        <v/>
      </c>
      <c r="V325" s="7">
        <f>IF($X325="","",O325+R325)</f>
        <v/>
      </c>
      <c r="W325" s="7">
        <f>IF($X325="","",V325-T325-M325)</f>
        <v/>
      </c>
      <c r="X325" s="16">
        <f>IF(ROWS($X$2:$X325)&lt;=MAX('Per Line'!$W$2:$W$1501),MATCH(ROWS($X$2:$X325),'Per Line'!$W$2:$W$1501,0),"")</f>
        <v/>
      </c>
      <c r="Y325">
        <f>IF($X325="","",C325&amp;"|"&amp;COUNTIF($C$2:$C325,C325))</f>
        <v/>
      </c>
    </row>
    <row r="326">
      <c r="A326" s="15" t="n"/>
      <c r="B326">
        <f>IF($X326="","",INDEX('Per Line'!$A$2:$A$1501,$X326)&amp;"")</f>
        <v/>
      </c>
      <c r="C326">
        <f>IF($X326="","",IF(OR(TRIM(H326)="",TRIM(H326)="All",TRIM(H326)="All Comp"),TRIM(J326),TRIM(H326)))</f>
        <v/>
      </c>
      <c r="D326">
        <f>IF($X326="","",INDEX('Per Line'!$B$2:$B$1501,$X326)&amp;"")</f>
        <v/>
      </c>
      <c r="E326">
        <f>IF($X326="","",INDEX('Per Line'!$C$2:$C$1501,$X326)&amp;"")</f>
        <v/>
      </c>
      <c r="F326">
        <f>IF($X326="","",INDEX('Per Line'!$D$2:$D$1501,$X326)&amp;"")</f>
        <v/>
      </c>
      <c r="G326" s="15" t="n"/>
      <c r="H326" s="15" t="n"/>
      <c r="I326" s="15" t="n"/>
      <c r="J326" s="15" t="n"/>
      <c r="K326" s="14">
        <f>IF($X326="","",INDEX('Per Line'!$R$2:$R$1501,$X326))</f>
        <v/>
      </c>
      <c r="L326">
        <f>IF($X326="","",INDEX('Per Line'!$E$2:$E$1501,$X326))</f>
        <v/>
      </c>
      <c r="M326" s="7">
        <f>IF($X326="","",L326*U326/100)</f>
        <v/>
      </c>
      <c r="N326">
        <f>IF($X326="","",IF(ISNUMBER(SEARCH("3&amp;12",SUBSTITUTE(J326," ",""))),Settings!$G$7,Settings!$C$7))</f>
        <v/>
      </c>
      <c r="O326" s="7">
        <f>IF($X326="","",SUMIFS('Per Line'!$N$2:$N$1501,'Per Line'!$A$2:$A$1501,$B326,'Per Line'!$X$2:$X$1501,0))</f>
        <v/>
      </c>
      <c r="P326" s="7">
        <f>IF($X326="","",O326*N326)</f>
        <v/>
      </c>
      <c r="Q326">
        <f>IF($X326="","",IF(ISNUMBER(SEARCH("3&amp;12",SUBSTITUTE(J326," ",""))),Settings!$G$6,Settings!$C$6))</f>
        <v/>
      </c>
      <c r="R326" s="7">
        <f>IF($X326="","",SUMIFS('Per Line'!$N$2:$N$1501,'Per Line'!$A$2:$A$1501,$B326,'Per Line'!$X$2:$X$1501,1))</f>
        <v/>
      </c>
      <c r="S326" s="7">
        <f>IF($X326="","",R326*Q326)</f>
        <v/>
      </c>
      <c r="T326" s="7">
        <f>IF($X326="","",S326+P326)</f>
        <v/>
      </c>
      <c r="U326" s="7">
        <f>IF($X326="","",V326-T326)</f>
        <v/>
      </c>
      <c r="V326" s="7">
        <f>IF($X326="","",O326+R326)</f>
        <v/>
      </c>
      <c r="W326" s="7">
        <f>IF($X326="","",V326-T326-M326)</f>
        <v/>
      </c>
      <c r="X326" s="16">
        <f>IF(ROWS($X$2:$X326)&lt;=MAX('Per Line'!$W$2:$W$1501),MATCH(ROWS($X$2:$X326),'Per Line'!$W$2:$W$1501,0),"")</f>
        <v/>
      </c>
      <c r="Y326">
        <f>IF($X326="","",C326&amp;"|"&amp;COUNTIF($C$2:$C326,C326))</f>
        <v/>
      </c>
    </row>
    <row r="327">
      <c r="A327" s="15" t="n"/>
      <c r="B327">
        <f>IF($X327="","",INDEX('Per Line'!$A$2:$A$1501,$X327)&amp;"")</f>
        <v/>
      </c>
      <c r="C327">
        <f>IF($X327="","",IF(OR(TRIM(H327)="",TRIM(H327)="All",TRIM(H327)="All Comp"),TRIM(J327),TRIM(H327)))</f>
        <v/>
      </c>
      <c r="D327">
        <f>IF($X327="","",INDEX('Per Line'!$B$2:$B$1501,$X327)&amp;"")</f>
        <v/>
      </c>
      <c r="E327">
        <f>IF($X327="","",INDEX('Per Line'!$C$2:$C$1501,$X327)&amp;"")</f>
        <v/>
      </c>
      <c r="F327">
        <f>IF($X327="","",INDEX('Per Line'!$D$2:$D$1501,$X327)&amp;"")</f>
        <v/>
      </c>
      <c r="G327" s="15" t="n"/>
      <c r="H327" s="15" t="n"/>
      <c r="I327" s="15" t="n"/>
      <c r="J327" s="15" t="n"/>
      <c r="K327" s="14">
        <f>IF($X327="","",INDEX('Per Line'!$R$2:$R$1501,$X327))</f>
        <v/>
      </c>
      <c r="L327">
        <f>IF($X327="","",INDEX('Per Line'!$E$2:$E$1501,$X327))</f>
        <v/>
      </c>
      <c r="M327" s="7">
        <f>IF($X327="","",L327*U327/100)</f>
        <v/>
      </c>
      <c r="N327">
        <f>IF($X327="","",IF(ISNUMBER(SEARCH("3&amp;12",SUBSTITUTE(J327," ",""))),Settings!$G$7,Settings!$C$7))</f>
        <v/>
      </c>
      <c r="O327" s="7">
        <f>IF($X327="","",SUMIFS('Per Line'!$N$2:$N$1501,'Per Line'!$A$2:$A$1501,$B327,'Per Line'!$X$2:$X$1501,0))</f>
        <v/>
      </c>
      <c r="P327" s="7">
        <f>IF($X327="","",O327*N327)</f>
        <v/>
      </c>
      <c r="Q327">
        <f>IF($X327="","",IF(ISNUMBER(SEARCH("3&amp;12",SUBSTITUTE(J327," ",""))),Settings!$G$6,Settings!$C$6))</f>
        <v/>
      </c>
      <c r="R327" s="7">
        <f>IF($X327="","",SUMIFS('Per Line'!$N$2:$N$1501,'Per Line'!$A$2:$A$1501,$B327,'Per Line'!$X$2:$X$1501,1))</f>
        <v/>
      </c>
      <c r="S327" s="7">
        <f>IF($X327="","",R327*Q327)</f>
        <v/>
      </c>
      <c r="T327" s="7">
        <f>IF($X327="","",S327+P327)</f>
        <v/>
      </c>
      <c r="U327" s="7">
        <f>IF($X327="","",V327-T327)</f>
        <v/>
      </c>
      <c r="V327" s="7">
        <f>IF($X327="","",O327+R327)</f>
        <v/>
      </c>
      <c r="W327" s="7">
        <f>IF($X327="","",V327-T327-M327)</f>
        <v/>
      </c>
      <c r="X327" s="16">
        <f>IF(ROWS($X$2:$X327)&lt;=MAX('Per Line'!$W$2:$W$1501),MATCH(ROWS($X$2:$X327),'Per Line'!$W$2:$W$1501,0),"")</f>
        <v/>
      </c>
      <c r="Y327">
        <f>IF($X327="","",C327&amp;"|"&amp;COUNTIF($C$2:$C327,C327))</f>
        <v/>
      </c>
    </row>
    <row r="328">
      <c r="A328" s="15" t="n"/>
      <c r="B328">
        <f>IF($X328="","",INDEX('Per Line'!$A$2:$A$1501,$X328)&amp;"")</f>
        <v/>
      </c>
      <c r="C328">
        <f>IF($X328="","",IF(OR(TRIM(H328)="",TRIM(H328)="All",TRIM(H328)="All Comp"),TRIM(J328),TRIM(H328)))</f>
        <v/>
      </c>
      <c r="D328">
        <f>IF($X328="","",INDEX('Per Line'!$B$2:$B$1501,$X328)&amp;"")</f>
        <v/>
      </c>
      <c r="E328">
        <f>IF($X328="","",INDEX('Per Line'!$C$2:$C$1501,$X328)&amp;"")</f>
        <v/>
      </c>
      <c r="F328">
        <f>IF($X328="","",INDEX('Per Line'!$D$2:$D$1501,$X328)&amp;"")</f>
        <v/>
      </c>
      <c r="G328" s="15" t="n"/>
      <c r="H328" s="15" t="n"/>
      <c r="I328" s="15" t="n"/>
      <c r="J328" s="15" t="n"/>
      <c r="K328" s="14">
        <f>IF($X328="","",INDEX('Per Line'!$R$2:$R$1501,$X328))</f>
        <v/>
      </c>
      <c r="L328">
        <f>IF($X328="","",INDEX('Per Line'!$E$2:$E$1501,$X328))</f>
        <v/>
      </c>
      <c r="M328" s="7">
        <f>IF($X328="","",L328*U328/100)</f>
        <v/>
      </c>
      <c r="N328">
        <f>IF($X328="","",IF(ISNUMBER(SEARCH("3&amp;12",SUBSTITUTE(J328," ",""))),Settings!$G$7,Settings!$C$7))</f>
        <v/>
      </c>
      <c r="O328" s="7">
        <f>IF($X328="","",SUMIFS('Per Line'!$N$2:$N$1501,'Per Line'!$A$2:$A$1501,$B328,'Per Line'!$X$2:$X$1501,0))</f>
        <v/>
      </c>
      <c r="P328" s="7">
        <f>IF($X328="","",O328*N328)</f>
        <v/>
      </c>
      <c r="Q328">
        <f>IF($X328="","",IF(ISNUMBER(SEARCH("3&amp;12",SUBSTITUTE(J328," ",""))),Settings!$G$6,Settings!$C$6))</f>
        <v/>
      </c>
      <c r="R328" s="7">
        <f>IF($X328="","",SUMIFS('Per Line'!$N$2:$N$1501,'Per Line'!$A$2:$A$1501,$B328,'Per Line'!$X$2:$X$1501,1))</f>
        <v/>
      </c>
      <c r="S328" s="7">
        <f>IF($X328="","",R328*Q328)</f>
        <v/>
      </c>
      <c r="T328" s="7">
        <f>IF($X328="","",S328+P328)</f>
        <v/>
      </c>
      <c r="U328" s="7">
        <f>IF($X328="","",V328-T328)</f>
        <v/>
      </c>
      <c r="V328" s="7">
        <f>IF($X328="","",O328+R328)</f>
        <v/>
      </c>
      <c r="W328" s="7">
        <f>IF($X328="","",V328-T328-M328)</f>
        <v/>
      </c>
      <c r="X328" s="16">
        <f>IF(ROWS($X$2:$X328)&lt;=MAX('Per Line'!$W$2:$W$1501),MATCH(ROWS($X$2:$X328),'Per Line'!$W$2:$W$1501,0),"")</f>
        <v/>
      </c>
      <c r="Y328">
        <f>IF($X328="","",C328&amp;"|"&amp;COUNTIF($C$2:$C328,C328))</f>
        <v/>
      </c>
    </row>
    <row r="329">
      <c r="A329" s="15" t="n"/>
      <c r="B329">
        <f>IF($X329="","",INDEX('Per Line'!$A$2:$A$1501,$X329)&amp;"")</f>
        <v/>
      </c>
      <c r="C329">
        <f>IF($X329="","",IF(OR(TRIM(H329)="",TRIM(H329)="All",TRIM(H329)="All Comp"),TRIM(J329),TRIM(H329)))</f>
        <v/>
      </c>
      <c r="D329">
        <f>IF($X329="","",INDEX('Per Line'!$B$2:$B$1501,$X329)&amp;"")</f>
        <v/>
      </c>
      <c r="E329">
        <f>IF($X329="","",INDEX('Per Line'!$C$2:$C$1501,$X329)&amp;"")</f>
        <v/>
      </c>
      <c r="F329">
        <f>IF($X329="","",INDEX('Per Line'!$D$2:$D$1501,$X329)&amp;"")</f>
        <v/>
      </c>
      <c r="G329" s="15" t="n"/>
      <c r="H329" s="15" t="n"/>
      <c r="I329" s="15" t="n"/>
      <c r="J329" s="15" t="n"/>
      <c r="K329" s="14">
        <f>IF($X329="","",INDEX('Per Line'!$R$2:$R$1501,$X329))</f>
        <v/>
      </c>
      <c r="L329">
        <f>IF($X329="","",INDEX('Per Line'!$E$2:$E$1501,$X329))</f>
        <v/>
      </c>
      <c r="M329" s="7">
        <f>IF($X329="","",L329*U329/100)</f>
        <v/>
      </c>
      <c r="N329">
        <f>IF($X329="","",IF(ISNUMBER(SEARCH("3&amp;12",SUBSTITUTE(J329," ",""))),Settings!$G$7,Settings!$C$7))</f>
        <v/>
      </c>
      <c r="O329" s="7">
        <f>IF($X329="","",SUMIFS('Per Line'!$N$2:$N$1501,'Per Line'!$A$2:$A$1501,$B329,'Per Line'!$X$2:$X$1501,0))</f>
        <v/>
      </c>
      <c r="P329" s="7">
        <f>IF($X329="","",O329*N329)</f>
        <v/>
      </c>
      <c r="Q329">
        <f>IF($X329="","",IF(ISNUMBER(SEARCH("3&amp;12",SUBSTITUTE(J329," ",""))),Settings!$G$6,Settings!$C$6))</f>
        <v/>
      </c>
      <c r="R329" s="7">
        <f>IF($X329="","",SUMIFS('Per Line'!$N$2:$N$1501,'Per Line'!$A$2:$A$1501,$B329,'Per Line'!$X$2:$X$1501,1))</f>
        <v/>
      </c>
      <c r="S329" s="7">
        <f>IF($X329="","",R329*Q329)</f>
        <v/>
      </c>
      <c r="T329" s="7">
        <f>IF($X329="","",S329+P329)</f>
        <v/>
      </c>
      <c r="U329" s="7">
        <f>IF($X329="","",V329-T329)</f>
        <v/>
      </c>
      <c r="V329" s="7">
        <f>IF($X329="","",O329+R329)</f>
        <v/>
      </c>
      <c r="W329" s="7">
        <f>IF($X329="","",V329-T329-M329)</f>
        <v/>
      </c>
      <c r="X329" s="16">
        <f>IF(ROWS($X$2:$X329)&lt;=MAX('Per Line'!$W$2:$W$1501),MATCH(ROWS($X$2:$X329),'Per Line'!$W$2:$W$1501,0),"")</f>
        <v/>
      </c>
      <c r="Y329">
        <f>IF($X329="","",C329&amp;"|"&amp;COUNTIF($C$2:$C329,C329))</f>
        <v/>
      </c>
    </row>
    <row r="330">
      <c r="A330" s="15" t="n"/>
      <c r="B330">
        <f>IF($X330="","",INDEX('Per Line'!$A$2:$A$1501,$X330)&amp;"")</f>
        <v/>
      </c>
      <c r="C330">
        <f>IF($X330="","",IF(OR(TRIM(H330)="",TRIM(H330)="All",TRIM(H330)="All Comp"),TRIM(J330),TRIM(H330)))</f>
        <v/>
      </c>
      <c r="D330">
        <f>IF($X330="","",INDEX('Per Line'!$B$2:$B$1501,$X330)&amp;"")</f>
        <v/>
      </c>
      <c r="E330">
        <f>IF($X330="","",INDEX('Per Line'!$C$2:$C$1501,$X330)&amp;"")</f>
        <v/>
      </c>
      <c r="F330">
        <f>IF($X330="","",INDEX('Per Line'!$D$2:$D$1501,$X330)&amp;"")</f>
        <v/>
      </c>
      <c r="G330" s="15" t="n"/>
      <c r="H330" s="15" t="n"/>
      <c r="I330" s="15" t="n"/>
      <c r="J330" s="15" t="n"/>
      <c r="K330" s="14">
        <f>IF($X330="","",INDEX('Per Line'!$R$2:$R$1501,$X330))</f>
        <v/>
      </c>
      <c r="L330">
        <f>IF($X330="","",INDEX('Per Line'!$E$2:$E$1501,$X330))</f>
        <v/>
      </c>
      <c r="M330" s="7">
        <f>IF($X330="","",L330*U330/100)</f>
        <v/>
      </c>
      <c r="N330">
        <f>IF($X330="","",IF(ISNUMBER(SEARCH("3&amp;12",SUBSTITUTE(J330," ",""))),Settings!$G$7,Settings!$C$7))</f>
        <v/>
      </c>
      <c r="O330" s="7">
        <f>IF($X330="","",SUMIFS('Per Line'!$N$2:$N$1501,'Per Line'!$A$2:$A$1501,$B330,'Per Line'!$X$2:$X$1501,0))</f>
        <v/>
      </c>
      <c r="P330" s="7">
        <f>IF($X330="","",O330*N330)</f>
        <v/>
      </c>
      <c r="Q330">
        <f>IF($X330="","",IF(ISNUMBER(SEARCH("3&amp;12",SUBSTITUTE(J330," ",""))),Settings!$G$6,Settings!$C$6))</f>
        <v/>
      </c>
      <c r="R330" s="7">
        <f>IF($X330="","",SUMIFS('Per Line'!$N$2:$N$1501,'Per Line'!$A$2:$A$1501,$B330,'Per Line'!$X$2:$X$1501,1))</f>
        <v/>
      </c>
      <c r="S330" s="7">
        <f>IF($X330="","",R330*Q330)</f>
        <v/>
      </c>
      <c r="T330" s="7">
        <f>IF($X330="","",S330+P330)</f>
        <v/>
      </c>
      <c r="U330" s="7">
        <f>IF($X330="","",V330-T330)</f>
        <v/>
      </c>
      <c r="V330" s="7">
        <f>IF($X330="","",O330+R330)</f>
        <v/>
      </c>
      <c r="W330" s="7">
        <f>IF($X330="","",V330-T330-M330)</f>
        <v/>
      </c>
      <c r="X330" s="16">
        <f>IF(ROWS($X$2:$X330)&lt;=MAX('Per Line'!$W$2:$W$1501),MATCH(ROWS($X$2:$X330),'Per Line'!$W$2:$W$1501,0),"")</f>
        <v/>
      </c>
      <c r="Y330">
        <f>IF($X330="","",C330&amp;"|"&amp;COUNTIF($C$2:$C330,C330))</f>
        <v/>
      </c>
    </row>
    <row r="331">
      <c r="A331" s="15" t="n"/>
      <c r="B331">
        <f>IF($X331="","",INDEX('Per Line'!$A$2:$A$1501,$X331)&amp;"")</f>
        <v/>
      </c>
      <c r="C331">
        <f>IF($X331="","",IF(OR(TRIM(H331)="",TRIM(H331)="All",TRIM(H331)="All Comp"),TRIM(J331),TRIM(H331)))</f>
        <v/>
      </c>
      <c r="D331">
        <f>IF($X331="","",INDEX('Per Line'!$B$2:$B$1501,$X331)&amp;"")</f>
        <v/>
      </c>
      <c r="E331">
        <f>IF($X331="","",INDEX('Per Line'!$C$2:$C$1501,$X331)&amp;"")</f>
        <v/>
      </c>
      <c r="F331">
        <f>IF($X331="","",INDEX('Per Line'!$D$2:$D$1501,$X331)&amp;"")</f>
        <v/>
      </c>
      <c r="G331" s="15" t="n"/>
      <c r="H331" s="15" t="n"/>
      <c r="I331" s="15" t="n"/>
      <c r="J331" s="15" t="n"/>
      <c r="K331" s="14">
        <f>IF($X331="","",INDEX('Per Line'!$R$2:$R$1501,$X331))</f>
        <v/>
      </c>
      <c r="L331">
        <f>IF($X331="","",INDEX('Per Line'!$E$2:$E$1501,$X331))</f>
        <v/>
      </c>
      <c r="M331" s="7">
        <f>IF($X331="","",L331*U331/100)</f>
        <v/>
      </c>
      <c r="N331">
        <f>IF($X331="","",IF(ISNUMBER(SEARCH("3&amp;12",SUBSTITUTE(J331," ",""))),Settings!$G$7,Settings!$C$7))</f>
        <v/>
      </c>
      <c r="O331" s="7">
        <f>IF($X331="","",SUMIFS('Per Line'!$N$2:$N$1501,'Per Line'!$A$2:$A$1501,$B331,'Per Line'!$X$2:$X$1501,0))</f>
        <v/>
      </c>
      <c r="P331" s="7">
        <f>IF($X331="","",O331*N331)</f>
        <v/>
      </c>
      <c r="Q331">
        <f>IF($X331="","",IF(ISNUMBER(SEARCH("3&amp;12",SUBSTITUTE(J331," ",""))),Settings!$G$6,Settings!$C$6))</f>
        <v/>
      </c>
      <c r="R331" s="7">
        <f>IF($X331="","",SUMIFS('Per Line'!$N$2:$N$1501,'Per Line'!$A$2:$A$1501,$B331,'Per Line'!$X$2:$X$1501,1))</f>
        <v/>
      </c>
      <c r="S331" s="7">
        <f>IF($X331="","",R331*Q331)</f>
        <v/>
      </c>
      <c r="T331" s="7">
        <f>IF($X331="","",S331+P331)</f>
        <v/>
      </c>
      <c r="U331" s="7">
        <f>IF($X331="","",V331-T331)</f>
        <v/>
      </c>
      <c r="V331" s="7">
        <f>IF($X331="","",O331+R331)</f>
        <v/>
      </c>
      <c r="W331" s="7">
        <f>IF($X331="","",V331-T331-M331)</f>
        <v/>
      </c>
      <c r="X331" s="16">
        <f>IF(ROWS($X$2:$X331)&lt;=MAX('Per Line'!$W$2:$W$1501),MATCH(ROWS($X$2:$X331),'Per Line'!$W$2:$W$1501,0),"")</f>
        <v/>
      </c>
      <c r="Y331">
        <f>IF($X331="","",C331&amp;"|"&amp;COUNTIF($C$2:$C331,C331))</f>
        <v/>
      </c>
    </row>
    <row r="332">
      <c r="A332" s="15" t="n"/>
      <c r="B332">
        <f>IF($X332="","",INDEX('Per Line'!$A$2:$A$1501,$X332)&amp;"")</f>
        <v/>
      </c>
      <c r="C332">
        <f>IF($X332="","",IF(OR(TRIM(H332)="",TRIM(H332)="All",TRIM(H332)="All Comp"),TRIM(J332),TRIM(H332)))</f>
        <v/>
      </c>
      <c r="D332">
        <f>IF($X332="","",INDEX('Per Line'!$B$2:$B$1501,$X332)&amp;"")</f>
        <v/>
      </c>
      <c r="E332">
        <f>IF($X332="","",INDEX('Per Line'!$C$2:$C$1501,$X332)&amp;"")</f>
        <v/>
      </c>
      <c r="F332">
        <f>IF($X332="","",INDEX('Per Line'!$D$2:$D$1501,$X332)&amp;"")</f>
        <v/>
      </c>
      <c r="G332" s="15" t="n"/>
      <c r="H332" s="15" t="n"/>
      <c r="I332" s="15" t="n"/>
      <c r="J332" s="15" t="n"/>
      <c r="K332" s="14">
        <f>IF($X332="","",INDEX('Per Line'!$R$2:$R$1501,$X332))</f>
        <v/>
      </c>
      <c r="L332">
        <f>IF($X332="","",INDEX('Per Line'!$E$2:$E$1501,$X332))</f>
        <v/>
      </c>
      <c r="M332" s="7">
        <f>IF($X332="","",L332*U332/100)</f>
        <v/>
      </c>
      <c r="N332">
        <f>IF($X332="","",IF(ISNUMBER(SEARCH("3&amp;12",SUBSTITUTE(J332," ",""))),Settings!$G$7,Settings!$C$7))</f>
        <v/>
      </c>
      <c r="O332" s="7">
        <f>IF($X332="","",SUMIFS('Per Line'!$N$2:$N$1501,'Per Line'!$A$2:$A$1501,$B332,'Per Line'!$X$2:$X$1501,0))</f>
        <v/>
      </c>
      <c r="P332" s="7">
        <f>IF($X332="","",O332*N332)</f>
        <v/>
      </c>
      <c r="Q332">
        <f>IF($X332="","",IF(ISNUMBER(SEARCH("3&amp;12",SUBSTITUTE(J332," ",""))),Settings!$G$6,Settings!$C$6))</f>
        <v/>
      </c>
      <c r="R332" s="7">
        <f>IF($X332="","",SUMIFS('Per Line'!$N$2:$N$1501,'Per Line'!$A$2:$A$1501,$B332,'Per Line'!$X$2:$X$1501,1))</f>
        <v/>
      </c>
      <c r="S332" s="7">
        <f>IF($X332="","",R332*Q332)</f>
        <v/>
      </c>
      <c r="T332" s="7">
        <f>IF($X332="","",S332+P332)</f>
        <v/>
      </c>
      <c r="U332" s="7">
        <f>IF($X332="","",V332-T332)</f>
        <v/>
      </c>
      <c r="V332" s="7">
        <f>IF($X332="","",O332+R332)</f>
        <v/>
      </c>
      <c r="W332" s="7">
        <f>IF($X332="","",V332-T332-M332)</f>
        <v/>
      </c>
      <c r="X332" s="16">
        <f>IF(ROWS($X$2:$X332)&lt;=MAX('Per Line'!$W$2:$W$1501),MATCH(ROWS($X$2:$X332),'Per Line'!$W$2:$W$1501,0),"")</f>
        <v/>
      </c>
      <c r="Y332">
        <f>IF($X332="","",C332&amp;"|"&amp;COUNTIF($C$2:$C332,C332))</f>
        <v/>
      </c>
    </row>
    <row r="333">
      <c r="A333" s="15" t="n"/>
      <c r="B333">
        <f>IF($X333="","",INDEX('Per Line'!$A$2:$A$1501,$X333)&amp;"")</f>
        <v/>
      </c>
      <c r="C333">
        <f>IF($X333="","",IF(OR(TRIM(H333)="",TRIM(H333)="All",TRIM(H333)="All Comp"),TRIM(J333),TRIM(H333)))</f>
        <v/>
      </c>
      <c r="D333">
        <f>IF($X333="","",INDEX('Per Line'!$B$2:$B$1501,$X333)&amp;"")</f>
        <v/>
      </c>
      <c r="E333">
        <f>IF($X333="","",INDEX('Per Line'!$C$2:$C$1501,$X333)&amp;"")</f>
        <v/>
      </c>
      <c r="F333">
        <f>IF($X333="","",INDEX('Per Line'!$D$2:$D$1501,$X333)&amp;"")</f>
        <v/>
      </c>
      <c r="G333" s="15" t="n"/>
      <c r="H333" s="15" t="n"/>
      <c r="I333" s="15" t="n"/>
      <c r="J333" s="15" t="n"/>
      <c r="K333" s="14">
        <f>IF($X333="","",INDEX('Per Line'!$R$2:$R$1501,$X333))</f>
        <v/>
      </c>
      <c r="L333">
        <f>IF($X333="","",INDEX('Per Line'!$E$2:$E$1501,$X333))</f>
        <v/>
      </c>
      <c r="M333" s="7">
        <f>IF($X333="","",L333*U333/100)</f>
        <v/>
      </c>
      <c r="N333">
        <f>IF($X333="","",IF(ISNUMBER(SEARCH("3&amp;12",SUBSTITUTE(J333," ",""))),Settings!$G$7,Settings!$C$7))</f>
        <v/>
      </c>
      <c r="O333" s="7">
        <f>IF($X333="","",SUMIFS('Per Line'!$N$2:$N$1501,'Per Line'!$A$2:$A$1501,$B333,'Per Line'!$X$2:$X$1501,0))</f>
        <v/>
      </c>
      <c r="P333" s="7">
        <f>IF($X333="","",O333*N333)</f>
        <v/>
      </c>
      <c r="Q333">
        <f>IF($X333="","",IF(ISNUMBER(SEARCH("3&amp;12",SUBSTITUTE(J333," ",""))),Settings!$G$6,Settings!$C$6))</f>
        <v/>
      </c>
      <c r="R333" s="7">
        <f>IF($X333="","",SUMIFS('Per Line'!$N$2:$N$1501,'Per Line'!$A$2:$A$1501,$B333,'Per Line'!$X$2:$X$1501,1))</f>
        <v/>
      </c>
      <c r="S333" s="7">
        <f>IF($X333="","",R333*Q333)</f>
        <v/>
      </c>
      <c r="T333" s="7">
        <f>IF($X333="","",S333+P333)</f>
        <v/>
      </c>
      <c r="U333" s="7">
        <f>IF($X333="","",V333-T333)</f>
        <v/>
      </c>
      <c r="V333" s="7">
        <f>IF($X333="","",O333+R333)</f>
        <v/>
      </c>
      <c r="W333" s="7">
        <f>IF($X333="","",V333-T333-M333)</f>
        <v/>
      </c>
      <c r="X333" s="16">
        <f>IF(ROWS($X$2:$X333)&lt;=MAX('Per Line'!$W$2:$W$1501),MATCH(ROWS($X$2:$X333),'Per Line'!$W$2:$W$1501,0),"")</f>
        <v/>
      </c>
      <c r="Y333">
        <f>IF($X333="","",C333&amp;"|"&amp;COUNTIF($C$2:$C333,C333))</f>
        <v/>
      </c>
    </row>
    <row r="334">
      <c r="A334" s="15" t="n"/>
      <c r="B334">
        <f>IF($X334="","",INDEX('Per Line'!$A$2:$A$1501,$X334)&amp;"")</f>
        <v/>
      </c>
      <c r="C334">
        <f>IF($X334="","",IF(OR(TRIM(H334)="",TRIM(H334)="All",TRIM(H334)="All Comp"),TRIM(J334),TRIM(H334)))</f>
        <v/>
      </c>
      <c r="D334">
        <f>IF($X334="","",INDEX('Per Line'!$B$2:$B$1501,$X334)&amp;"")</f>
        <v/>
      </c>
      <c r="E334">
        <f>IF($X334="","",INDEX('Per Line'!$C$2:$C$1501,$X334)&amp;"")</f>
        <v/>
      </c>
      <c r="F334">
        <f>IF($X334="","",INDEX('Per Line'!$D$2:$D$1501,$X334)&amp;"")</f>
        <v/>
      </c>
      <c r="G334" s="15" t="n"/>
      <c r="H334" s="15" t="n"/>
      <c r="I334" s="15" t="n"/>
      <c r="J334" s="15" t="n"/>
      <c r="K334" s="14">
        <f>IF($X334="","",INDEX('Per Line'!$R$2:$R$1501,$X334))</f>
        <v/>
      </c>
      <c r="L334">
        <f>IF($X334="","",INDEX('Per Line'!$E$2:$E$1501,$X334))</f>
        <v/>
      </c>
      <c r="M334" s="7">
        <f>IF($X334="","",L334*U334/100)</f>
        <v/>
      </c>
      <c r="N334">
        <f>IF($X334="","",IF(ISNUMBER(SEARCH("3&amp;12",SUBSTITUTE(J334," ",""))),Settings!$G$7,Settings!$C$7))</f>
        <v/>
      </c>
      <c r="O334" s="7">
        <f>IF($X334="","",SUMIFS('Per Line'!$N$2:$N$1501,'Per Line'!$A$2:$A$1501,$B334,'Per Line'!$X$2:$X$1501,0))</f>
        <v/>
      </c>
      <c r="P334" s="7">
        <f>IF($X334="","",O334*N334)</f>
        <v/>
      </c>
      <c r="Q334">
        <f>IF($X334="","",IF(ISNUMBER(SEARCH("3&amp;12",SUBSTITUTE(J334," ",""))),Settings!$G$6,Settings!$C$6))</f>
        <v/>
      </c>
      <c r="R334" s="7">
        <f>IF($X334="","",SUMIFS('Per Line'!$N$2:$N$1501,'Per Line'!$A$2:$A$1501,$B334,'Per Line'!$X$2:$X$1501,1))</f>
        <v/>
      </c>
      <c r="S334" s="7">
        <f>IF($X334="","",R334*Q334)</f>
        <v/>
      </c>
      <c r="T334" s="7">
        <f>IF($X334="","",S334+P334)</f>
        <v/>
      </c>
      <c r="U334" s="7">
        <f>IF($X334="","",V334-T334)</f>
        <v/>
      </c>
      <c r="V334" s="7">
        <f>IF($X334="","",O334+R334)</f>
        <v/>
      </c>
      <c r="W334" s="7">
        <f>IF($X334="","",V334-T334-M334)</f>
        <v/>
      </c>
      <c r="X334" s="16">
        <f>IF(ROWS($X$2:$X334)&lt;=MAX('Per Line'!$W$2:$W$1501),MATCH(ROWS($X$2:$X334),'Per Line'!$W$2:$W$1501,0),"")</f>
        <v/>
      </c>
      <c r="Y334">
        <f>IF($X334="","",C334&amp;"|"&amp;COUNTIF($C$2:$C334,C334))</f>
        <v/>
      </c>
    </row>
    <row r="335">
      <c r="A335" s="15" t="n"/>
      <c r="B335">
        <f>IF($X335="","",INDEX('Per Line'!$A$2:$A$1501,$X335)&amp;"")</f>
        <v/>
      </c>
      <c r="C335">
        <f>IF($X335="","",IF(OR(TRIM(H335)="",TRIM(H335)="All",TRIM(H335)="All Comp"),TRIM(J335),TRIM(H335)))</f>
        <v/>
      </c>
      <c r="D335">
        <f>IF($X335="","",INDEX('Per Line'!$B$2:$B$1501,$X335)&amp;"")</f>
        <v/>
      </c>
      <c r="E335">
        <f>IF($X335="","",INDEX('Per Line'!$C$2:$C$1501,$X335)&amp;"")</f>
        <v/>
      </c>
      <c r="F335">
        <f>IF($X335="","",INDEX('Per Line'!$D$2:$D$1501,$X335)&amp;"")</f>
        <v/>
      </c>
      <c r="G335" s="15" t="n"/>
      <c r="H335" s="15" t="n"/>
      <c r="I335" s="15" t="n"/>
      <c r="J335" s="15" t="n"/>
      <c r="K335" s="14">
        <f>IF($X335="","",INDEX('Per Line'!$R$2:$R$1501,$X335))</f>
        <v/>
      </c>
      <c r="L335">
        <f>IF($X335="","",INDEX('Per Line'!$E$2:$E$1501,$X335))</f>
        <v/>
      </c>
      <c r="M335" s="7">
        <f>IF($X335="","",L335*U335/100)</f>
        <v/>
      </c>
      <c r="N335">
        <f>IF($X335="","",IF(ISNUMBER(SEARCH("3&amp;12",SUBSTITUTE(J335," ",""))),Settings!$G$7,Settings!$C$7))</f>
        <v/>
      </c>
      <c r="O335" s="7">
        <f>IF($X335="","",SUMIFS('Per Line'!$N$2:$N$1501,'Per Line'!$A$2:$A$1501,$B335,'Per Line'!$X$2:$X$1501,0))</f>
        <v/>
      </c>
      <c r="P335" s="7">
        <f>IF($X335="","",O335*N335)</f>
        <v/>
      </c>
      <c r="Q335">
        <f>IF($X335="","",IF(ISNUMBER(SEARCH("3&amp;12",SUBSTITUTE(J335," ",""))),Settings!$G$6,Settings!$C$6))</f>
        <v/>
      </c>
      <c r="R335" s="7">
        <f>IF($X335="","",SUMIFS('Per Line'!$N$2:$N$1501,'Per Line'!$A$2:$A$1501,$B335,'Per Line'!$X$2:$X$1501,1))</f>
        <v/>
      </c>
      <c r="S335" s="7">
        <f>IF($X335="","",R335*Q335)</f>
        <v/>
      </c>
      <c r="T335" s="7">
        <f>IF($X335="","",S335+P335)</f>
        <v/>
      </c>
      <c r="U335" s="7">
        <f>IF($X335="","",V335-T335)</f>
        <v/>
      </c>
      <c r="V335" s="7">
        <f>IF($X335="","",O335+R335)</f>
        <v/>
      </c>
      <c r="W335" s="7">
        <f>IF($X335="","",V335-T335-M335)</f>
        <v/>
      </c>
      <c r="X335" s="16">
        <f>IF(ROWS($X$2:$X335)&lt;=MAX('Per Line'!$W$2:$W$1501),MATCH(ROWS($X$2:$X335),'Per Line'!$W$2:$W$1501,0),"")</f>
        <v/>
      </c>
      <c r="Y335">
        <f>IF($X335="","",C335&amp;"|"&amp;COUNTIF($C$2:$C335,C335))</f>
        <v/>
      </c>
    </row>
    <row r="336">
      <c r="A336" s="15" t="n"/>
      <c r="B336">
        <f>IF($X336="","",INDEX('Per Line'!$A$2:$A$1501,$X336)&amp;"")</f>
        <v/>
      </c>
      <c r="C336">
        <f>IF($X336="","",IF(OR(TRIM(H336)="",TRIM(H336)="All",TRIM(H336)="All Comp"),TRIM(J336),TRIM(H336)))</f>
        <v/>
      </c>
      <c r="D336">
        <f>IF($X336="","",INDEX('Per Line'!$B$2:$B$1501,$X336)&amp;"")</f>
        <v/>
      </c>
      <c r="E336">
        <f>IF($X336="","",INDEX('Per Line'!$C$2:$C$1501,$X336)&amp;"")</f>
        <v/>
      </c>
      <c r="F336">
        <f>IF($X336="","",INDEX('Per Line'!$D$2:$D$1501,$X336)&amp;"")</f>
        <v/>
      </c>
      <c r="G336" s="15" t="n"/>
      <c r="H336" s="15" t="n"/>
      <c r="I336" s="15" t="n"/>
      <c r="J336" s="15" t="n"/>
      <c r="K336" s="14">
        <f>IF($X336="","",INDEX('Per Line'!$R$2:$R$1501,$X336))</f>
        <v/>
      </c>
      <c r="L336">
        <f>IF($X336="","",INDEX('Per Line'!$E$2:$E$1501,$X336))</f>
        <v/>
      </c>
      <c r="M336" s="7">
        <f>IF($X336="","",L336*U336/100)</f>
        <v/>
      </c>
      <c r="N336">
        <f>IF($X336="","",IF(ISNUMBER(SEARCH("3&amp;12",SUBSTITUTE(J336," ",""))),Settings!$G$7,Settings!$C$7))</f>
        <v/>
      </c>
      <c r="O336" s="7">
        <f>IF($X336="","",SUMIFS('Per Line'!$N$2:$N$1501,'Per Line'!$A$2:$A$1501,$B336,'Per Line'!$X$2:$X$1501,0))</f>
        <v/>
      </c>
      <c r="P336" s="7">
        <f>IF($X336="","",O336*N336)</f>
        <v/>
      </c>
      <c r="Q336">
        <f>IF($X336="","",IF(ISNUMBER(SEARCH("3&amp;12",SUBSTITUTE(J336," ",""))),Settings!$G$6,Settings!$C$6))</f>
        <v/>
      </c>
      <c r="R336" s="7">
        <f>IF($X336="","",SUMIFS('Per Line'!$N$2:$N$1501,'Per Line'!$A$2:$A$1501,$B336,'Per Line'!$X$2:$X$1501,1))</f>
        <v/>
      </c>
      <c r="S336" s="7">
        <f>IF($X336="","",R336*Q336)</f>
        <v/>
      </c>
      <c r="T336" s="7">
        <f>IF($X336="","",S336+P336)</f>
        <v/>
      </c>
      <c r="U336" s="7">
        <f>IF($X336="","",V336-T336)</f>
        <v/>
      </c>
      <c r="V336" s="7">
        <f>IF($X336="","",O336+R336)</f>
        <v/>
      </c>
      <c r="W336" s="7">
        <f>IF($X336="","",V336-T336-M336)</f>
        <v/>
      </c>
      <c r="X336" s="16">
        <f>IF(ROWS($X$2:$X336)&lt;=MAX('Per Line'!$W$2:$W$1501),MATCH(ROWS($X$2:$X336),'Per Line'!$W$2:$W$1501,0),"")</f>
        <v/>
      </c>
      <c r="Y336">
        <f>IF($X336="","",C336&amp;"|"&amp;COUNTIF($C$2:$C336,C336))</f>
        <v/>
      </c>
    </row>
    <row r="337">
      <c r="A337" s="15" t="n"/>
      <c r="B337">
        <f>IF($X337="","",INDEX('Per Line'!$A$2:$A$1501,$X337)&amp;"")</f>
        <v/>
      </c>
      <c r="C337">
        <f>IF($X337="","",IF(OR(TRIM(H337)="",TRIM(H337)="All",TRIM(H337)="All Comp"),TRIM(J337),TRIM(H337)))</f>
        <v/>
      </c>
      <c r="D337">
        <f>IF($X337="","",INDEX('Per Line'!$B$2:$B$1501,$X337)&amp;"")</f>
        <v/>
      </c>
      <c r="E337">
        <f>IF($X337="","",INDEX('Per Line'!$C$2:$C$1501,$X337)&amp;"")</f>
        <v/>
      </c>
      <c r="F337">
        <f>IF($X337="","",INDEX('Per Line'!$D$2:$D$1501,$X337)&amp;"")</f>
        <v/>
      </c>
      <c r="G337" s="15" t="n"/>
      <c r="H337" s="15" t="n"/>
      <c r="I337" s="15" t="n"/>
      <c r="J337" s="15" t="n"/>
      <c r="K337" s="14">
        <f>IF($X337="","",INDEX('Per Line'!$R$2:$R$1501,$X337))</f>
        <v/>
      </c>
      <c r="L337">
        <f>IF($X337="","",INDEX('Per Line'!$E$2:$E$1501,$X337))</f>
        <v/>
      </c>
      <c r="M337" s="7">
        <f>IF($X337="","",L337*U337/100)</f>
        <v/>
      </c>
      <c r="N337">
        <f>IF($X337="","",IF(ISNUMBER(SEARCH("3&amp;12",SUBSTITUTE(J337," ",""))),Settings!$G$7,Settings!$C$7))</f>
        <v/>
      </c>
      <c r="O337" s="7">
        <f>IF($X337="","",SUMIFS('Per Line'!$N$2:$N$1501,'Per Line'!$A$2:$A$1501,$B337,'Per Line'!$X$2:$X$1501,0))</f>
        <v/>
      </c>
      <c r="P337" s="7">
        <f>IF($X337="","",O337*N337)</f>
        <v/>
      </c>
      <c r="Q337">
        <f>IF($X337="","",IF(ISNUMBER(SEARCH("3&amp;12",SUBSTITUTE(J337," ",""))),Settings!$G$6,Settings!$C$6))</f>
        <v/>
      </c>
      <c r="R337" s="7">
        <f>IF($X337="","",SUMIFS('Per Line'!$N$2:$N$1501,'Per Line'!$A$2:$A$1501,$B337,'Per Line'!$X$2:$X$1501,1))</f>
        <v/>
      </c>
      <c r="S337" s="7">
        <f>IF($X337="","",R337*Q337)</f>
        <v/>
      </c>
      <c r="T337" s="7">
        <f>IF($X337="","",S337+P337)</f>
        <v/>
      </c>
      <c r="U337" s="7">
        <f>IF($X337="","",V337-T337)</f>
        <v/>
      </c>
      <c r="V337" s="7">
        <f>IF($X337="","",O337+R337)</f>
        <v/>
      </c>
      <c r="W337" s="7">
        <f>IF($X337="","",V337-T337-M337)</f>
        <v/>
      </c>
      <c r="X337" s="16">
        <f>IF(ROWS($X$2:$X337)&lt;=MAX('Per Line'!$W$2:$W$1501),MATCH(ROWS($X$2:$X337),'Per Line'!$W$2:$W$1501,0),"")</f>
        <v/>
      </c>
      <c r="Y337">
        <f>IF($X337="","",C337&amp;"|"&amp;COUNTIF($C$2:$C337,C337))</f>
        <v/>
      </c>
    </row>
    <row r="338">
      <c r="A338" s="15" t="n"/>
      <c r="B338">
        <f>IF($X338="","",INDEX('Per Line'!$A$2:$A$1501,$X338)&amp;"")</f>
        <v/>
      </c>
      <c r="C338">
        <f>IF($X338="","",IF(OR(TRIM(H338)="",TRIM(H338)="All",TRIM(H338)="All Comp"),TRIM(J338),TRIM(H338)))</f>
        <v/>
      </c>
      <c r="D338">
        <f>IF($X338="","",INDEX('Per Line'!$B$2:$B$1501,$X338)&amp;"")</f>
        <v/>
      </c>
      <c r="E338">
        <f>IF($X338="","",INDEX('Per Line'!$C$2:$C$1501,$X338)&amp;"")</f>
        <v/>
      </c>
      <c r="F338">
        <f>IF($X338="","",INDEX('Per Line'!$D$2:$D$1501,$X338)&amp;"")</f>
        <v/>
      </c>
      <c r="G338" s="15" t="n"/>
      <c r="H338" s="15" t="n"/>
      <c r="I338" s="15" t="n"/>
      <c r="J338" s="15" t="n"/>
      <c r="K338" s="14">
        <f>IF($X338="","",INDEX('Per Line'!$R$2:$R$1501,$X338))</f>
        <v/>
      </c>
      <c r="L338">
        <f>IF($X338="","",INDEX('Per Line'!$E$2:$E$1501,$X338))</f>
        <v/>
      </c>
      <c r="M338" s="7">
        <f>IF($X338="","",L338*U338/100)</f>
        <v/>
      </c>
      <c r="N338">
        <f>IF($X338="","",IF(ISNUMBER(SEARCH("3&amp;12",SUBSTITUTE(J338," ",""))),Settings!$G$7,Settings!$C$7))</f>
        <v/>
      </c>
      <c r="O338" s="7">
        <f>IF($X338="","",SUMIFS('Per Line'!$N$2:$N$1501,'Per Line'!$A$2:$A$1501,$B338,'Per Line'!$X$2:$X$1501,0))</f>
        <v/>
      </c>
      <c r="P338" s="7">
        <f>IF($X338="","",O338*N338)</f>
        <v/>
      </c>
      <c r="Q338">
        <f>IF($X338="","",IF(ISNUMBER(SEARCH("3&amp;12",SUBSTITUTE(J338," ",""))),Settings!$G$6,Settings!$C$6))</f>
        <v/>
      </c>
      <c r="R338" s="7">
        <f>IF($X338="","",SUMIFS('Per Line'!$N$2:$N$1501,'Per Line'!$A$2:$A$1501,$B338,'Per Line'!$X$2:$X$1501,1))</f>
        <v/>
      </c>
      <c r="S338" s="7">
        <f>IF($X338="","",R338*Q338)</f>
        <v/>
      </c>
      <c r="T338" s="7">
        <f>IF($X338="","",S338+P338)</f>
        <v/>
      </c>
      <c r="U338" s="7">
        <f>IF($X338="","",V338-T338)</f>
        <v/>
      </c>
      <c r="V338" s="7">
        <f>IF($X338="","",O338+R338)</f>
        <v/>
      </c>
      <c r="W338" s="7">
        <f>IF($X338="","",V338-T338-M338)</f>
        <v/>
      </c>
      <c r="X338" s="16">
        <f>IF(ROWS($X$2:$X338)&lt;=MAX('Per Line'!$W$2:$W$1501),MATCH(ROWS($X$2:$X338),'Per Line'!$W$2:$W$1501,0),"")</f>
        <v/>
      </c>
      <c r="Y338">
        <f>IF($X338="","",C338&amp;"|"&amp;COUNTIF($C$2:$C338,C338))</f>
        <v/>
      </c>
    </row>
    <row r="339">
      <c r="A339" s="15" t="n"/>
      <c r="B339">
        <f>IF($X339="","",INDEX('Per Line'!$A$2:$A$1501,$X339)&amp;"")</f>
        <v/>
      </c>
      <c r="C339">
        <f>IF($X339="","",IF(OR(TRIM(H339)="",TRIM(H339)="All",TRIM(H339)="All Comp"),TRIM(J339),TRIM(H339)))</f>
        <v/>
      </c>
      <c r="D339">
        <f>IF($X339="","",INDEX('Per Line'!$B$2:$B$1501,$X339)&amp;"")</f>
        <v/>
      </c>
      <c r="E339">
        <f>IF($X339="","",INDEX('Per Line'!$C$2:$C$1501,$X339)&amp;"")</f>
        <v/>
      </c>
      <c r="F339">
        <f>IF($X339="","",INDEX('Per Line'!$D$2:$D$1501,$X339)&amp;"")</f>
        <v/>
      </c>
      <c r="G339" s="15" t="n"/>
      <c r="H339" s="15" t="n"/>
      <c r="I339" s="15" t="n"/>
      <c r="J339" s="15" t="n"/>
      <c r="K339" s="14">
        <f>IF($X339="","",INDEX('Per Line'!$R$2:$R$1501,$X339))</f>
        <v/>
      </c>
      <c r="L339">
        <f>IF($X339="","",INDEX('Per Line'!$E$2:$E$1501,$X339))</f>
        <v/>
      </c>
      <c r="M339" s="7">
        <f>IF($X339="","",L339*U339/100)</f>
        <v/>
      </c>
      <c r="N339">
        <f>IF($X339="","",IF(ISNUMBER(SEARCH("3&amp;12",SUBSTITUTE(J339," ",""))),Settings!$G$7,Settings!$C$7))</f>
        <v/>
      </c>
      <c r="O339" s="7">
        <f>IF($X339="","",SUMIFS('Per Line'!$N$2:$N$1501,'Per Line'!$A$2:$A$1501,$B339,'Per Line'!$X$2:$X$1501,0))</f>
        <v/>
      </c>
      <c r="P339" s="7">
        <f>IF($X339="","",O339*N339)</f>
        <v/>
      </c>
      <c r="Q339">
        <f>IF($X339="","",IF(ISNUMBER(SEARCH("3&amp;12",SUBSTITUTE(J339," ",""))),Settings!$G$6,Settings!$C$6))</f>
        <v/>
      </c>
      <c r="R339" s="7">
        <f>IF($X339="","",SUMIFS('Per Line'!$N$2:$N$1501,'Per Line'!$A$2:$A$1501,$B339,'Per Line'!$X$2:$X$1501,1))</f>
        <v/>
      </c>
      <c r="S339" s="7">
        <f>IF($X339="","",R339*Q339)</f>
        <v/>
      </c>
      <c r="T339" s="7">
        <f>IF($X339="","",S339+P339)</f>
        <v/>
      </c>
      <c r="U339" s="7">
        <f>IF($X339="","",V339-T339)</f>
        <v/>
      </c>
      <c r="V339" s="7">
        <f>IF($X339="","",O339+R339)</f>
        <v/>
      </c>
      <c r="W339" s="7">
        <f>IF($X339="","",V339-T339-M339)</f>
        <v/>
      </c>
      <c r="X339" s="16">
        <f>IF(ROWS($X$2:$X339)&lt;=MAX('Per Line'!$W$2:$W$1501),MATCH(ROWS($X$2:$X339),'Per Line'!$W$2:$W$1501,0),"")</f>
        <v/>
      </c>
      <c r="Y339">
        <f>IF($X339="","",C339&amp;"|"&amp;COUNTIF($C$2:$C339,C339))</f>
        <v/>
      </c>
    </row>
    <row r="340">
      <c r="A340" s="15" t="n"/>
      <c r="B340">
        <f>IF($X340="","",INDEX('Per Line'!$A$2:$A$1501,$X340)&amp;"")</f>
        <v/>
      </c>
      <c r="C340">
        <f>IF($X340="","",IF(OR(TRIM(H340)="",TRIM(H340)="All",TRIM(H340)="All Comp"),TRIM(J340),TRIM(H340)))</f>
        <v/>
      </c>
      <c r="D340">
        <f>IF($X340="","",INDEX('Per Line'!$B$2:$B$1501,$X340)&amp;"")</f>
        <v/>
      </c>
      <c r="E340">
        <f>IF($X340="","",INDEX('Per Line'!$C$2:$C$1501,$X340)&amp;"")</f>
        <v/>
      </c>
      <c r="F340">
        <f>IF($X340="","",INDEX('Per Line'!$D$2:$D$1501,$X340)&amp;"")</f>
        <v/>
      </c>
      <c r="G340" s="15" t="n"/>
      <c r="H340" s="15" t="n"/>
      <c r="I340" s="15" t="n"/>
      <c r="J340" s="15" t="n"/>
      <c r="K340" s="14">
        <f>IF($X340="","",INDEX('Per Line'!$R$2:$R$1501,$X340))</f>
        <v/>
      </c>
      <c r="L340">
        <f>IF($X340="","",INDEX('Per Line'!$E$2:$E$1501,$X340))</f>
        <v/>
      </c>
      <c r="M340" s="7">
        <f>IF($X340="","",L340*U340/100)</f>
        <v/>
      </c>
      <c r="N340">
        <f>IF($X340="","",IF(ISNUMBER(SEARCH("3&amp;12",SUBSTITUTE(J340," ",""))),Settings!$G$7,Settings!$C$7))</f>
        <v/>
      </c>
      <c r="O340" s="7">
        <f>IF($X340="","",SUMIFS('Per Line'!$N$2:$N$1501,'Per Line'!$A$2:$A$1501,$B340,'Per Line'!$X$2:$X$1501,0))</f>
        <v/>
      </c>
      <c r="P340" s="7">
        <f>IF($X340="","",O340*N340)</f>
        <v/>
      </c>
      <c r="Q340">
        <f>IF($X340="","",IF(ISNUMBER(SEARCH("3&amp;12",SUBSTITUTE(J340," ",""))),Settings!$G$6,Settings!$C$6))</f>
        <v/>
      </c>
      <c r="R340" s="7">
        <f>IF($X340="","",SUMIFS('Per Line'!$N$2:$N$1501,'Per Line'!$A$2:$A$1501,$B340,'Per Line'!$X$2:$X$1501,1))</f>
        <v/>
      </c>
      <c r="S340" s="7">
        <f>IF($X340="","",R340*Q340)</f>
        <v/>
      </c>
      <c r="T340" s="7">
        <f>IF($X340="","",S340+P340)</f>
        <v/>
      </c>
      <c r="U340" s="7">
        <f>IF($X340="","",V340-T340)</f>
        <v/>
      </c>
      <c r="V340" s="7">
        <f>IF($X340="","",O340+R340)</f>
        <v/>
      </c>
      <c r="W340" s="7">
        <f>IF($X340="","",V340-T340-M340)</f>
        <v/>
      </c>
      <c r="X340" s="16">
        <f>IF(ROWS($X$2:$X340)&lt;=MAX('Per Line'!$W$2:$W$1501),MATCH(ROWS($X$2:$X340),'Per Line'!$W$2:$W$1501,0),"")</f>
        <v/>
      </c>
      <c r="Y340">
        <f>IF($X340="","",C340&amp;"|"&amp;COUNTIF($C$2:$C340,C340))</f>
        <v/>
      </c>
    </row>
    <row r="341">
      <c r="A341" s="15" t="n"/>
      <c r="B341">
        <f>IF($X341="","",INDEX('Per Line'!$A$2:$A$1501,$X341)&amp;"")</f>
        <v/>
      </c>
      <c r="C341">
        <f>IF($X341="","",IF(OR(TRIM(H341)="",TRIM(H341)="All",TRIM(H341)="All Comp"),TRIM(J341),TRIM(H341)))</f>
        <v/>
      </c>
      <c r="D341">
        <f>IF($X341="","",INDEX('Per Line'!$B$2:$B$1501,$X341)&amp;"")</f>
        <v/>
      </c>
      <c r="E341">
        <f>IF($X341="","",INDEX('Per Line'!$C$2:$C$1501,$X341)&amp;"")</f>
        <v/>
      </c>
      <c r="F341">
        <f>IF($X341="","",INDEX('Per Line'!$D$2:$D$1501,$X341)&amp;"")</f>
        <v/>
      </c>
      <c r="G341" s="15" t="n"/>
      <c r="H341" s="15" t="n"/>
      <c r="I341" s="15" t="n"/>
      <c r="J341" s="15" t="n"/>
      <c r="K341" s="14">
        <f>IF($X341="","",INDEX('Per Line'!$R$2:$R$1501,$X341))</f>
        <v/>
      </c>
      <c r="L341">
        <f>IF($X341="","",INDEX('Per Line'!$E$2:$E$1501,$X341))</f>
        <v/>
      </c>
      <c r="M341" s="7">
        <f>IF($X341="","",L341*U341/100)</f>
        <v/>
      </c>
      <c r="N341">
        <f>IF($X341="","",IF(ISNUMBER(SEARCH("3&amp;12",SUBSTITUTE(J341," ",""))),Settings!$G$7,Settings!$C$7))</f>
        <v/>
      </c>
      <c r="O341" s="7">
        <f>IF($X341="","",SUMIFS('Per Line'!$N$2:$N$1501,'Per Line'!$A$2:$A$1501,$B341,'Per Line'!$X$2:$X$1501,0))</f>
        <v/>
      </c>
      <c r="P341" s="7">
        <f>IF($X341="","",O341*N341)</f>
        <v/>
      </c>
      <c r="Q341">
        <f>IF($X341="","",IF(ISNUMBER(SEARCH("3&amp;12",SUBSTITUTE(J341," ",""))),Settings!$G$6,Settings!$C$6))</f>
        <v/>
      </c>
      <c r="R341" s="7">
        <f>IF($X341="","",SUMIFS('Per Line'!$N$2:$N$1501,'Per Line'!$A$2:$A$1501,$B341,'Per Line'!$X$2:$X$1501,1))</f>
        <v/>
      </c>
      <c r="S341" s="7">
        <f>IF($X341="","",R341*Q341)</f>
        <v/>
      </c>
      <c r="T341" s="7">
        <f>IF($X341="","",S341+P341)</f>
        <v/>
      </c>
      <c r="U341" s="7">
        <f>IF($X341="","",V341-T341)</f>
        <v/>
      </c>
      <c r="V341" s="7">
        <f>IF($X341="","",O341+R341)</f>
        <v/>
      </c>
      <c r="W341" s="7">
        <f>IF($X341="","",V341-T341-M341)</f>
        <v/>
      </c>
      <c r="X341" s="16">
        <f>IF(ROWS($X$2:$X341)&lt;=MAX('Per Line'!$W$2:$W$1501),MATCH(ROWS($X$2:$X341),'Per Line'!$W$2:$W$1501,0),"")</f>
        <v/>
      </c>
      <c r="Y341">
        <f>IF($X341="","",C341&amp;"|"&amp;COUNTIF($C$2:$C341,C341))</f>
        <v/>
      </c>
    </row>
    <row r="342">
      <c r="A342" s="15" t="n"/>
      <c r="B342">
        <f>IF($X342="","",INDEX('Per Line'!$A$2:$A$1501,$X342)&amp;"")</f>
        <v/>
      </c>
      <c r="C342">
        <f>IF($X342="","",IF(OR(TRIM(H342)="",TRIM(H342)="All",TRIM(H342)="All Comp"),TRIM(J342),TRIM(H342)))</f>
        <v/>
      </c>
      <c r="D342">
        <f>IF($X342="","",INDEX('Per Line'!$B$2:$B$1501,$X342)&amp;"")</f>
        <v/>
      </c>
      <c r="E342">
        <f>IF($X342="","",INDEX('Per Line'!$C$2:$C$1501,$X342)&amp;"")</f>
        <v/>
      </c>
      <c r="F342">
        <f>IF($X342="","",INDEX('Per Line'!$D$2:$D$1501,$X342)&amp;"")</f>
        <v/>
      </c>
      <c r="G342" s="15" t="n"/>
      <c r="H342" s="15" t="n"/>
      <c r="I342" s="15" t="n"/>
      <c r="J342" s="15" t="n"/>
      <c r="K342" s="14">
        <f>IF($X342="","",INDEX('Per Line'!$R$2:$R$1501,$X342))</f>
        <v/>
      </c>
      <c r="L342">
        <f>IF($X342="","",INDEX('Per Line'!$E$2:$E$1501,$X342))</f>
        <v/>
      </c>
      <c r="M342" s="7">
        <f>IF($X342="","",L342*U342/100)</f>
        <v/>
      </c>
      <c r="N342">
        <f>IF($X342="","",IF(ISNUMBER(SEARCH("3&amp;12",SUBSTITUTE(J342," ",""))),Settings!$G$7,Settings!$C$7))</f>
        <v/>
      </c>
      <c r="O342" s="7">
        <f>IF($X342="","",SUMIFS('Per Line'!$N$2:$N$1501,'Per Line'!$A$2:$A$1501,$B342,'Per Line'!$X$2:$X$1501,0))</f>
        <v/>
      </c>
      <c r="P342" s="7">
        <f>IF($X342="","",O342*N342)</f>
        <v/>
      </c>
      <c r="Q342">
        <f>IF($X342="","",IF(ISNUMBER(SEARCH("3&amp;12",SUBSTITUTE(J342," ",""))),Settings!$G$6,Settings!$C$6))</f>
        <v/>
      </c>
      <c r="R342" s="7">
        <f>IF($X342="","",SUMIFS('Per Line'!$N$2:$N$1501,'Per Line'!$A$2:$A$1501,$B342,'Per Line'!$X$2:$X$1501,1))</f>
        <v/>
      </c>
      <c r="S342" s="7">
        <f>IF($X342="","",R342*Q342)</f>
        <v/>
      </c>
      <c r="T342" s="7">
        <f>IF($X342="","",S342+P342)</f>
        <v/>
      </c>
      <c r="U342" s="7">
        <f>IF($X342="","",V342-T342)</f>
        <v/>
      </c>
      <c r="V342" s="7">
        <f>IF($X342="","",O342+R342)</f>
        <v/>
      </c>
      <c r="W342" s="7">
        <f>IF($X342="","",V342-T342-M342)</f>
        <v/>
      </c>
      <c r="X342" s="16">
        <f>IF(ROWS($X$2:$X342)&lt;=MAX('Per Line'!$W$2:$W$1501),MATCH(ROWS($X$2:$X342),'Per Line'!$W$2:$W$1501,0),"")</f>
        <v/>
      </c>
      <c r="Y342">
        <f>IF($X342="","",C342&amp;"|"&amp;COUNTIF($C$2:$C342,C342))</f>
        <v/>
      </c>
    </row>
    <row r="343">
      <c r="A343" s="15" t="n"/>
      <c r="B343">
        <f>IF($X343="","",INDEX('Per Line'!$A$2:$A$1501,$X343)&amp;"")</f>
        <v/>
      </c>
      <c r="C343">
        <f>IF($X343="","",IF(OR(TRIM(H343)="",TRIM(H343)="All",TRIM(H343)="All Comp"),TRIM(J343),TRIM(H343)))</f>
        <v/>
      </c>
      <c r="D343">
        <f>IF($X343="","",INDEX('Per Line'!$B$2:$B$1501,$X343)&amp;"")</f>
        <v/>
      </c>
      <c r="E343">
        <f>IF($X343="","",INDEX('Per Line'!$C$2:$C$1501,$X343)&amp;"")</f>
        <v/>
      </c>
      <c r="F343">
        <f>IF($X343="","",INDEX('Per Line'!$D$2:$D$1501,$X343)&amp;"")</f>
        <v/>
      </c>
      <c r="G343" s="15" t="n"/>
      <c r="H343" s="15" t="n"/>
      <c r="I343" s="15" t="n"/>
      <c r="J343" s="15" t="n"/>
      <c r="K343" s="14">
        <f>IF($X343="","",INDEX('Per Line'!$R$2:$R$1501,$X343))</f>
        <v/>
      </c>
      <c r="L343">
        <f>IF($X343="","",INDEX('Per Line'!$E$2:$E$1501,$X343))</f>
        <v/>
      </c>
      <c r="M343" s="7">
        <f>IF($X343="","",L343*U343/100)</f>
        <v/>
      </c>
      <c r="N343">
        <f>IF($X343="","",IF(ISNUMBER(SEARCH("3&amp;12",SUBSTITUTE(J343," ",""))),Settings!$G$7,Settings!$C$7))</f>
        <v/>
      </c>
      <c r="O343" s="7">
        <f>IF($X343="","",SUMIFS('Per Line'!$N$2:$N$1501,'Per Line'!$A$2:$A$1501,$B343,'Per Line'!$X$2:$X$1501,0))</f>
        <v/>
      </c>
      <c r="P343" s="7">
        <f>IF($X343="","",O343*N343)</f>
        <v/>
      </c>
      <c r="Q343">
        <f>IF($X343="","",IF(ISNUMBER(SEARCH("3&amp;12",SUBSTITUTE(J343," ",""))),Settings!$G$6,Settings!$C$6))</f>
        <v/>
      </c>
      <c r="R343" s="7">
        <f>IF($X343="","",SUMIFS('Per Line'!$N$2:$N$1501,'Per Line'!$A$2:$A$1501,$B343,'Per Line'!$X$2:$X$1501,1))</f>
        <v/>
      </c>
      <c r="S343" s="7">
        <f>IF($X343="","",R343*Q343)</f>
        <v/>
      </c>
      <c r="T343" s="7">
        <f>IF($X343="","",S343+P343)</f>
        <v/>
      </c>
      <c r="U343" s="7">
        <f>IF($X343="","",V343-T343)</f>
        <v/>
      </c>
      <c r="V343" s="7">
        <f>IF($X343="","",O343+R343)</f>
        <v/>
      </c>
      <c r="W343" s="7">
        <f>IF($X343="","",V343-T343-M343)</f>
        <v/>
      </c>
      <c r="X343" s="16">
        <f>IF(ROWS($X$2:$X343)&lt;=MAX('Per Line'!$W$2:$W$1501),MATCH(ROWS($X$2:$X343),'Per Line'!$W$2:$W$1501,0),"")</f>
        <v/>
      </c>
      <c r="Y343">
        <f>IF($X343="","",C343&amp;"|"&amp;COUNTIF($C$2:$C343,C343))</f>
        <v/>
      </c>
    </row>
    <row r="344">
      <c r="A344" s="15" t="n"/>
      <c r="B344">
        <f>IF($X344="","",INDEX('Per Line'!$A$2:$A$1501,$X344)&amp;"")</f>
        <v/>
      </c>
      <c r="C344">
        <f>IF($X344="","",IF(OR(TRIM(H344)="",TRIM(H344)="All",TRIM(H344)="All Comp"),TRIM(J344),TRIM(H344)))</f>
        <v/>
      </c>
      <c r="D344">
        <f>IF($X344="","",INDEX('Per Line'!$B$2:$B$1501,$X344)&amp;"")</f>
        <v/>
      </c>
      <c r="E344">
        <f>IF($X344="","",INDEX('Per Line'!$C$2:$C$1501,$X344)&amp;"")</f>
        <v/>
      </c>
      <c r="F344">
        <f>IF($X344="","",INDEX('Per Line'!$D$2:$D$1501,$X344)&amp;"")</f>
        <v/>
      </c>
      <c r="G344" s="15" t="n"/>
      <c r="H344" s="15" t="n"/>
      <c r="I344" s="15" t="n"/>
      <c r="J344" s="15" t="n"/>
      <c r="K344" s="14">
        <f>IF($X344="","",INDEX('Per Line'!$R$2:$R$1501,$X344))</f>
        <v/>
      </c>
      <c r="L344">
        <f>IF($X344="","",INDEX('Per Line'!$E$2:$E$1501,$X344))</f>
        <v/>
      </c>
      <c r="M344" s="7">
        <f>IF($X344="","",L344*U344/100)</f>
        <v/>
      </c>
      <c r="N344">
        <f>IF($X344="","",IF(ISNUMBER(SEARCH("3&amp;12",SUBSTITUTE(J344," ",""))),Settings!$G$7,Settings!$C$7))</f>
        <v/>
      </c>
      <c r="O344" s="7">
        <f>IF($X344="","",SUMIFS('Per Line'!$N$2:$N$1501,'Per Line'!$A$2:$A$1501,$B344,'Per Line'!$X$2:$X$1501,0))</f>
        <v/>
      </c>
      <c r="P344" s="7">
        <f>IF($X344="","",O344*N344)</f>
        <v/>
      </c>
      <c r="Q344">
        <f>IF($X344="","",IF(ISNUMBER(SEARCH("3&amp;12",SUBSTITUTE(J344," ",""))),Settings!$G$6,Settings!$C$6))</f>
        <v/>
      </c>
      <c r="R344" s="7">
        <f>IF($X344="","",SUMIFS('Per Line'!$N$2:$N$1501,'Per Line'!$A$2:$A$1501,$B344,'Per Line'!$X$2:$X$1501,1))</f>
        <v/>
      </c>
      <c r="S344" s="7">
        <f>IF($X344="","",R344*Q344)</f>
        <v/>
      </c>
      <c r="T344" s="7">
        <f>IF($X344="","",S344+P344)</f>
        <v/>
      </c>
      <c r="U344" s="7">
        <f>IF($X344="","",V344-T344)</f>
        <v/>
      </c>
      <c r="V344" s="7">
        <f>IF($X344="","",O344+R344)</f>
        <v/>
      </c>
      <c r="W344" s="7">
        <f>IF($X344="","",V344-T344-M344)</f>
        <v/>
      </c>
      <c r="X344" s="16">
        <f>IF(ROWS($X$2:$X344)&lt;=MAX('Per Line'!$W$2:$W$1501),MATCH(ROWS($X$2:$X344),'Per Line'!$W$2:$W$1501,0),"")</f>
        <v/>
      </c>
      <c r="Y344">
        <f>IF($X344="","",C344&amp;"|"&amp;COUNTIF($C$2:$C344,C344))</f>
        <v/>
      </c>
    </row>
    <row r="345">
      <c r="A345" s="15" t="n"/>
      <c r="B345">
        <f>IF($X345="","",INDEX('Per Line'!$A$2:$A$1501,$X345)&amp;"")</f>
        <v/>
      </c>
      <c r="C345">
        <f>IF($X345="","",IF(OR(TRIM(H345)="",TRIM(H345)="All",TRIM(H345)="All Comp"),TRIM(J345),TRIM(H345)))</f>
        <v/>
      </c>
      <c r="D345">
        <f>IF($X345="","",INDEX('Per Line'!$B$2:$B$1501,$X345)&amp;"")</f>
        <v/>
      </c>
      <c r="E345">
        <f>IF($X345="","",INDEX('Per Line'!$C$2:$C$1501,$X345)&amp;"")</f>
        <v/>
      </c>
      <c r="F345">
        <f>IF($X345="","",INDEX('Per Line'!$D$2:$D$1501,$X345)&amp;"")</f>
        <v/>
      </c>
      <c r="G345" s="15" t="n"/>
      <c r="H345" s="15" t="n"/>
      <c r="I345" s="15" t="n"/>
      <c r="J345" s="15" t="n"/>
      <c r="K345" s="14">
        <f>IF($X345="","",INDEX('Per Line'!$R$2:$R$1501,$X345))</f>
        <v/>
      </c>
      <c r="L345">
        <f>IF($X345="","",INDEX('Per Line'!$E$2:$E$1501,$X345))</f>
        <v/>
      </c>
      <c r="M345" s="7">
        <f>IF($X345="","",L345*U345/100)</f>
        <v/>
      </c>
      <c r="N345">
        <f>IF($X345="","",IF(ISNUMBER(SEARCH("3&amp;12",SUBSTITUTE(J345," ",""))),Settings!$G$7,Settings!$C$7))</f>
        <v/>
      </c>
      <c r="O345" s="7">
        <f>IF($X345="","",SUMIFS('Per Line'!$N$2:$N$1501,'Per Line'!$A$2:$A$1501,$B345,'Per Line'!$X$2:$X$1501,0))</f>
        <v/>
      </c>
      <c r="P345" s="7">
        <f>IF($X345="","",O345*N345)</f>
        <v/>
      </c>
      <c r="Q345">
        <f>IF($X345="","",IF(ISNUMBER(SEARCH("3&amp;12",SUBSTITUTE(J345," ",""))),Settings!$G$6,Settings!$C$6))</f>
        <v/>
      </c>
      <c r="R345" s="7">
        <f>IF($X345="","",SUMIFS('Per Line'!$N$2:$N$1501,'Per Line'!$A$2:$A$1501,$B345,'Per Line'!$X$2:$X$1501,1))</f>
        <v/>
      </c>
      <c r="S345" s="7">
        <f>IF($X345="","",R345*Q345)</f>
        <v/>
      </c>
      <c r="T345" s="7">
        <f>IF($X345="","",S345+P345)</f>
        <v/>
      </c>
      <c r="U345" s="7">
        <f>IF($X345="","",V345-T345)</f>
        <v/>
      </c>
      <c r="V345" s="7">
        <f>IF($X345="","",O345+R345)</f>
        <v/>
      </c>
      <c r="W345" s="7">
        <f>IF($X345="","",V345-T345-M345)</f>
        <v/>
      </c>
      <c r="X345" s="16">
        <f>IF(ROWS($X$2:$X345)&lt;=MAX('Per Line'!$W$2:$W$1501),MATCH(ROWS($X$2:$X345),'Per Line'!$W$2:$W$1501,0),"")</f>
        <v/>
      </c>
      <c r="Y345">
        <f>IF($X345="","",C345&amp;"|"&amp;COUNTIF($C$2:$C345,C345))</f>
        <v/>
      </c>
    </row>
    <row r="346">
      <c r="A346" s="15" t="n"/>
      <c r="B346">
        <f>IF($X346="","",INDEX('Per Line'!$A$2:$A$1501,$X346)&amp;"")</f>
        <v/>
      </c>
      <c r="C346">
        <f>IF($X346="","",IF(OR(TRIM(H346)="",TRIM(H346)="All",TRIM(H346)="All Comp"),TRIM(J346),TRIM(H346)))</f>
        <v/>
      </c>
      <c r="D346">
        <f>IF($X346="","",INDEX('Per Line'!$B$2:$B$1501,$X346)&amp;"")</f>
        <v/>
      </c>
      <c r="E346">
        <f>IF($X346="","",INDEX('Per Line'!$C$2:$C$1501,$X346)&amp;"")</f>
        <v/>
      </c>
      <c r="F346">
        <f>IF($X346="","",INDEX('Per Line'!$D$2:$D$1501,$X346)&amp;"")</f>
        <v/>
      </c>
      <c r="G346" s="15" t="n"/>
      <c r="H346" s="15" t="n"/>
      <c r="I346" s="15" t="n"/>
      <c r="J346" s="15" t="n"/>
      <c r="K346" s="14">
        <f>IF($X346="","",INDEX('Per Line'!$R$2:$R$1501,$X346))</f>
        <v/>
      </c>
      <c r="L346">
        <f>IF($X346="","",INDEX('Per Line'!$E$2:$E$1501,$X346))</f>
        <v/>
      </c>
      <c r="M346" s="7">
        <f>IF($X346="","",L346*U346/100)</f>
        <v/>
      </c>
      <c r="N346">
        <f>IF($X346="","",IF(ISNUMBER(SEARCH("3&amp;12",SUBSTITUTE(J346," ",""))),Settings!$G$7,Settings!$C$7))</f>
        <v/>
      </c>
      <c r="O346" s="7">
        <f>IF($X346="","",SUMIFS('Per Line'!$N$2:$N$1501,'Per Line'!$A$2:$A$1501,$B346,'Per Line'!$X$2:$X$1501,0))</f>
        <v/>
      </c>
      <c r="P346" s="7">
        <f>IF($X346="","",O346*N346)</f>
        <v/>
      </c>
      <c r="Q346">
        <f>IF($X346="","",IF(ISNUMBER(SEARCH("3&amp;12",SUBSTITUTE(J346," ",""))),Settings!$G$6,Settings!$C$6))</f>
        <v/>
      </c>
      <c r="R346" s="7">
        <f>IF($X346="","",SUMIFS('Per Line'!$N$2:$N$1501,'Per Line'!$A$2:$A$1501,$B346,'Per Line'!$X$2:$X$1501,1))</f>
        <v/>
      </c>
      <c r="S346" s="7">
        <f>IF($X346="","",R346*Q346)</f>
        <v/>
      </c>
      <c r="T346" s="7">
        <f>IF($X346="","",S346+P346)</f>
        <v/>
      </c>
      <c r="U346" s="7">
        <f>IF($X346="","",V346-T346)</f>
        <v/>
      </c>
      <c r="V346" s="7">
        <f>IF($X346="","",O346+R346)</f>
        <v/>
      </c>
      <c r="W346" s="7">
        <f>IF($X346="","",V346-T346-M346)</f>
        <v/>
      </c>
      <c r="X346" s="16">
        <f>IF(ROWS($X$2:$X346)&lt;=MAX('Per Line'!$W$2:$W$1501),MATCH(ROWS($X$2:$X346),'Per Line'!$W$2:$W$1501,0),"")</f>
        <v/>
      </c>
      <c r="Y346">
        <f>IF($X346="","",C346&amp;"|"&amp;COUNTIF($C$2:$C346,C346))</f>
        <v/>
      </c>
    </row>
    <row r="347">
      <c r="A347" s="15" t="n"/>
      <c r="B347">
        <f>IF($X347="","",INDEX('Per Line'!$A$2:$A$1501,$X347)&amp;"")</f>
        <v/>
      </c>
      <c r="C347">
        <f>IF($X347="","",IF(OR(TRIM(H347)="",TRIM(H347)="All",TRIM(H347)="All Comp"),TRIM(J347),TRIM(H347)))</f>
        <v/>
      </c>
      <c r="D347">
        <f>IF($X347="","",INDEX('Per Line'!$B$2:$B$1501,$X347)&amp;"")</f>
        <v/>
      </c>
      <c r="E347">
        <f>IF($X347="","",INDEX('Per Line'!$C$2:$C$1501,$X347)&amp;"")</f>
        <v/>
      </c>
      <c r="F347">
        <f>IF($X347="","",INDEX('Per Line'!$D$2:$D$1501,$X347)&amp;"")</f>
        <v/>
      </c>
      <c r="G347" s="15" t="n"/>
      <c r="H347" s="15" t="n"/>
      <c r="I347" s="15" t="n"/>
      <c r="J347" s="15" t="n"/>
      <c r="K347" s="14">
        <f>IF($X347="","",INDEX('Per Line'!$R$2:$R$1501,$X347))</f>
        <v/>
      </c>
      <c r="L347">
        <f>IF($X347="","",INDEX('Per Line'!$E$2:$E$1501,$X347))</f>
        <v/>
      </c>
      <c r="M347" s="7">
        <f>IF($X347="","",L347*U347/100)</f>
        <v/>
      </c>
      <c r="N347">
        <f>IF($X347="","",IF(ISNUMBER(SEARCH("3&amp;12",SUBSTITUTE(J347," ",""))),Settings!$G$7,Settings!$C$7))</f>
        <v/>
      </c>
      <c r="O347" s="7">
        <f>IF($X347="","",SUMIFS('Per Line'!$N$2:$N$1501,'Per Line'!$A$2:$A$1501,$B347,'Per Line'!$X$2:$X$1501,0))</f>
        <v/>
      </c>
      <c r="P347" s="7">
        <f>IF($X347="","",O347*N347)</f>
        <v/>
      </c>
      <c r="Q347">
        <f>IF($X347="","",IF(ISNUMBER(SEARCH("3&amp;12",SUBSTITUTE(J347," ",""))),Settings!$G$6,Settings!$C$6))</f>
        <v/>
      </c>
      <c r="R347" s="7">
        <f>IF($X347="","",SUMIFS('Per Line'!$N$2:$N$1501,'Per Line'!$A$2:$A$1501,$B347,'Per Line'!$X$2:$X$1501,1))</f>
        <v/>
      </c>
      <c r="S347" s="7">
        <f>IF($X347="","",R347*Q347)</f>
        <v/>
      </c>
      <c r="T347" s="7">
        <f>IF($X347="","",S347+P347)</f>
        <v/>
      </c>
      <c r="U347" s="7">
        <f>IF($X347="","",V347-T347)</f>
        <v/>
      </c>
      <c r="V347" s="7">
        <f>IF($X347="","",O347+R347)</f>
        <v/>
      </c>
      <c r="W347" s="7">
        <f>IF($X347="","",V347-T347-M347)</f>
        <v/>
      </c>
      <c r="X347" s="16">
        <f>IF(ROWS($X$2:$X347)&lt;=MAX('Per Line'!$W$2:$W$1501),MATCH(ROWS($X$2:$X347),'Per Line'!$W$2:$W$1501,0),"")</f>
        <v/>
      </c>
      <c r="Y347">
        <f>IF($X347="","",C347&amp;"|"&amp;COUNTIF($C$2:$C347,C347))</f>
        <v/>
      </c>
    </row>
    <row r="348">
      <c r="A348" s="15" t="n"/>
      <c r="B348">
        <f>IF($X348="","",INDEX('Per Line'!$A$2:$A$1501,$X348)&amp;"")</f>
        <v/>
      </c>
      <c r="C348">
        <f>IF($X348="","",IF(OR(TRIM(H348)="",TRIM(H348)="All",TRIM(H348)="All Comp"),TRIM(J348),TRIM(H348)))</f>
        <v/>
      </c>
      <c r="D348">
        <f>IF($X348="","",INDEX('Per Line'!$B$2:$B$1501,$X348)&amp;"")</f>
        <v/>
      </c>
      <c r="E348">
        <f>IF($X348="","",INDEX('Per Line'!$C$2:$C$1501,$X348)&amp;"")</f>
        <v/>
      </c>
      <c r="F348">
        <f>IF($X348="","",INDEX('Per Line'!$D$2:$D$1501,$X348)&amp;"")</f>
        <v/>
      </c>
      <c r="G348" s="15" t="n"/>
      <c r="H348" s="15" t="n"/>
      <c r="I348" s="15" t="n"/>
      <c r="J348" s="15" t="n"/>
      <c r="K348" s="14">
        <f>IF($X348="","",INDEX('Per Line'!$R$2:$R$1501,$X348))</f>
        <v/>
      </c>
      <c r="L348">
        <f>IF($X348="","",INDEX('Per Line'!$E$2:$E$1501,$X348))</f>
        <v/>
      </c>
      <c r="M348" s="7">
        <f>IF($X348="","",L348*U348/100)</f>
        <v/>
      </c>
      <c r="N348">
        <f>IF($X348="","",IF(ISNUMBER(SEARCH("3&amp;12",SUBSTITUTE(J348," ",""))),Settings!$G$7,Settings!$C$7))</f>
        <v/>
      </c>
      <c r="O348" s="7">
        <f>IF($X348="","",SUMIFS('Per Line'!$N$2:$N$1501,'Per Line'!$A$2:$A$1501,$B348,'Per Line'!$X$2:$X$1501,0))</f>
        <v/>
      </c>
      <c r="P348" s="7">
        <f>IF($X348="","",O348*N348)</f>
        <v/>
      </c>
      <c r="Q348">
        <f>IF($X348="","",IF(ISNUMBER(SEARCH("3&amp;12",SUBSTITUTE(J348," ",""))),Settings!$G$6,Settings!$C$6))</f>
        <v/>
      </c>
      <c r="R348" s="7">
        <f>IF($X348="","",SUMIFS('Per Line'!$N$2:$N$1501,'Per Line'!$A$2:$A$1501,$B348,'Per Line'!$X$2:$X$1501,1))</f>
        <v/>
      </c>
      <c r="S348" s="7">
        <f>IF($X348="","",R348*Q348)</f>
        <v/>
      </c>
      <c r="T348" s="7">
        <f>IF($X348="","",S348+P348)</f>
        <v/>
      </c>
      <c r="U348" s="7">
        <f>IF($X348="","",V348-T348)</f>
        <v/>
      </c>
      <c r="V348" s="7">
        <f>IF($X348="","",O348+R348)</f>
        <v/>
      </c>
      <c r="W348" s="7">
        <f>IF($X348="","",V348-T348-M348)</f>
        <v/>
      </c>
      <c r="X348" s="16">
        <f>IF(ROWS($X$2:$X348)&lt;=MAX('Per Line'!$W$2:$W$1501),MATCH(ROWS($X$2:$X348),'Per Line'!$W$2:$W$1501,0),"")</f>
        <v/>
      </c>
      <c r="Y348">
        <f>IF($X348="","",C348&amp;"|"&amp;COUNTIF($C$2:$C348,C348))</f>
        <v/>
      </c>
    </row>
    <row r="349">
      <c r="A349" s="15" t="n"/>
      <c r="B349">
        <f>IF($X349="","",INDEX('Per Line'!$A$2:$A$1501,$X349)&amp;"")</f>
        <v/>
      </c>
      <c r="C349">
        <f>IF($X349="","",IF(OR(TRIM(H349)="",TRIM(H349)="All",TRIM(H349)="All Comp"),TRIM(J349),TRIM(H349)))</f>
        <v/>
      </c>
      <c r="D349">
        <f>IF($X349="","",INDEX('Per Line'!$B$2:$B$1501,$X349)&amp;"")</f>
        <v/>
      </c>
      <c r="E349">
        <f>IF($X349="","",INDEX('Per Line'!$C$2:$C$1501,$X349)&amp;"")</f>
        <v/>
      </c>
      <c r="F349">
        <f>IF($X349="","",INDEX('Per Line'!$D$2:$D$1501,$X349)&amp;"")</f>
        <v/>
      </c>
      <c r="G349" s="15" t="n"/>
      <c r="H349" s="15" t="n"/>
      <c r="I349" s="15" t="n"/>
      <c r="J349" s="15" t="n"/>
      <c r="K349" s="14">
        <f>IF($X349="","",INDEX('Per Line'!$R$2:$R$1501,$X349))</f>
        <v/>
      </c>
      <c r="L349">
        <f>IF($X349="","",INDEX('Per Line'!$E$2:$E$1501,$X349))</f>
        <v/>
      </c>
      <c r="M349" s="7">
        <f>IF($X349="","",L349*U349/100)</f>
        <v/>
      </c>
      <c r="N349">
        <f>IF($X349="","",IF(ISNUMBER(SEARCH("3&amp;12",SUBSTITUTE(J349," ",""))),Settings!$G$7,Settings!$C$7))</f>
        <v/>
      </c>
      <c r="O349" s="7">
        <f>IF($X349="","",SUMIFS('Per Line'!$N$2:$N$1501,'Per Line'!$A$2:$A$1501,$B349,'Per Line'!$X$2:$X$1501,0))</f>
        <v/>
      </c>
      <c r="P349" s="7">
        <f>IF($X349="","",O349*N349)</f>
        <v/>
      </c>
      <c r="Q349">
        <f>IF($X349="","",IF(ISNUMBER(SEARCH("3&amp;12",SUBSTITUTE(J349," ",""))),Settings!$G$6,Settings!$C$6))</f>
        <v/>
      </c>
      <c r="R349" s="7">
        <f>IF($X349="","",SUMIFS('Per Line'!$N$2:$N$1501,'Per Line'!$A$2:$A$1501,$B349,'Per Line'!$X$2:$X$1501,1))</f>
        <v/>
      </c>
      <c r="S349" s="7">
        <f>IF($X349="","",R349*Q349)</f>
        <v/>
      </c>
      <c r="T349" s="7">
        <f>IF($X349="","",S349+P349)</f>
        <v/>
      </c>
      <c r="U349" s="7">
        <f>IF($X349="","",V349-T349)</f>
        <v/>
      </c>
      <c r="V349" s="7">
        <f>IF($X349="","",O349+R349)</f>
        <v/>
      </c>
      <c r="W349" s="7">
        <f>IF($X349="","",V349-T349-M349)</f>
        <v/>
      </c>
      <c r="X349" s="16">
        <f>IF(ROWS($X$2:$X349)&lt;=MAX('Per Line'!$W$2:$W$1501),MATCH(ROWS($X$2:$X349),'Per Line'!$W$2:$W$1501,0),"")</f>
        <v/>
      </c>
      <c r="Y349">
        <f>IF($X349="","",C349&amp;"|"&amp;COUNTIF($C$2:$C349,C349))</f>
        <v/>
      </c>
    </row>
    <row r="350">
      <c r="A350" s="15" t="n"/>
      <c r="B350">
        <f>IF($X350="","",INDEX('Per Line'!$A$2:$A$1501,$X350)&amp;"")</f>
        <v/>
      </c>
      <c r="C350">
        <f>IF($X350="","",IF(OR(TRIM(H350)="",TRIM(H350)="All",TRIM(H350)="All Comp"),TRIM(J350),TRIM(H350)))</f>
        <v/>
      </c>
      <c r="D350">
        <f>IF($X350="","",INDEX('Per Line'!$B$2:$B$1501,$X350)&amp;"")</f>
        <v/>
      </c>
      <c r="E350">
        <f>IF($X350="","",INDEX('Per Line'!$C$2:$C$1501,$X350)&amp;"")</f>
        <v/>
      </c>
      <c r="F350">
        <f>IF($X350="","",INDEX('Per Line'!$D$2:$D$1501,$X350)&amp;"")</f>
        <v/>
      </c>
      <c r="G350" s="15" t="n"/>
      <c r="H350" s="15" t="n"/>
      <c r="I350" s="15" t="n"/>
      <c r="J350" s="15" t="n"/>
      <c r="K350" s="14">
        <f>IF($X350="","",INDEX('Per Line'!$R$2:$R$1501,$X350))</f>
        <v/>
      </c>
      <c r="L350">
        <f>IF($X350="","",INDEX('Per Line'!$E$2:$E$1501,$X350))</f>
        <v/>
      </c>
      <c r="M350" s="7">
        <f>IF($X350="","",L350*U350/100)</f>
        <v/>
      </c>
      <c r="N350">
        <f>IF($X350="","",IF(ISNUMBER(SEARCH("3&amp;12",SUBSTITUTE(J350," ",""))),Settings!$G$7,Settings!$C$7))</f>
        <v/>
      </c>
      <c r="O350" s="7">
        <f>IF($X350="","",SUMIFS('Per Line'!$N$2:$N$1501,'Per Line'!$A$2:$A$1501,$B350,'Per Line'!$X$2:$X$1501,0))</f>
        <v/>
      </c>
      <c r="P350" s="7">
        <f>IF($X350="","",O350*N350)</f>
        <v/>
      </c>
      <c r="Q350">
        <f>IF($X350="","",IF(ISNUMBER(SEARCH("3&amp;12",SUBSTITUTE(J350," ",""))),Settings!$G$6,Settings!$C$6))</f>
        <v/>
      </c>
      <c r="R350" s="7">
        <f>IF($X350="","",SUMIFS('Per Line'!$N$2:$N$1501,'Per Line'!$A$2:$A$1501,$B350,'Per Line'!$X$2:$X$1501,1))</f>
        <v/>
      </c>
      <c r="S350" s="7">
        <f>IF($X350="","",R350*Q350)</f>
        <v/>
      </c>
      <c r="T350" s="7">
        <f>IF($X350="","",S350+P350)</f>
        <v/>
      </c>
      <c r="U350" s="7">
        <f>IF($X350="","",V350-T350)</f>
        <v/>
      </c>
      <c r="V350" s="7">
        <f>IF($X350="","",O350+R350)</f>
        <v/>
      </c>
      <c r="W350" s="7">
        <f>IF($X350="","",V350-T350-M350)</f>
        <v/>
      </c>
      <c r="X350" s="16">
        <f>IF(ROWS($X$2:$X350)&lt;=MAX('Per Line'!$W$2:$W$1501),MATCH(ROWS($X$2:$X350),'Per Line'!$W$2:$W$1501,0),"")</f>
        <v/>
      </c>
      <c r="Y350">
        <f>IF($X350="","",C350&amp;"|"&amp;COUNTIF($C$2:$C350,C350))</f>
        <v/>
      </c>
    </row>
    <row r="351">
      <c r="A351" s="15" t="n"/>
      <c r="B351">
        <f>IF($X351="","",INDEX('Per Line'!$A$2:$A$1501,$X351)&amp;"")</f>
        <v/>
      </c>
      <c r="C351">
        <f>IF($X351="","",IF(OR(TRIM(H351)="",TRIM(H351)="All",TRIM(H351)="All Comp"),TRIM(J351),TRIM(H351)))</f>
        <v/>
      </c>
      <c r="D351">
        <f>IF($X351="","",INDEX('Per Line'!$B$2:$B$1501,$X351)&amp;"")</f>
        <v/>
      </c>
      <c r="E351">
        <f>IF($X351="","",INDEX('Per Line'!$C$2:$C$1501,$X351)&amp;"")</f>
        <v/>
      </c>
      <c r="F351">
        <f>IF($X351="","",INDEX('Per Line'!$D$2:$D$1501,$X351)&amp;"")</f>
        <v/>
      </c>
      <c r="G351" s="15" t="n"/>
      <c r="H351" s="15" t="n"/>
      <c r="I351" s="15" t="n"/>
      <c r="J351" s="15" t="n"/>
      <c r="K351" s="14">
        <f>IF($X351="","",INDEX('Per Line'!$R$2:$R$1501,$X351))</f>
        <v/>
      </c>
      <c r="L351">
        <f>IF($X351="","",INDEX('Per Line'!$E$2:$E$1501,$X351))</f>
        <v/>
      </c>
      <c r="M351" s="7">
        <f>IF($X351="","",L351*U351/100)</f>
        <v/>
      </c>
      <c r="N351">
        <f>IF($X351="","",IF(ISNUMBER(SEARCH("3&amp;12",SUBSTITUTE(J351," ",""))),Settings!$G$7,Settings!$C$7))</f>
        <v/>
      </c>
      <c r="O351" s="7">
        <f>IF($X351="","",SUMIFS('Per Line'!$N$2:$N$1501,'Per Line'!$A$2:$A$1501,$B351,'Per Line'!$X$2:$X$1501,0))</f>
        <v/>
      </c>
      <c r="P351" s="7">
        <f>IF($X351="","",O351*N351)</f>
        <v/>
      </c>
      <c r="Q351">
        <f>IF($X351="","",IF(ISNUMBER(SEARCH("3&amp;12",SUBSTITUTE(J351," ",""))),Settings!$G$6,Settings!$C$6))</f>
        <v/>
      </c>
      <c r="R351" s="7">
        <f>IF($X351="","",SUMIFS('Per Line'!$N$2:$N$1501,'Per Line'!$A$2:$A$1501,$B351,'Per Line'!$X$2:$X$1501,1))</f>
        <v/>
      </c>
      <c r="S351" s="7">
        <f>IF($X351="","",R351*Q351)</f>
        <v/>
      </c>
      <c r="T351" s="7">
        <f>IF($X351="","",S351+P351)</f>
        <v/>
      </c>
      <c r="U351" s="7">
        <f>IF($X351="","",V351-T351)</f>
        <v/>
      </c>
      <c r="V351" s="7">
        <f>IF($X351="","",O351+R351)</f>
        <v/>
      </c>
      <c r="W351" s="7">
        <f>IF($X351="","",V351-T351-M351)</f>
        <v/>
      </c>
      <c r="X351" s="16">
        <f>IF(ROWS($X$2:$X351)&lt;=MAX('Per Line'!$W$2:$W$1501),MATCH(ROWS($X$2:$X351),'Per Line'!$W$2:$W$1501,0),"")</f>
        <v/>
      </c>
      <c r="Y351">
        <f>IF($X351="","",C351&amp;"|"&amp;COUNTIF($C$2:$C351,C351))</f>
        <v/>
      </c>
    </row>
    <row r="352">
      <c r="A352" s="15" t="n"/>
      <c r="B352">
        <f>IF($X352="","",INDEX('Per Line'!$A$2:$A$1501,$X352)&amp;"")</f>
        <v/>
      </c>
      <c r="C352">
        <f>IF($X352="","",IF(OR(TRIM(H352)="",TRIM(H352)="All",TRIM(H352)="All Comp"),TRIM(J352),TRIM(H352)))</f>
        <v/>
      </c>
      <c r="D352">
        <f>IF($X352="","",INDEX('Per Line'!$B$2:$B$1501,$X352)&amp;"")</f>
        <v/>
      </c>
      <c r="E352">
        <f>IF($X352="","",INDEX('Per Line'!$C$2:$C$1501,$X352)&amp;"")</f>
        <v/>
      </c>
      <c r="F352">
        <f>IF($X352="","",INDEX('Per Line'!$D$2:$D$1501,$X352)&amp;"")</f>
        <v/>
      </c>
      <c r="G352" s="15" t="n"/>
      <c r="H352" s="15" t="n"/>
      <c r="I352" s="15" t="n"/>
      <c r="J352" s="15" t="n"/>
      <c r="K352" s="14">
        <f>IF($X352="","",INDEX('Per Line'!$R$2:$R$1501,$X352))</f>
        <v/>
      </c>
      <c r="L352">
        <f>IF($X352="","",INDEX('Per Line'!$E$2:$E$1501,$X352))</f>
        <v/>
      </c>
      <c r="M352" s="7">
        <f>IF($X352="","",L352*U352/100)</f>
        <v/>
      </c>
      <c r="N352">
        <f>IF($X352="","",IF(ISNUMBER(SEARCH("3&amp;12",SUBSTITUTE(J352," ",""))),Settings!$G$7,Settings!$C$7))</f>
        <v/>
      </c>
      <c r="O352" s="7">
        <f>IF($X352="","",SUMIFS('Per Line'!$N$2:$N$1501,'Per Line'!$A$2:$A$1501,$B352,'Per Line'!$X$2:$X$1501,0))</f>
        <v/>
      </c>
      <c r="P352" s="7">
        <f>IF($X352="","",O352*N352)</f>
        <v/>
      </c>
      <c r="Q352">
        <f>IF($X352="","",IF(ISNUMBER(SEARCH("3&amp;12",SUBSTITUTE(J352," ",""))),Settings!$G$6,Settings!$C$6))</f>
        <v/>
      </c>
      <c r="R352" s="7">
        <f>IF($X352="","",SUMIFS('Per Line'!$N$2:$N$1501,'Per Line'!$A$2:$A$1501,$B352,'Per Line'!$X$2:$X$1501,1))</f>
        <v/>
      </c>
      <c r="S352" s="7">
        <f>IF($X352="","",R352*Q352)</f>
        <v/>
      </c>
      <c r="T352" s="7">
        <f>IF($X352="","",S352+P352)</f>
        <v/>
      </c>
      <c r="U352" s="7">
        <f>IF($X352="","",V352-T352)</f>
        <v/>
      </c>
      <c r="V352" s="7">
        <f>IF($X352="","",O352+R352)</f>
        <v/>
      </c>
      <c r="W352" s="7">
        <f>IF($X352="","",V352-T352-M352)</f>
        <v/>
      </c>
      <c r="X352" s="16">
        <f>IF(ROWS($X$2:$X352)&lt;=MAX('Per Line'!$W$2:$W$1501),MATCH(ROWS($X$2:$X352),'Per Line'!$W$2:$W$1501,0),"")</f>
        <v/>
      </c>
      <c r="Y352">
        <f>IF($X352="","",C352&amp;"|"&amp;COUNTIF($C$2:$C352,C352))</f>
        <v/>
      </c>
    </row>
    <row r="353">
      <c r="A353" s="15" t="n"/>
      <c r="B353">
        <f>IF($X353="","",INDEX('Per Line'!$A$2:$A$1501,$X353)&amp;"")</f>
        <v/>
      </c>
      <c r="C353">
        <f>IF($X353="","",IF(OR(TRIM(H353)="",TRIM(H353)="All",TRIM(H353)="All Comp"),TRIM(J353),TRIM(H353)))</f>
        <v/>
      </c>
      <c r="D353">
        <f>IF($X353="","",INDEX('Per Line'!$B$2:$B$1501,$X353)&amp;"")</f>
        <v/>
      </c>
      <c r="E353">
        <f>IF($X353="","",INDEX('Per Line'!$C$2:$C$1501,$X353)&amp;"")</f>
        <v/>
      </c>
      <c r="F353">
        <f>IF($X353="","",INDEX('Per Line'!$D$2:$D$1501,$X353)&amp;"")</f>
        <v/>
      </c>
      <c r="G353" s="15" t="n"/>
      <c r="H353" s="15" t="n"/>
      <c r="I353" s="15" t="n"/>
      <c r="J353" s="15" t="n"/>
      <c r="K353" s="14">
        <f>IF($X353="","",INDEX('Per Line'!$R$2:$R$1501,$X353))</f>
        <v/>
      </c>
      <c r="L353">
        <f>IF($X353="","",INDEX('Per Line'!$E$2:$E$1501,$X353))</f>
        <v/>
      </c>
      <c r="M353" s="7">
        <f>IF($X353="","",L353*U353/100)</f>
        <v/>
      </c>
      <c r="N353">
        <f>IF($X353="","",IF(ISNUMBER(SEARCH("3&amp;12",SUBSTITUTE(J353," ",""))),Settings!$G$7,Settings!$C$7))</f>
        <v/>
      </c>
      <c r="O353" s="7">
        <f>IF($X353="","",SUMIFS('Per Line'!$N$2:$N$1501,'Per Line'!$A$2:$A$1501,$B353,'Per Line'!$X$2:$X$1501,0))</f>
        <v/>
      </c>
      <c r="P353" s="7">
        <f>IF($X353="","",O353*N353)</f>
        <v/>
      </c>
      <c r="Q353">
        <f>IF($X353="","",IF(ISNUMBER(SEARCH("3&amp;12",SUBSTITUTE(J353," ",""))),Settings!$G$6,Settings!$C$6))</f>
        <v/>
      </c>
      <c r="R353" s="7">
        <f>IF($X353="","",SUMIFS('Per Line'!$N$2:$N$1501,'Per Line'!$A$2:$A$1501,$B353,'Per Line'!$X$2:$X$1501,1))</f>
        <v/>
      </c>
      <c r="S353" s="7">
        <f>IF($X353="","",R353*Q353)</f>
        <v/>
      </c>
      <c r="T353" s="7">
        <f>IF($X353="","",S353+P353)</f>
        <v/>
      </c>
      <c r="U353" s="7">
        <f>IF($X353="","",V353-T353)</f>
        <v/>
      </c>
      <c r="V353" s="7">
        <f>IF($X353="","",O353+R353)</f>
        <v/>
      </c>
      <c r="W353" s="7">
        <f>IF($X353="","",V353-T353-M353)</f>
        <v/>
      </c>
      <c r="X353" s="16">
        <f>IF(ROWS($X$2:$X353)&lt;=MAX('Per Line'!$W$2:$W$1501),MATCH(ROWS($X$2:$X353),'Per Line'!$W$2:$W$1501,0),"")</f>
        <v/>
      </c>
      <c r="Y353">
        <f>IF($X353="","",C353&amp;"|"&amp;COUNTIF($C$2:$C353,C353))</f>
        <v/>
      </c>
    </row>
    <row r="354">
      <c r="A354" s="15" t="n"/>
      <c r="B354">
        <f>IF($X354="","",INDEX('Per Line'!$A$2:$A$1501,$X354)&amp;"")</f>
        <v/>
      </c>
      <c r="C354">
        <f>IF($X354="","",IF(OR(TRIM(H354)="",TRIM(H354)="All",TRIM(H354)="All Comp"),TRIM(J354),TRIM(H354)))</f>
        <v/>
      </c>
      <c r="D354">
        <f>IF($X354="","",INDEX('Per Line'!$B$2:$B$1501,$X354)&amp;"")</f>
        <v/>
      </c>
      <c r="E354">
        <f>IF($X354="","",INDEX('Per Line'!$C$2:$C$1501,$X354)&amp;"")</f>
        <v/>
      </c>
      <c r="F354">
        <f>IF($X354="","",INDEX('Per Line'!$D$2:$D$1501,$X354)&amp;"")</f>
        <v/>
      </c>
      <c r="G354" s="15" t="n"/>
      <c r="H354" s="15" t="n"/>
      <c r="I354" s="15" t="n"/>
      <c r="J354" s="15" t="n"/>
      <c r="K354" s="14">
        <f>IF($X354="","",INDEX('Per Line'!$R$2:$R$1501,$X354))</f>
        <v/>
      </c>
      <c r="L354">
        <f>IF($X354="","",INDEX('Per Line'!$E$2:$E$1501,$X354))</f>
        <v/>
      </c>
      <c r="M354" s="7">
        <f>IF($X354="","",L354*U354/100)</f>
        <v/>
      </c>
      <c r="N354">
        <f>IF($X354="","",IF(ISNUMBER(SEARCH("3&amp;12",SUBSTITUTE(J354," ",""))),Settings!$G$7,Settings!$C$7))</f>
        <v/>
      </c>
      <c r="O354" s="7">
        <f>IF($X354="","",SUMIFS('Per Line'!$N$2:$N$1501,'Per Line'!$A$2:$A$1501,$B354,'Per Line'!$X$2:$X$1501,0))</f>
        <v/>
      </c>
      <c r="P354" s="7">
        <f>IF($X354="","",O354*N354)</f>
        <v/>
      </c>
      <c r="Q354">
        <f>IF($X354="","",IF(ISNUMBER(SEARCH("3&amp;12",SUBSTITUTE(J354," ",""))),Settings!$G$6,Settings!$C$6))</f>
        <v/>
      </c>
      <c r="R354" s="7">
        <f>IF($X354="","",SUMIFS('Per Line'!$N$2:$N$1501,'Per Line'!$A$2:$A$1501,$B354,'Per Line'!$X$2:$X$1501,1))</f>
        <v/>
      </c>
      <c r="S354" s="7">
        <f>IF($X354="","",R354*Q354)</f>
        <v/>
      </c>
      <c r="T354" s="7">
        <f>IF($X354="","",S354+P354)</f>
        <v/>
      </c>
      <c r="U354" s="7">
        <f>IF($X354="","",V354-T354)</f>
        <v/>
      </c>
      <c r="V354" s="7">
        <f>IF($X354="","",O354+R354)</f>
        <v/>
      </c>
      <c r="W354" s="7">
        <f>IF($X354="","",V354-T354-M354)</f>
        <v/>
      </c>
      <c r="X354" s="16">
        <f>IF(ROWS($X$2:$X354)&lt;=MAX('Per Line'!$W$2:$W$1501),MATCH(ROWS($X$2:$X354),'Per Line'!$W$2:$W$1501,0),"")</f>
        <v/>
      </c>
      <c r="Y354">
        <f>IF($X354="","",C354&amp;"|"&amp;COUNTIF($C$2:$C354,C354))</f>
        <v/>
      </c>
    </row>
    <row r="355">
      <c r="A355" s="15" t="n"/>
      <c r="B355">
        <f>IF($X355="","",INDEX('Per Line'!$A$2:$A$1501,$X355)&amp;"")</f>
        <v/>
      </c>
      <c r="C355">
        <f>IF($X355="","",IF(OR(TRIM(H355)="",TRIM(H355)="All",TRIM(H355)="All Comp"),TRIM(J355),TRIM(H355)))</f>
        <v/>
      </c>
      <c r="D355">
        <f>IF($X355="","",INDEX('Per Line'!$B$2:$B$1501,$X355)&amp;"")</f>
        <v/>
      </c>
      <c r="E355">
        <f>IF($X355="","",INDEX('Per Line'!$C$2:$C$1501,$X355)&amp;"")</f>
        <v/>
      </c>
      <c r="F355">
        <f>IF($X355="","",INDEX('Per Line'!$D$2:$D$1501,$X355)&amp;"")</f>
        <v/>
      </c>
      <c r="G355" s="15" t="n"/>
      <c r="H355" s="15" t="n"/>
      <c r="I355" s="15" t="n"/>
      <c r="J355" s="15" t="n"/>
      <c r="K355" s="14">
        <f>IF($X355="","",INDEX('Per Line'!$R$2:$R$1501,$X355))</f>
        <v/>
      </c>
      <c r="L355">
        <f>IF($X355="","",INDEX('Per Line'!$E$2:$E$1501,$X355))</f>
        <v/>
      </c>
      <c r="M355" s="7">
        <f>IF($X355="","",L355*U355/100)</f>
        <v/>
      </c>
      <c r="N355">
        <f>IF($X355="","",IF(ISNUMBER(SEARCH("3&amp;12",SUBSTITUTE(J355," ",""))),Settings!$G$7,Settings!$C$7))</f>
        <v/>
      </c>
      <c r="O355" s="7">
        <f>IF($X355="","",SUMIFS('Per Line'!$N$2:$N$1501,'Per Line'!$A$2:$A$1501,$B355,'Per Line'!$X$2:$X$1501,0))</f>
        <v/>
      </c>
      <c r="P355" s="7">
        <f>IF($X355="","",O355*N355)</f>
        <v/>
      </c>
      <c r="Q355">
        <f>IF($X355="","",IF(ISNUMBER(SEARCH("3&amp;12",SUBSTITUTE(J355," ",""))),Settings!$G$6,Settings!$C$6))</f>
        <v/>
      </c>
      <c r="R355" s="7">
        <f>IF($X355="","",SUMIFS('Per Line'!$N$2:$N$1501,'Per Line'!$A$2:$A$1501,$B355,'Per Line'!$X$2:$X$1501,1))</f>
        <v/>
      </c>
      <c r="S355" s="7">
        <f>IF($X355="","",R355*Q355)</f>
        <v/>
      </c>
      <c r="T355" s="7">
        <f>IF($X355="","",S355+P355)</f>
        <v/>
      </c>
      <c r="U355" s="7">
        <f>IF($X355="","",V355-T355)</f>
        <v/>
      </c>
      <c r="V355" s="7">
        <f>IF($X355="","",O355+R355)</f>
        <v/>
      </c>
      <c r="W355" s="7">
        <f>IF($X355="","",V355-T355-M355)</f>
        <v/>
      </c>
      <c r="X355" s="16">
        <f>IF(ROWS($X$2:$X355)&lt;=MAX('Per Line'!$W$2:$W$1501),MATCH(ROWS($X$2:$X355),'Per Line'!$W$2:$W$1501,0),"")</f>
        <v/>
      </c>
      <c r="Y355">
        <f>IF($X355="","",C355&amp;"|"&amp;COUNTIF($C$2:$C355,C355))</f>
        <v/>
      </c>
    </row>
    <row r="356">
      <c r="A356" s="15" t="n"/>
      <c r="B356">
        <f>IF($X356="","",INDEX('Per Line'!$A$2:$A$1501,$X356)&amp;"")</f>
        <v/>
      </c>
      <c r="C356">
        <f>IF($X356="","",IF(OR(TRIM(H356)="",TRIM(H356)="All",TRIM(H356)="All Comp"),TRIM(J356),TRIM(H356)))</f>
        <v/>
      </c>
      <c r="D356">
        <f>IF($X356="","",INDEX('Per Line'!$B$2:$B$1501,$X356)&amp;"")</f>
        <v/>
      </c>
      <c r="E356">
        <f>IF($X356="","",INDEX('Per Line'!$C$2:$C$1501,$X356)&amp;"")</f>
        <v/>
      </c>
      <c r="F356">
        <f>IF($X356="","",INDEX('Per Line'!$D$2:$D$1501,$X356)&amp;"")</f>
        <v/>
      </c>
      <c r="G356" s="15" t="n"/>
      <c r="H356" s="15" t="n"/>
      <c r="I356" s="15" t="n"/>
      <c r="J356" s="15" t="n"/>
      <c r="K356" s="14">
        <f>IF($X356="","",INDEX('Per Line'!$R$2:$R$1501,$X356))</f>
        <v/>
      </c>
      <c r="L356">
        <f>IF($X356="","",INDEX('Per Line'!$E$2:$E$1501,$X356))</f>
        <v/>
      </c>
      <c r="M356" s="7">
        <f>IF($X356="","",L356*U356/100)</f>
        <v/>
      </c>
      <c r="N356">
        <f>IF($X356="","",IF(ISNUMBER(SEARCH("3&amp;12",SUBSTITUTE(J356," ",""))),Settings!$G$7,Settings!$C$7))</f>
        <v/>
      </c>
      <c r="O356" s="7">
        <f>IF($X356="","",SUMIFS('Per Line'!$N$2:$N$1501,'Per Line'!$A$2:$A$1501,$B356,'Per Line'!$X$2:$X$1501,0))</f>
        <v/>
      </c>
      <c r="P356" s="7">
        <f>IF($X356="","",O356*N356)</f>
        <v/>
      </c>
      <c r="Q356">
        <f>IF($X356="","",IF(ISNUMBER(SEARCH("3&amp;12",SUBSTITUTE(J356," ",""))),Settings!$G$6,Settings!$C$6))</f>
        <v/>
      </c>
      <c r="R356" s="7">
        <f>IF($X356="","",SUMIFS('Per Line'!$N$2:$N$1501,'Per Line'!$A$2:$A$1501,$B356,'Per Line'!$X$2:$X$1501,1))</f>
        <v/>
      </c>
      <c r="S356" s="7">
        <f>IF($X356="","",R356*Q356)</f>
        <v/>
      </c>
      <c r="T356" s="7">
        <f>IF($X356="","",S356+P356)</f>
        <v/>
      </c>
      <c r="U356" s="7">
        <f>IF($X356="","",V356-T356)</f>
        <v/>
      </c>
      <c r="V356" s="7">
        <f>IF($X356="","",O356+R356)</f>
        <v/>
      </c>
      <c r="W356" s="7">
        <f>IF($X356="","",V356-T356-M356)</f>
        <v/>
      </c>
      <c r="X356" s="16">
        <f>IF(ROWS($X$2:$X356)&lt;=MAX('Per Line'!$W$2:$W$1501),MATCH(ROWS($X$2:$X356),'Per Line'!$W$2:$W$1501,0),"")</f>
        <v/>
      </c>
      <c r="Y356">
        <f>IF($X356="","",C356&amp;"|"&amp;COUNTIF($C$2:$C356,C356))</f>
        <v/>
      </c>
    </row>
    <row r="357">
      <c r="A357" s="15" t="n"/>
      <c r="B357">
        <f>IF($X357="","",INDEX('Per Line'!$A$2:$A$1501,$X357)&amp;"")</f>
        <v/>
      </c>
      <c r="C357">
        <f>IF($X357="","",IF(OR(TRIM(H357)="",TRIM(H357)="All",TRIM(H357)="All Comp"),TRIM(J357),TRIM(H357)))</f>
        <v/>
      </c>
      <c r="D357">
        <f>IF($X357="","",INDEX('Per Line'!$B$2:$B$1501,$X357)&amp;"")</f>
        <v/>
      </c>
      <c r="E357">
        <f>IF($X357="","",INDEX('Per Line'!$C$2:$C$1501,$X357)&amp;"")</f>
        <v/>
      </c>
      <c r="F357">
        <f>IF($X357="","",INDEX('Per Line'!$D$2:$D$1501,$X357)&amp;"")</f>
        <v/>
      </c>
      <c r="G357" s="15" t="n"/>
      <c r="H357" s="15" t="n"/>
      <c r="I357" s="15" t="n"/>
      <c r="J357" s="15" t="n"/>
      <c r="K357" s="14">
        <f>IF($X357="","",INDEX('Per Line'!$R$2:$R$1501,$X357))</f>
        <v/>
      </c>
      <c r="L357">
        <f>IF($X357="","",INDEX('Per Line'!$E$2:$E$1501,$X357))</f>
        <v/>
      </c>
      <c r="M357" s="7">
        <f>IF($X357="","",L357*U357/100)</f>
        <v/>
      </c>
      <c r="N357">
        <f>IF($X357="","",IF(ISNUMBER(SEARCH("3&amp;12",SUBSTITUTE(J357," ",""))),Settings!$G$7,Settings!$C$7))</f>
        <v/>
      </c>
      <c r="O357" s="7">
        <f>IF($X357="","",SUMIFS('Per Line'!$N$2:$N$1501,'Per Line'!$A$2:$A$1501,$B357,'Per Line'!$X$2:$X$1501,0))</f>
        <v/>
      </c>
      <c r="P357" s="7">
        <f>IF($X357="","",O357*N357)</f>
        <v/>
      </c>
      <c r="Q357">
        <f>IF($X357="","",IF(ISNUMBER(SEARCH("3&amp;12",SUBSTITUTE(J357," ",""))),Settings!$G$6,Settings!$C$6))</f>
        <v/>
      </c>
      <c r="R357" s="7">
        <f>IF($X357="","",SUMIFS('Per Line'!$N$2:$N$1501,'Per Line'!$A$2:$A$1501,$B357,'Per Line'!$X$2:$X$1501,1))</f>
        <v/>
      </c>
      <c r="S357" s="7">
        <f>IF($X357="","",R357*Q357)</f>
        <v/>
      </c>
      <c r="T357" s="7">
        <f>IF($X357="","",S357+P357)</f>
        <v/>
      </c>
      <c r="U357" s="7">
        <f>IF($X357="","",V357-T357)</f>
        <v/>
      </c>
      <c r="V357" s="7">
        <f>IF($X357="","",O357+R357)</f>
        <v/>
      </c>
      <c r="W357" s="7">
        <f>IF($X357="","",V357-T357-M357)</f>
        <v/>
      </c>
      <c r="X357" s="16">
        <f>IF(ROWS($X$2:$X357)&lt;=MAX('Per Line'!$W$2:$W$1501),MATCH(ROWS($X$2:$X357),'Per Line'!$W$2:$W$1501,0),"")</f>
        <v/>
      </c>
      <c r="Y357">
        <f>IF($X357="","",C357&amp;"|"&amp;COUNTIF($C$2:$C357,C357))</f>
        <v/>
      </c>
    </row>
    <row r="358">
      <c r="A358" s="15" t="n"/>
      <c r="B358">
        <f>IF($X358="","",INDEX('Per Line'!$A$2:$A$1501,$X358)&amp;"")</f>
        <v/>
      </c>
      <c r="C358">
        <f>IF($X358="","",IF(OR(TRIM(H358)="",TRIM(H358)="All",TRIM(H358)="All Comp"),TRIM(J358),TRIM(H358)))</f>
        <v/>
      </c>
      <c r="D358">
        <f>IF($X358="","",INDEX('Per Line'!$B$2:$B$1501,$X358)&amp;"")</f>
        <v/>
      </c>
      <c r="E358">
        <f>IF($X358="","",INDEX('Per Line'!$C$2:$C$1501,$X358)&amp;"")</f>
        <v/>
      </c>
      <c r="F358">
        <f>IF($X358="","",INDEX('Per Line'!$D$2:$D$1501,$X358)&amp;"")</f>
        <v/>
      </c>
      <c r="G358" s="15" t="n"/>
      <c r="H358" s="15" t="n"/>
      <c r="I358" s="15" t="n"/>
      <c r="J358" s="15" t="n"/>
      <c r="K358" s="14">
        <f>IF($X358="","",INDEX('Per Line'!$R$2:$R$1501,$X358))</f>
        <v/>
      </c>
      <c r="L358">
        <f>IF($X358="","",INDEX('Per Line'!$E$2:$E$1501,$X358))</f>
        <v/>
      </c>
      <c r="M358" s="7">
        <f>IF($X358="","",L358*U358/100)</f>
        <v/>
      </c>
      <c r="N358">
        <f>IF($X358="","",IF(ISNUMBER(SEARCH("3&amp;12",SUBSTITUTE(J358," ",""))),Settings!$G$7,Settings!$C$7))</f>
        <v/>
      </c>
      <c r="O358" s="7">
        <f>IF($X358="","",SUMIFS('Per Line'!$N$2:$N$1501,'Per Line'!$A$2:$A$1501,$B358,'Per Line'!$X$2:$X$1501,0))</f>
        <v/>
      </c>
      <c r="P358" s="7">
        <f>IF($X358="","",O358*N358)</f>
        <v/>
      </c>
      <c r="Q358">
        <f>IF($X358="","",IF(ISNUMBER(SEARCH("3&amp;12",SUBSTITUTE(J358," ",""))),Settings!$G$6,Settings!$C$6))</f>
        <v/>
      </c>
      <c r="R358" s="7">
        <f>IF($X358="","",SUMIFS('Per Line'!$N$2:$N$1501,'Per Line'!$A$2:$A$1501,$B358,'Per Line'!$X$2:$X$1501,1))</f>
        <v/>
      </c>
      <c r="S358" s="7">
        <f>IF($X358="","",R358*Q358)</f>
        <v/>
      </c>
      <c r="T358" s="7">
        <f>IF($X358="","",S358+P358)</f>
        <v/>
      </c>
      <c r="U358" s="7">
        <f>IF($X358="","",V358-T358)</f>
        <v/>
      </c>
      <c r="V358" s="7">
        <f>IF($X358="","",O358+R358)</f>
        <v/>
      </c>
      <c r="W358" s="7">
        <f>IF($X358="","",V358-T358-M358)</f>
        <v/>
      </c>
      <c r="X358" s="16">
        <f>IF(ROWS($X$2:$X358)&lt;=MAX('Per Line'!$W$2:$W$1501),MATCH(ROWS($X$2:$X358),'Per Line'!$W$2:$W$1501,0),"")</f>
        <v/>
      </c>
      <c r="Y358">
        <f>IF($X358="","",C358&amp;"|"&amp;COUNTIF($C$2:$C358,C358))</f>
        <v/>
      </c>
    </row>
    <row r="359">
      <c r="A359" s="15" t="n"/>
      <c r="B359">
        <f>IF($X359="","",INDEX('Per Line'!$A$2:$A$1501,$X359)&amp;"")</f>
        <v/>
      </c>
      <c r="C359">
        <f>IF($X359="","",IF(OR(TRIM(H359)="",TRIM(H359)="All",TRIM(H359)="All Comp"),TRIM(J359),TRIM(H359)))</f>
        <v/>
      </c>
      <c r="D359">
        <f>IF($X359="","",INDEX('Per Line'!$B$2:$B$1501,$X359)&amp;"")</f>
        <v/>
      </c>
      <c r="E359">
        <f>IF($X359="","",INDEX('Per Line'!$C$2:$C$1501,$X359)&amp;"")</f>
        <v/>
      </c>
      <c r="F359">
        <f>IF($X359="","",INDEX('Per Line'!$D$2:$D$1501,$X359)&amp;"")</f>
        <v/>
      </c>
      <c r="G359" s="15" t="n"/>
      <c r="H359" s="15" t="n"/>
      <c r="I359" s="15" t="n"/>
      <c r="J359" s="15" t="n"/>
      <c r="K359" s="14">
        <f>IF($X359="","",INDEX('Per Line'!$R$2:$R$1501,$X359))</f>
        <v/>
      </c>
      <c r="L359">
        <f>IF($X359="","",INDEX('Per Line'!$E$2:$E$1501,$X359))</f>
        <v/>
      </c>
      <c r="M359" s="7">
        <f>IF($X359="","",L359*U359/100)</f>
        <v/>
      </c>
      <c r="N359">
        <f>IF($X359="","",IF(ISNUMBER(SEARCH("3&amp;12",SUBSTITUTE(J359," ",""))),Settings!$G$7,Settings!$C$7))</f>
        <v/>
      </c>
      <c r="O359" s="7">
        <f>IF($X359="","",SUMIFS('Per Line'!$N$2:$N$1501,'Per Line'!$A$2:$A$1501,$B359,'Per Line'!$X$2:$X$1501,0))</f>
        <v/>
      </c>
      <c r="P359" s="7">
        <f>IF($X359="","",O359*N359)</f>
        <v/>
      </c>
      <c r="Q359">
        <f>IF($X359="","",IF(ISNUMBER(SEARCH("3&amp;12",SUBSTITUTE(J359," ",""))),Settings!$G$6,Settings!$C$6))</f>
        <v/>
      </c>
      <c r="R359" s="7">
        <f>IF($X359="","",SUMIFS('Per Line'!$N$2:$N$1501,'Per Line'!$A$2:$A$1501,$B359,'Per Line'!$X$2:$X$1501,1))</f>
        <v/>
      </c>
      <c r="S359" s="7">
        <f>IF($X359="","",R359*Q359)</f>
        <v/>
      </c>
      <c r="T359" s="7">
        <f>IF($X359="","",S359+P359)</f>
        <v/>
      </c>
      <c r="U359" s="7">
        <f>IF($X359="","",V359-T359)</f>
        <v/>
      </c>
      <c r="V359" s="7">
        <f>IF($X359="","",O359+R359)</f>
        <v/>
      </c>
      <c r="W359" s="7">
        <f>IF($X359="","",V359-T359-M359)</f>
        <v/>
      </c>
      <c r="X359" s="16">
        <f>IF(ROWS($X$2:$X359)&lt;=MAX('Per Line'!$W$2:$W$1501),MATCH(ROWS($X$2:$X359),'Per Line'!$W$2:$W$1501,0),"")</f>
        <v/>
      </c>
      <c r="Y359">
        <f>IF($X359="","",C359&amp;"|"&amp;COUNTIF($C$2:$C359,C359))</f>
        <v/>
      </c>
    </row>
    <row r="360">
      <c r="A360" s="15" t="n"/>
      <c r="B360">
        <f>IF($X360="","",INDEX('Per Line'!$A$2:$A$1501,$X360)&amp;"")</f>
        <v/>
      </c>
      <c r="C360">
        <f>IF($X360="","",IF(OR(TRIM(H360)="",TRIM(H360)="All",TRIM(H360)="All Comp"),TRIM(J360),TRIM(H360)))</f>
        <v/>
      </c>
      <c r="D360">
        <f>IF($X360="","",INDEX('Per Line'!$B$2:$B$1501,$X360)&amp;"")</f>
        <v/>
      </c>
      <c r="E360">
        <f>IF($X360="","",INDEX('Per Line'!$C$2:$C$1501,$X360)&amp;"")</f>
        <v/>
      </c>
      <c r="F360">
        <f>IF($X360="","",INDEX('Per Line'!$D$2:$D$1501,$X360)&amp;"")</f>
        <v/>
      </c>
      <c r="G360" s="15" t="n"/>
      <c r="H360" s="15" t="n"/>
      <c r="I360" s="15" t="n"/>
      <c r="J360" s="15" t="n"/>
      <c r="K360" s="14">
        <f>IF($X360="","",INDEX('Per Line'!$R$2:$R$1501,$X360))</f>
        <v/>
      </c>
      <c r="L360">
        <f>IF($X360="","",INDEX('Per Line'!$E$2:$E$1501,$X360))</f>
        <v/>
      </c>
      <c r="M360" s="7">
        <f>IF($X360="","",L360*U360/100)</f>
        <v/>
      </c>
      <c r="N360">
        <f>IF($X360="","",IF(ISNUMBER(SEARCH("3&amp;12",SUBSTITUTE(J360," ",""))),Settings!$G$7,Settings!$C$7))</f>
        <v/>
      </c>
      <c r="O360" s="7">
        <f>IF($X360="","",SUMIFS('Per Line'!$N$2:$N$1501,'Per Line'!$A$2:$A$1501,$B360,'Per Line'!$X$2:$X$1501,0))</f>
        <v/>
      </c>
      <c r="P360" s="7">
        <f>IF($X360="","",O360*N360)</f>
        <v/>
      </c>
      <c r="Q360">
        <f>IF($X360="","",IF(ISNUMBER(SEARCH("3&amp;12",SUBSTITUTE(J360," ",""))),Settings!$G$6,Settings!$C$6))</f>
        <v/>
      </c>
      <c r="R360" s="7">
        <f>IF($X360="","",SUMIFS('Per Line'!$N$2:$N$1501,'Per Line'!$A$2:$A$1501,$B360,'Per Line'!$X$2:$X$1501,1))</f>
        <v/>
      </c>
      <c r="S360" s="7">
        <f>IF($X360="","",R360*Q360)</f>
        <v/>
      </c>
      <c r="T360" s="7">
        <f>IF($X360="","",S360+P360)</f>
        <v/>
      </c>
      <c r="U360" s="7">
        <f>IF($X360="","",V360-T360)</f>
        <v/>
      </c>
      <c r="V360" s="7">
        <f>IF($X360="","",O360+R360)</f>
        <v/>
      </c>
      <c r="W360" s="7">
        <f>IF($X360="","",V360-T360-M360)</f>
        <v/>
      </c>
      <c r="X360" s="16">
        <f>IF(ROWS($X$2:$X360)&lt;=MAX('Per Line'!$W$2:$W$1501),MATCH(ROWS($X$2:$X360),'Per Line'!$W$2:$W$1501,0),"")</f>
        <v/>
      </c>
      <c r="Y360">
        <f>IF($X360="","",C360&amp;"|"&amp;COUNTIF($C$2:$C360,C360))</f>
        <v/>
      </c>
    </row>
    <row r="361">
      <c r="A361" s="15" t="n"/>
      <c r="B361">
        <f>IF($X361="","",INDEX('Per Line'!$A$2:$A$1501,$X361)&amp;"")</f>
        <v/>
      </c>
      <c r="C361">
        <f>IF($X361="","",IF(OR(TRIM(H361)="",TRIM(H361)="All",TRIM(H361)="All Comp"),TRIM(J361),TRIM(H361)))</f>
        <v/>
      </c>
      <c r="D361">
        <f>IF($X361="","",INDEX('Per Line'!$B$2:$B$1501,$X361)&amp;"")</f>
        <v/>
      </c>
      <c r="E361">
        <f>IF($X361="","",INDEX('Per Line'!$C$2:$C$1501,$X361)&amp;"")</f>
        <v/>
      </c>
      <c r="F361">
        <f>IF($X361="","",INDEX('Per Line'!$D$2:$D$1501,$X361)&amp;"")</f>
        <v/>
      </c>
      <c r="G361" s="15" t="n"/>
      <c r="H361" s="15" t="n"/>
      <c r="I361" s="15" t="n"/>
      <c r="J361" s="15" t="n"/>
      <c r="K361" s="14">
        <f>IF($X361="","",INDEX('Per Line'!$R$2:$R$1501,$X361))</f>
        <v/>
      </c>
      <c r="L361">
        <f>IF($X361="","",INDEX('Per Line'!$E$2:$E$1501,$X361))</f>
        <v/>
      </c>
      <c r="M361" s="7">
        <f>IF($X361="","",L361*U361/100)</f>
        <v/>
      </c>
      <c r="N361">
        <f>IF($X361="","",IF(ISNUMBER(SEARCH("3&amp;12",SUBSTITUTE(J361," ",""))),Settings!$G$7,Settings!$C$7))</f>
        <v/>
      </c>
      <c r="O361" s="7">
        <f>IF($X361="","",SUMIFS('Per Line'!$N$2:$N$1501,'Per Line'!$A$2:$A$1501,$B361,'Per Line'!$X$2:$X$1501,0))</f>
        <v/>
      </c>
      <c r="P361" s="7">
        <f>IF($X361="","",O361*N361)</f>
        <v/>
      </c>
      <c r="Q361">
        <f>IF($X361="","",IF(ISNUMBER(SEARCH("3&amp;12",SUBSTITUTE(J361," ",""))),Settings!$G$6,Settings!$C$6))</f>
        <v/>
      </c>
      <c r="R361" s="7">
        <f>IF($X361="","",SUMIFS('Per Line'!$N$2:$N$1501,'Per Line'!$A$2:$A$1501,$B361,'Per Line'!$X$2:$X$1501,1))</f>
        <v/>
      </c>
      <c r="S361" s="7">
        <f>IF($X361="","",R361*Q361)</f>
        <v/>
      </c>
      <c r="T361" s="7">
        <f>IF($X361="","",S361+P361)</f>
        <v/>
      </c>
      <c r="U361" s="7">
        <f>IF($X361="","",V361-T361)</f>
        <v/>
      </c>
      <c r="V361" s="7">
        <f>IF($X361="","",O361+R361)</f>
        <v/>
      </c>
      <c r="W361" s="7">
        <f>IF($X361="","",V361-T361-M361)</f>
        <v/>
      </c>
      <c r="X361" s="16">
        <f>IF(ROWS($X$2:$X361)&lt;=MAX('Per Line'!$W$2:$W$1501),MATCH(ROWS($X$2:$X361),'Per Line'!$W$2:$W$1501,0),"")</f>
        <v/>
      </c>
      <c r="Y361">
        <f>IF($X361="","",C361&amp;"|"&amp;COUNTIF($C$2:$C361,C361))</f>
        <v/>
      </c>
    </row>
    <row r="362">
      <c r="A362" s="15" t="n"/>
      <c r="B362">
        <f>IF($X362="","",INDEX('Per Line'!$A$2:$A$1501,$X362)&amp;"")</f>
        <v/>
      </c>
      <c r="C362">
        <f>IF($X362="","",IF(OR(TRIM(H362)="",TRIM(H362)="All",TRIM(H362)="All Comp"),TRIM(J362),TRIM(H362)))</f>
        <v/>
      </c>
      <c r="D362">
        <f>IF($X362="","",INDEX('Per Line'!$B$2:$B$1501,$X362)&amp;"")</f>
        <v/>
      </c>
      <c r="E362">
        <f>IF($X362="","",INDEX('Per Line'!$C$2:$C$1501,$X362)&amp;"")</f>
        <v/>
      </c>
      <c r="F362">
        <f>IF($X362="","",INDEX('Per Line'!$D$2:$D$1501,$X362)&amp;"")</f>
        <v/>
      </c>
      <c r="G362" s="15" t="n"/>
      <c r="H362" s="15" t="n"/>
      <c r="I362" s="15" t="n"/>
      <c r="J362" s="15" t="n"/>
      <c r="K362" s="14">
        <f>IF($X362="","",INDEX('Per Line'!$R$2:$R$1501,$X362))</f>
        <v/>
      </c>
      <c r="L362">
        <f>IF($X362="","",INDEX('Per Line'!$E$2:$E$1501,$X362))</f>
        <v/>
      </c>
      <c r="M362" s="7">
        <f>IF($X362="","",L362*U362/100)</f>
        <v/>
      </c>
      <c r="N362">
        <f>IF($X362="","",IF(ISNUMBER(SEARCH("3&amp;12",SUBSTITUTE(J362," ",""))),Settings!$G$7,Settings!$C$7))</f>
        <v/>
      </c>
      <c r="O362" s="7">
        <f>IF($X362="","",SUMIFS('Per Line'!$N$2:$N$1501,'Per Line'!$A$2:$A$1501,$B362,'Per Line'!$X$2:$X$1501,0))</f>
        <v/>
      </c>
      <c r="P362" s="7">
        <f>IF($X362="","",O362*N362)</f>
        <v/>
      </c>
      <c r="Q362">
        <f>IF($X362="","",IF(ISNUMBER(SEARCH("3&amp;12",SUBSTITUTE(J362," ",""))),Settings!$G$6,Settings!$C$6))</f>
        <v/>
      </c>
      <c r="R362" s="7">
        <f>IF($X362="","",SUMIFS('Per Line'!$N$2:$N$1501,'Per Line'!$A$2:$A$1501,$B362,'Per Line'!$X$2:$X$1501,1))</f>
        <v/>
      </c>
      <c r="S362" s="7">
        <f>IF($X362="","",R362*Q362)</f>
        <v/>
      </c>
      <c r="T362" s="7">
        <f>IF($X362="","",S362+P362)</f>
        <v/>
      </c>
      <c r="U362" s="7">
        <f>IF($X362="","",V362-T362)</f>
        <v/>
      </c>
      <c r="V362" s="7">
        <f>IF($X362="","",O362+R362)</f>
        <v/>
      </c>
      <c r="W362" s="7">
        <f>IF($X362="","",V362-T362-M362)</f>
        <v/>
      </c>
      <c r="X362" s="16">
        <f>IF(ROWS($X$2:$X362)&lt;=MAX('Per Line'!$W$2:$W$1501),MATCH(ROWS($X$2:$X362),'Per Line'!$W$2:$W$1501,0),"")</f>
        <v/>
      </c>
      <c r="Y362">
        <f>IF($X362="","",C362&amp;"|"&amp;COUNTIF($C$2:$C362,C362))</f>
        <v/>
      </c>
    </row>
    <row r="363">
      <c r="A363" s="15" t="n"/>
      <c r="B363">
        <f>IF($X363="","",INDEX('Per Line'!$A$2:$A$1501,$X363)&amp;"")</f>
        <v/>
      </c>
      <c r="C363">
        <f>IF($X363="","",IF(OR(TRIM(H363)="",TRIM(H363)="All",TRIM(H363)="All Comp"),TRIM(J363),TRIM(H363)))</f>
        <v/>
      </c>
      <c r="D363">
        <f>IF($X363="","",INDEX('Per Line'!$B$2:$B$1501,$X363)&amp;"")</f>
        <v/>
      </c>
      <c r="E363">
        <f>IF($X363="","",INDEX('Per Line'!$C$2:$C$1501,$X363)&amp;"")</f>
        <v/>
      </c>
      <c r="F363">
        <f>IF($X363="","",INDEX('Per Line'!$D$2:$D$1501,$X363)&amp;"")</f>
        <v/>
      </c>
      <c r="G363" s="15" t="n"/>
      <c r="H363" s="15" t="n"/>
      <c r="I363" s="15" t="n"/>
      <c r="J363" s="15" t="n"/>
      <c r="K363" s="14">
        <f>IF($X363="","",INDEX('Per Line'!$R$2:$R$1501,$X363))</f>
        <v/>
      </c>
      <c r="L363">
        <f>IF($X363="","",INDEX('Per Line'!$E$2:$E$1501,$X363))</f>
        <v/>
      </c>
      <c r="M363" s="7">
        <f>IF($X363="","",L363*U363/100)</f>
        <v/>
      </c>
      <c r="N363">
        <f>IF($X363="","",IF(ISNUMBER(SEARCH("3&amp;12",SUBSTITUTE(J363," ",""))),Settings!$G$7,Settings!$C$7))</f>
        <v/>
      </c>
      <c r="O363" s="7">
        <f>IF($X363="","",SUMIFS('Per Line'!$N$2:$N$1501,'Per Line'!$A$2:$A$1501,$B363,'Per Line'!$X$2:$X$1501,0))</f>
        <v/>
      </c>
      <c r="P363" s="7">
        <f>IF($X363="","",O363*N363)</f>
        <v/>
      </c>
      <c r="Q363">
        <f>IF($X363="","",IF(ISNUMBER(SEARCH("3&amp;12",SUBSTITUTE(J363," ",""))),Settings!$G$6,Settings!$C$6))</f>
        <v/>
      </c>
      <c r="R363" s="7">
        <f>IF($X363="","",SUMIFS('Per Line'!$N$2:$N$1501,'Per Line'!$A$2:$A$1501,$B363,'Per Line'!$X$2:$X$1501,1))</f>
        <v/>
      </c>
      <c r="S363" s="7">
        <f>IF($X363="","",R363*Q363)</f>
        <v/>
      </c>
      <c r="T363" s="7">
        <f>IF($X363="","",S363+P363)</f>
        <v/>
      </c>
      <c r="U363" s="7">
        <f>IF($X363="","",V363-T363)</f>
        <v/>
      </c>
      <c r="V363" s="7">
        <f>IF($X363="","",O363+R363)</f>
        <v/>
      </c>
      <c r="W363" s="7">
        <f>IF($X363="","",V363-T363-M363)</f>
        <v/>
      </c>
      <c r="X363" s="16">
        <f>IF(ROWS($X$2:$X363)&lt;=MAX('Per Line'!$W$2:$W$1501),MATCH(ROWS($X$2:$X363),'Per Line'!$W$2:$W$1501,0),"")</f>
        <v/>
      </c>
      <c r="Y363">
        <f>IF($X363="","",C363&amp;"|"&amp;COUNTIF($C$2:$C363,C363))</f>
        <v/>
      </c>
    </row>
    <row r="364">
      <c r="A364" s="15" t="n"/>
      <c r="B364">
        <f>IF($X364="","",INDEX('Per Line'!$A$2:$A$1501,$X364)&amp;"")</f>
        <v/>
      </c>
      <c r="C364">
        <f>IF($X364="","",IF(OR(TRIM(H364)="",TRIM(H364)="All",TRIM(H364)="All Comp"),TRIM(J364),TRIM(H364)))</f>
        <v/>
      </c>
      <c r="D364">
        <f>IF($X364="","",INDEX('Per Line'!$B$2:$B$1501,$X364)&amp;"")</f>
        <v/>
      </c>
      <c r="E364">
        <f>IF($X364="","",INDEX('Per Line'!$C$2:$C$1501,$X364)&amp;"")</f>
        <v/>
      </c>
      <c r="F364">
        <f>IF($X364="","",INDEX('Per Line'!$D$2:$D$1501,$X364)&amp;"")</f>
        <v/>
      </c>
      <c r="G364" s="15" t="n"/>
      <c r="H364" s="15" t="n"/>
      <c r="I364" s="15" t="n"/>
      <c r="J364" s="15" t="n"/>
      <c r="K364" s="14">
        <f>IF($X364="","",INDEX('Per Line'!$R$2:$R$1501,$X364))</f>
        <v/>
      </c>
      <c r="L364">
        <f>IF($X364="","",INDEX('Per Line'!$E$2:$E$1501,$X364))</f>
        <v/>
      </c>
      <c r="M364" s="7">
        <f>IF($X364="","",L364*U364/100)</f>
        <v/>
      </c>
      <c r="N364">
        <f>IF($X364="","",IF(ISNUMBER(SEARCH("3&amp;12",SUBSTITUTE(J364," ",""))),Settings!$G$7,Settings!$C$7))</f>
        <v/>
      </c>
      <c r="O364" s="7">
        <f>IF($X364="","",SUMIFS('Per Line'!$N$2:$N$1501,'Per Line'!$A$2:$A$1501,$B364,'Per Line'!$X$2:$X$1501,0))</f>
        <v/>
      </c>
      <c r="P364" s="7">
        <f>IF($X364="","",O364*N364)</f>
        <v/>
      </c>
      <c r="Q364">
        <f>IF($X364="","",IF(ISNUMBER(SEARCH("3&amp;12",SUBSTITUTE(J364," ",""))),Settings!$G$6,Settings!$C$6))</f>
        <v/>
      </c>
      <c r="R364" s="7">
        <f>IF($X364="","",SUMIFS('Per Line'!$N$2:$N$1501,'Per Line'!$A$2:$A$1501,$B364,'Per Line'!$X$2:$X$1501,1))</f>
        <v/>
      </c>
      <c r="S364" s="7">
        <f>IF($X364="","",R364*Q364)</f>
        <v/>
      </c>
      <c r="T364" s="7">
        <f>IF($X364="","",S364+P364)</f>
        <v/>
      </c>
      <c r="U364" s="7">
        <f>IF($X364="","",V364-T364)</f>
        <v/>
      </c>
      <c r="V364" s="7">
        <f>IF($X364="","",O364+R364)</f>
        <v/>
      </c>
      <c r="W364" s="7">
        <f>IF($X364="","",V364-T364-M364)</f>
        <v/>
      </c>
      <c r="X364" s="16">
        <f>IF(ROWS($X$2:$X364)&lt;=MAX('Per Line'!$W$2:$W$1501),MATCH(ROWS($X$2:$X364),'Per Line'!$W$2:$W$1501,0),"")</f>
        <v/>
      </c>
      <c r="Y364">
        <f>IF($X364="","",C364&amp;"|"&amp;COUNTIF($C$2:$C364,C364))</f>
        <v/>
      </c>
    </row>
    <row r="365">
      <c r="A365" s="15" t="n"/>
      <c r="B365">
        <f>IF($X365="","",INDEX('Per Line'!$A$2:$A$1501,$X365)&amp;"")</f>
        <v/>
      </c>
      <c r="C365">
        <f>IF($X365="","",IF(OR(TRIM(H365)="",TRIM(H365)="All",TRIM(H365)="All Comp"),TRIM(J365),TRIM(H365)))</f>
        <v/>
      </c>
      <c r="D365">
        <f>IF($X365="","",INDEX('Per Line'!$B$2:$B$1501,$X365)&amp;"")</f>
        <v/>
      </c>
      <c r="E365">
        <f>IF($X365="","",INDEX('Per Line'!$C$2:$C$1501,$X365)&amp;"")</f>
        <v/>
      </c>
      <c r="F365">
        <f>IF($X365="","",INDEX('Per Line'!$D$2:$D$1501,$X365)&amp;"")</f>
        <v/>
      </c>
      <c r="G365" s="15" t="n"/>
      <c r="H365" s="15" t="n"/>
      <c r="I365" s="15" t="n"/>
      <c r="J365" s="15" t="n"/>
      <c r="K365" s="14">
        <f>IF($X365="","",INDEX('Per Line'!$R$2:$R$1501,$X365))</f>
        <v/>
      </c>
      <c r="L365">
        <f>IF($X365="","",INDEX('Per Line'!$E$2:$E$1501,$X365))</f>
        <v/>
      </c>
      <c r="M365" s="7">
        <f>IF($X365="","",L365*U365/100)</f>
        <v/>
      </c>
      <c r="N365">
        <f>IF($X365="","",IF(ISNUMBER(SEARCH("3&amp;12",SUBSTITUTE(J365," ",""))),Settings!$G$7,Settings!$C$7))</f>
        <v/>
      </c>
      <c r="O365" s="7">
        <f>IF($X365="","",SUMIFS('Per Line'!$N$2:$N$1501,'Per Line'!$A$2:$A$1501,$B365,'Per Line'!$X$2:$X$1501,0))</f>
        <v/>
      </c>
      <c r="P365" s="7">
        <f>IF($X365="","",O365*N365)</f>
        <v/>
      </c>
      <c r="Q365">
        <f>IF($X365="","",IF(ISNUMBER(SEARCH("3&amp;12",SUBSTITUTE(J365," ",""))),Settings!$G$6,Settings!$C$6))</f>
        <v/>
      </c>
      <c r="R365" s="7">
        <f>IF($X365="","",SUMIFS('Per Line'!$N$2:$N$1501,'Per Line'!$A$2:$A$1501,$B365,'Per Line'!$X$2:$X$1501,1))</f>
        <v/>
      </c>
      <c r="S365" s="7">
        <f>IF($X365="","",R365*Q365)</f>
        <v/>
      </c>
      <c r="T365" s="7">
        <f>IF($X365="","",S365+P365)</f>
        <v/>
      </c>
      <c r="U365" s="7">
        <f>IF($X365="","",V365-T365)</f>
        <v/>
      </c>
      <c r="V365" s="7">
        <f>IF($X365="","",O365+R365)</f>
        <v/>
      </c>
      <c r="W365" s="7">
        <f>IF($X365="","",V365-T365-M365)</f>
        <v/>
      </c>
      <c r="X365" s="16">
        <f>IF(ROWS($X$2:$X365)&lt;=MAX('Per Line'!$W$2:$W$1501),MATCH(ROWS($X$2:$X365),'Per Line'!$W$2:$W$1501,0),"")</f>
        <v/>
      </c>
      <c r="Y365">
        <f>IF($X365="","",C365&amp;"|"&amp;COUNTIF($C$2:$C365,C365))</f>
        <v/>
      </c>
    </row>
    <row r="366">
      <c r="A366" s="15" t="n"/>
      <c r="B366">
        <f>IF($X366="","",INDEX('Per Line'!$A$2:$A$1501,$X366)&amp;"")</f>
        <v/>
      </c>
      <c r="C366">
        <f>IF($X366="","",IF(OR(TRIM(H366)="",TRIM(H366)="All",TRIM(H366)="All Comp"),TRIM(J366),TRIM(H366)))</f>
        <v/>
      </c>
      <c r="D366">
        <f>IF($X366="","",INDEX('Per Line'!$B$2:$B$1501,$X366)&amp;"")</f>
        <v/>
      </c>
      <c r="E366">
        <f>IF($X366="","",INDEX('Per Line'!$C$2:$C$1501,$X366)&amp;"")</f>
        <v/>
      </c>
      <c r="F366">
        <f>IF($X366="","",INDEX('Per Line'!$D$2:$D$1501,$X366)&amp;"")</f>
        <v/>
      </c>
      <c r="G366" s="15" t="n"/>
      <c r="H366" s="15" t="n"/>
      <c r="I366" s="15" t="n"/>
      <c r="J366" s="15" t="n"/>
      <c r="K366" s="14">
        <f>IF($X366="","",INDEX('Per Line'!$R$2:$R$1501,$X366))</f>
        <v/>
      </c>
      <c r="L366">
        <f>IF($X366="","",INDEX('Per Line'!$E$2:$E$1501,$X366))</f>
        <v/>
      </c>
      <c r="M366" s="7">
        <f>IF($X366="","",L366*U366/100)</f>
        <v/>
      </c>
      <c r="N366">
        <f>IF($X366="","",IF(ISNUMBER(SEARCH("3&amp;12",SUBSTITUTE(J366," ",""))),Settings!$G$7,Settings!$C$7))</f>
        <v/>
      </c>
      <c r="O366" s="7">
        <f>IF($X366="","",SUMIFS('Per Line'!$N$2:$N$1501,'Per Line'!$A$2:$A$1501,$B366,'Per Line'!$X$2:$X$1501,0))</f>
        <v/>
      </c>
      <c r="P366" s="7">
        <f>IF($X366="","",O366*N366)</f>
        <v/>
      </c>
      <c r="Q366">
        <f>IF($X366="","",IF(ISNUMBER(SEARCH("3&amp;12",SUBSTITUTE(J366," ",""))),Settings!$G$6,Settings!$C$6))</f>
        <v/>
      </c>
      <c r="R366" s="7">
        <f>IF($X366="","",SUMIFS('Per Line'!$N$2:$N$1501,'Per Line'!$A$2:$A$1501,$B366,'Per Line'!$X$2:$X$1501,1))</f>
        <v/>
      </c>
      <c r="S366" s="7">
        <f>IF($X366="","",R366*Q366)</f>
        <v/>
      </c>
      <c r="T366" s="7">
        <f>IF($X366="","",S366+P366)</f>
        <v/>
      </c>
      <c r="U366" s="7">
        <f>IF($X366="","",V366-T366)</f>
        <v/>
      </c>
      <c r="V366" s="7">
        <f>IF($X366="","",O366+R366)</f>
        <v/>
      </c>
      <c r="W366" s="7">
        <f>IF($X366="","",V366-T366-M366)</f>
        <v/>
      </c>
      <c r="X366" s="16">
        <f>IF(ROWS($X$2:$X366)&lt;=MAX('Per Line'!$W$2:$W$1501),MATCH(ROWS($X$2:$X366),'Per Line'!$W$2:$W$1501,0),"")</f>
        <v/>
      </c>
      <c r="Y366">
        <f>IF($X366="","",C366&amp;"|"&amp;COUNTIF($C$2:$C366,C366))</f>
        <v/>
      </c>
    </row>
    <row r="367">
      <c r="A367" s="15" t="n"/>
      <c r="B367">
        <f>IF($X367="","",INDEX('Per Line'!$A$2:$A$1501,$X367)&amp;"")</f>
        <v/>
      </c>
      <c r="C367">
        <f>IF($X367="","",IF(OR(TRIM(H367)="",TRIM(H367)="All",TRIM(H367)="All Comp"),TRIM(J367),TRIM(H367)))</f>
        <v/>
      </c>
      <c r="D367">
        <f>IF($X367="","",INDEX('Per Line'!$B$2:$B$1501,$X367)&amp;"")</f>
        <v/>
      </c>
      <c r="E367">
        <f>IF($X367="","",INDEX('Per Line'!$C$2:$C$1501,$X367)&amp;"")</f>
        <v/>
      </c>
      <c r="F367">
        <f>IF($X367="","",INDEX('Per Line'!$D$2:$D$1501,$X367)&amp;"")</f>
        <v/>
      </c>
      <c r="G367" s="15" t="n"/>
      <c r="H367" s="15" t="n"/>
      <c r="I367" s="15" t="n"/>
      <c r="J367" s="15" t="n"/>
      <c r="K367" s="14">
        <f>IF($X367="","",INDEX('Per Line'!$R$2:$R$1501,$X367))</f>
        <v/>
      </c>
      <c r="L367">
        <f>IF($X367="","",INDEX('Per Line'!$E$2:$E$1501,$X367))</f>
        <v/>
      </c>
      <c r="M367" s="7">
        <f>IF($X367="","",L367*U367/100)</f>
        <v/>
      </c>
      <c r="N367">
        <f>IF($X367="","",IF(ISNUMBER(SEARCH("3&amp;12",SUBSTITUTE(J367," ",""))),Settings!$G$7,Settings!$C$7))</f>
        <v/>
      </c>
      <c r="O367" s="7">
        <f>IF($X367="","",SUMIFS('Per Line'!$N$2:$N$1501,'Per Line'!$A$2:$A$1501,$B367,'Per Line'!$X$2:$X$1501,0))</f>
        <v/>
      </c>
      <c r="P367" s="7">
        <f>IF($X367="","",O367*N367)</f>
        <v/>
      </c>
      <c r="Q367">
        <f>IF($X367="","",IF(ISNUMBER(SEARCH("3&amp;12",SUBSTITUTE(J367," ",""))),Settings!$G$6,Settings!$C$6))</f>
        <v/>
      </c>
      <c r="R367" s="7">
        <f>IF($X367="","",SUMIFS('Per Line'!$N$2:$N$1501,'Per Line'!$A$2:$A$1501,$B367,'Per Line'!$X$2:$X$1501,1))</f>
        <v/>
      </c>
      <c r="S367" s="7">
        <f>IF($X367="","",R367*Q367)</f>
        <v/>
      </c>
      <c r="T367" s="7">
        <f>IF($X367="","",S367+P367)</f>
        <v/>
      </c>
      <c r="U367" s="7">
        <f>IF($X367="","",V367-T367)</f>
        <v/>
      </c>
      <c r="V367" s="7">
        <f>IF($X367="","",O367+R367)</f>
        <v/>
      </c>
      <c r="W367" s="7">
        <f>IF($X367="","",V367-T367-M367)</f>
        <v/>
      </c>
      <c r="X367" s="16">
        <f>IF(ROWS($X$2:$X367)&lt;=MAX('Per Line'!$W$2:$W$1501),MATCH(ROWS($X$2:$X367),'Per Line'!$W$2:$W$1501,0),"")</f>
        <v/>
      </c>
      <c r="Y367">
        <f>IF($X367="","",C367&amp;"|"&amp;COUNTIF($C$2:$C367,C367))</f>
        <v/>
      </c>
    </row>
    <row r="368">
      <c r="A368" s="15" t="n"/>
      <c r="B368">
        <f>IF($X368="","",INDEX('Per Line'!$A$2:$A$1501,$X368)&amp;"")</f>
        <v/>
      </c>
      <c r="C368">
        <f>IF($X368="","",IF(OR(TRIM(H368)="",TRIM(H368)="All",TRIM(H368)="All Comp"),TRIM(J368),TRIM(H368)))</f>
        <v/>
      </c>
      <c r="D368">
        <f>IF($X368="","",INDEX('Per Line'!$B$2:$B$1501,$X368)&amp;"")</f>
        <v/>
      </c>
      <c r="E368">
        <f>IF($X368="","",INDEX('Per Line'!$C$2:$C$1501,$X368)&amp;"")</f>
        <v/>
      </c>
      <c r="F368">
        <f>IF($X368="","",INDEX('Per Line'!$D$2:$D$1501,$X368)&amp;"")</f>
        <v/>
      </c>
      <c r="G368" s="15" t="n"/>
      <c r="H368" s="15" t="n"/>
      <c r="I368" s="15" t="n"/>
      <c r="J368" s="15" t="n"/>
      <c r="K368" s="14">
        <f>IF($X368="","",INDEX('Per Line'!$R$2:$R$1501,$X368))</f>
        <v/>
      </c>
      <c r="L368">
        <f>IF($X368="","",INDEX('Per Line'!$E$2:$E$1501,$X368))</f>
        <v/>
      </c>
      <c r="M368" s="7">
        <f>IF($X368="","",L368*U368/100)</f>
        <v/>
      </c>
      <c r="N368">
        <f>IF($X368="","",IF(ISNUMBER(SEARCH("3&amp;12",SUBSTITUTE(J368," ",""))),Settings!$G$7,Settings!$C$7))</f>
        <v/>
      </c>
      <c r="O368" s="7">
        <f>IF($X368="","",SUMIFS('Per Line'!$N$2:$N$1501,'Per Line'!$A$2:$A$1501,$B368,'Per Line'!$X$2:$X$1501,0))</f>
        <v/>
      </c>
      <c r="P368" s="7">
        <f>IF($X368="","",O368*N368)</f>
        <v/>
      </c>
      <c r="Q368">
        <f>IF($X368="","",IF(ISNUMBER(SEARCH("3&amp;12",SUBSTITUTE(J368," ",""))),Settings!$G$6,Settings!$C$6))</f>
        <v/>
      </c>
      <c r="R368" s="7">
        <f>IF($X368="","",SUMIFS('Per Line'!$N$2:$N$1501,'Per Line'!$A$2:$A$1501,$B368,'Per Line'!$X$2:$X$1501,1))</f>
        <v/>
      </c>
      <c r="S368" s="7">
        <f>IF($X368="","",R368*Q368)</f>
        <v/>
      </c>
      <c r="T368" s="7">
        <f>IF($X368="","",S368+P368)</f>
        <v/>
      </c>
      <c r="U368" s="7">
        <f>IF($X368="","",V368-T368)</f>
        <v/>
      </c>
      <c r="V368" s="7">
        <f>IF($X368="","",O368+R368)</f>
        <v/>
      </c>
      <c r="W368" s="7">
        <f>IF($X368="","",V368-T368-M368)</f>
        <v/>
      </c>
      <c r="X368" s="16">
        <f>IF(ROWS($X$2:$X368)&lt;=MAX('Per Line'!$W$2:$W$1501),MATCH(ROWS($X$2:$X368),'Per Line'!$W$2:$W$1501,0),"")</f>
        <v/>
      </c>
      <c r="Y368">
        <f>IF($X368="","",C368&amp;"|"&amp;COUNTIF($C$2:$C368,C368))</f>
        <v/>
      </c>
    </row>
    <row r="369">
      <c r="A369" s="15" t="n"/>
      <c r="B369">
        <f>IF($X369="","",INDEX('Per Line'!$A$2:$A$1501,$X369)&amp;"")</f>
        <v/>
      </c>
      <c r="C369">
        <f>IF($X369="","",IF(OR(TRIM(H369)="",TRIM(H369)="All",TRIM(H369)="All Comp"),TRIM(J369),TRIM(H369)))</f>
        <v/>
      </c>
      <c r="D369">
        <f>IF($X369="","",INDEX('Per Line'!$B$2:$B$1501,$X369)&amp;"")</f>
        <v/>
      </c>
      <c r="E369">
        <f>IF($X369="","",INDEX('Per Line'!$C$2:$C$1501,$X369)&amp;"")</f>
        <v/>
      </c>
      <c r="F369">
        <f>IF($X369="","",INDEX('Per Line'!$D$2:$D$1501,$X369)&amp;"")</f>
        <v/>
      </c>
      <c r="G369" s="15" t="n"/>
      <c r="H369" s="15" t="n"/>
      <c r="I369" s="15" t="n"/>
      <c r="J369" s="15" t="n"/>
      <c r="K369" s="14">
        <f>IF($X369="","",INDEX('Per Line'!$R$2:$R$1501,$X369))</f>
        <v/>
      </c>
      <c r="L369">
        <f>IF($X369="","",INDEX('Per Line'!$E$2:$E$1501,$X369))</f>
        <v/>
      </c>
      <c r="M369" s="7">
        <f>IF($X369="","",L369*U369/100)</f>
        <v/>
      </c>
      <c r="N369">
        <f>IF($X369="","",IF(ISNUMBER(SEARCH("3&amp;12",SUBSTITUTE(J369," ",""))),Settings!$G$7,Settings!$C$7))</f>
        <v/>
      </c>
      <c r="O369" s="7">
        <f>IF($X369="","",SUMIFS('Per Line'!$N$2:$N$1501,'Per Line'!$A$2:$A$1501,$B369,'Per Line'!$X$2:$X$1501,0))</f>
        <v/>
      </c>
      <c r="P369" s="7">
        <f>IF($X369="","",O369*N369)</f>
        <v/>
      </c>
      <c r="Q369">
        <f>IF($X369="","",IF(ISNUMBER(SEARCH("3&amp;12",SUBSTITUTE(J369," ",""))),Settings!$G$6,Settings!$C$6))</f>
        <v/>
      </c>
      <c r="R369" s="7">
        <f>IF($X369="","",SUMIFS('Per Line'!$N$2:$N$1501,'Per Line'!$A$2:$A$1501,$B369,'Per Line'!$X$2:$X$1501,1))</f>
        <v/>
      </c>
      <c r="S369" s="7">
        <f>IF($X369="","",R369*Q369)</f>
        <v/>
      </c>
      <c r="T369" s="7">
        <f>IF($X369="","",S369+P369)</f>
        <v/>
      </c>
      <c r="U369" s="7">
        <f>IF($X369="","",V369-T369)</f>
        <v/>
      </c>
      <c r="V369" s="7">
        <f>IF($X369="","",O369+R369)</f>
        <v/>
      </c>
      <c r="W369" s="7">
        <f>IF($X369="","",V369-T369-M369)</f>
        <v/>
      </c>
      <c r="X369" s="16">
        <f>IF(ROWS($X$2:$X369)&lt;=MAX('Per Line'!$W$2:$W$1501),MATCH(ROWS($X$2:$X369),'Per Line'!$W$2:$W$1501,0),"")</f>
        <v/>
      </c>
      <c r="Y369">
        <f>IF($X369="","",C369&amp;"|"&amp;COUNTIF($C$2:$C369,C369))</f>
        <v/>
      </c>
    </row>
    <row r="370">
      <c r="A370" s="15" t="n"/>
      <c r="B370">
        <f>IF($X370="","",INDEX('Per Line'!$A$2:$A$1501,$X370)&amp;"")</f>
        <v/>
      </c>
      <c r="C370">
        <f>IF($X370="","",IF(OR(TRIM(H370)="",TRIM(H370)="All",TRIM(H370)="All Comp"),TRIM(J370),TRIM(H370)))</f>
        <v/>
      </c>
      <c r="D370">
        <f>IF($X370="","",INDEX('Per Line'!$B$2:$B$1501,$X370)&amp;"")</f>
        <v/>
      </c>
      <c r="E370">
        <f>IF($X370="","",INDEX('Per Line'!$C$2:$C$1501,$X370)&amp;"")</f>
        <v/>
      </c>
      <c r="F370">
        <f>IF($X370="","",INDEX('Per Line'!$D$2:$D$1501,$X370)&amp;"")</f>
        <v/>
      </c>
      <c r="G370" s="15" t="n"/>
      <c r="H370" s="15" t="n"/>
      <c r="I370" s="15" t="n"/>
      <c r="J370" s="15" t="n"/>
      <c r="K370" s="14">
        <f>IF($X370="","",INDEX('Per Line'!$R$2:$R$1501,$X370))</f>
        <v/>
      </c>
      <c r="L370">
        <f>IF($X370="","",INDEX('Per Line'!$E$2:$E$1501,$X370))</f>
        <v/>
      </c>
      <c r="M370" s="7">
        <f>IF($X370="","",L370*U370/100)</f>
        <v/>
      </c>
      <c r="N370">
        <f>IF($X370="","",IF(ISNUMBER(SEARCH("3&amp;12",SUBSTITUTE(J370," ",""))),Settings!$G$7,Settings!$C$7))</f>
        <v/>
      </c>
      <c r="O370" s="7">
        <f>IF($X370="","",SUMIFS('Per Line'!$N$2:$N$1501,'Per Line'!$A$2:$A$1501,$B370,'Per Line'!$X$2:$X$1501,0))</f>
        <v/>
      </c>
      <c r="P370" s="7">
        <f>IF($X370="","",O370*N370)</f>
        <v/>
      </c>
      <c r="Q370">
        <f>IF($X370="","",IF(ISNUMBER(SEARCH("3&amp;12",SUBSTITUTE(J370," ",""))),Settings!$G$6,Settings!$C$6))</f>
        <v/>
      </c>
      <c r="R370" s="7">
        <f>IF($X370="","",SUMIFS('Per Line'!$N$2:$N$1501,'Per Line'!$A$2:$A$1501,$B370,'Per Line'!$X$2:$X$1501,1))</f>
        <v/>
      </c>
      <c r="S370" s="7">
        <f>IF($X370="","",R370*Q370)</f>
        <v/>
      </c>
      <c r="T370" s="7">
        <f>IF($X370="","",S370+P370)</f>
        <v/>
      </c>
      <c r="U370" s="7">
        <f>IF($X370="","",V370-T370)</f>
        <v/>
      </c>
      <c r="V370" s="7">
        <f>IF($X370="","",O370+R370)</f>
        <v/>
      </c>
      <c r="W370" s="7">
        <f>IF($X370="","",V370-T370-M370)</f>
        <v/>
      </c>
      <c r="X370" s="16">
        <f>IF(ROWS($X$2:$X370)&lt;=MAX('Per Line'!$W$2:$W$1501),MATCH(ROWS($X$2:$X370),'Per Line'!$W$2:$W$1501,0),"")</f>
        <v/>
      </c>
      <c r="Y370">
        <f>IF($X370="","",C370&amp;"|"&amp;COUNTIF($C$2:$C370,C370))</f>
        <v/>
      </c>
    </row>
    <row r="371">
      <c r="A371" s="15" t="n"/>
      <c r="B371">
        <f>IF($X371="","",INDEX('Per Line'!$A$2:$A$1501,$X371)&amp;"")</f>
        <v/>
      </c>
      <c r="C371">
        <f>IF($X371="","",IF(OR(TRIM(H371)="",TRIM(H371)="All",TRIM(H371)="All Comp"),TRIM(J371),TRIM(H371)))</f>
        <v/>
      </c>
      <c r="D371">
        <f>IF($X371="","",INDEX('Per Line'!$B$2:$B$1501,$X371)&amp;"")</f>
        <v/>
      </c>
      <c r="E371">
        <f>IF($X371="","",INDEX('Per Line'!$C$2:$C$1501,$X371)&amp;"")</f>
        <v/>
      </c>
      <c r="F371">
        <f>IF($X371="","",INDEX('Per Line'!$D$2:$D$1501,$X371)&amp;"")</f>
        <v/>
      </c>
      <c r="G371" s="15" t="n"/>
      <c r="H371" s="15" t="n"/>
      <c r="I371" s="15" t="n"/>
      <c r="J371" s="15" t="n"/>
      <c r="K371" s="14">
        <f>IF($X371="","",INDEX('Per Line'!$R$2:$R$1501,$X371))</f>
        <v/>
      </c>
      <c r="L371">
        <f>IF($X371="","",INDEX('Per Line'!$E$2:$E$1501,$X371))</f>
        <v/>
      </c>
      <c r="M371" s="7">
        <f>IF($X371="","",L371*U371/100)</f>
        <v/>
      </c>
      <c r="N371">
        <f>IF($X371="","",IF(ISNUMBER(SEARCH("3&amp;12",SUBSTITUTE(J371," ",""))),Settings!$G$7,Settings!$C$7))</f>
        <v/>
      </c>
      <c r="O371" s="7">
        <f>IF($X371="","",SUMIFS('Per Line'!$N$2:$N$1501,'Per Line'!$A$2:$A$1501,$B371,'Per Line'!$X$2:$X$1501,0))</f>
        <v/>
      </c>
      <c r="P371" s="7">
        <f>IF($X371="","",O371*N371)</f>
        <v/>
      </c>
      <c r="Q371">
        <f>IF($X371="","",IF(ISNUMBER(SEARCH("3&amp;12",SUBSTITUTE(J371," ",""))),Settings!$G$6,Settings!$C$6))</f>
        <v/>
      </c>
      <c r="R371" s="7">
        <f>IF($X371="","",SUMIFS('Per Line'!$N$2:$N$1501,'Per Line'!$A$2:$A$1501,$B371,'Per Line'!$X$2:$X$1501,1))</f>
        <v/>
      </c>
      <c r="S371" s="7">
        <f>IF($X371="","",R371*Q371)</f>
        <v/>
      </c>
      <c r="T371" s="7">
        <f>IF($X371="","",S371+P371)</f>
        <v/>
      </c>
      <c r="U371" s="7">
        <f>IF($X371="","",V371-T371)</f>
        <v/>
      </c>
      <c r="V371" s="7">
        <f>IF($X371="","",O371+R371)</f>
        <v/>
      </c>
      <c r="W371" s="7">
        <f>IF($X371="","",V371-T371-M371)</f>
        <v/>
      </c>
      <c r="X371" s="16">
        <f>IF(ROWS($X$2:$X371)&lt;=MAX('Per Line'!$W$2:$W$1501),MATCH(ROWS($X$2:$X371),'Per Line'!$W$2:$W$1501,0),"")</f>
        <v/>
      </c>
      <c r="Y371">
        <f>IF($X371="","",C371&amp;"|"&amp;COUNTIF($C$2:$C371,C371))</f>
        <v/>
      </c>
    </row>
    <row r="372">
      <c r="A372" s="15" t="n"/>
      <c r="B372">
        <f>IF($X372="","",INDEX('Per Line'!$A$2:$A$1501,$X372)&amp;"")</f>
        <v/>
      </c>
      <c r="C372">
        <f>IF($X372="","",IF(OR(TRIM(H372)="",TRIM(H372)="All",TRIM(H372)="All Comp"),TRIM(J372),TRIM(H372)))</f>
        <v/>
      </c>
      <c r="D372">
        <f>IF($X372="","",INDEX('Per Line'!$B$2:$B$1501,$X372)&amp;"")</f>
        <v/>
      </c>
      <c r="E372">
        <f>IF($X372="","",INDEX('Per Line'!$C$2:$C$1501,$X372)&amp;"")</f>
        <v/>
      </c>
      <c r="F372">
        <f>IF($X372="","",INDEX('Per Line'!$D$2:$D$1501,$X372)&amp;"")</f>
        <v/>
      </c>
      <c r="G372" s="15" t="n"/>
      <c r="H372" s="15" t="n"/>
      <c r="I372" s="15" t="n"/>
      <c r="J372" s="15" t="n"/>
      <c r="K372" s="14">
        <f>IF($X372="","",INDEX('Per Line'!$R$2:$R$1501,$X372))</f>
        <v/>
      </c>
      <c r="L372">
        <f>IF($X372="","",INDEX('Per Line'!$E$2:$E$1501,$X372))</f>
        <v/>
      </c>
      <c r="M372" s="7">
        <f>IF($X372="","",L372*U372/100)</f>
        <v/>
      </c>
      <c r="N372">
        <f>IF($X372="","",IF(ISNUMBER(SEARCH("3&amp;12",SUBSTITUTE(J372," ",""))),Settings!$G$7,Settings!$C$7))</f>
        <v/>
      </c>
      <c r="O372" s="7">
        <f>IF($X372="","",SUMIFS('Per Line'!$N$2:$N$1501,'Per Line'!$A$2:$A$1501,$B372,'Per Line'!$X$2:$X$1501,0))</f>
        <v/>
      </c>
      <c r="P372" s="7">
        <f>IF($X372="","",O372*N372)</f>
        <v/>
      </c>
      <c r="Q372">
        <f>IF($X372="","",IF(ISNUMBER(SEARCH("3&amp;12",SUBSTITUTE(J372," ",""))),Settings!$G$6,Settings!$C$6))</f>
        <v/>
      </c>
      <c r="R372" s="7">
        <f>IF($X372="","",SUMIFS('Per Line'!$N$2:$N$1501,'Per Line'!$A$2:$A$1501,$B372,'Per Line'!$X$2:$X$1501,1))</f>
        <v/>
      </c>
      <c r="S372" s="7">
        <f>IF($X372="","",R372*Q372)</f>
        <v/>
      </c>
      <c r="T372" s="7">
        <f>IF($X372="","",S372+P372)</f>
        <v/>
      </c>
      <c r="U372" s="7">
        <f>IF($X372="","",V372-T372)</f>
        <v/>
      </c>
      <c r="V372" s="7">
        <f>IF($X372="","",O372+R372)</f>
        <v/>
      </c>
      <c r="W372" s="7">
        <f>IF($X372="","",V372-T372-M372)</f>
        <v/>
      </c>
      <c r="X372" s="16">
        <f>IF(ROWS($X$2:$X372)&lt;=MAX('Per Line'!$W$2:$W$1501),MATCH(ROWS($X$2:$X372),'Per Line'!$W$2:$W$1501,0),"")</f>
        <v/>
      </c>
      <c r="Y372">
        <f>IF($X372="","",C372&amp;"|"&amp;COUNTIF($C$2:$C372,C372))</f>
        <v/>
      </c>
    </row>
    <row r="373">
      <c r="A373" s="15" t="n"/>
      <c r="B373">
        <f>IF($X373="","",INDEX('Per Line'!$A$2:$A$1501,$X373)&amp;"")</f>
        <v/>
      </c>
      <c r="C373">
        <f>IF($X373="","",IF(OR(TRIM(H373)="",TRIM(H373)="All",TRIM(H373)="All Comp"),TRIM(J373),TRIM(H373)))</f>
        <v/>
      </c>
      <c r="D373">
        <f>IF($X373="","",INDEX('Per Line'!$B$2:$B$1501,$X373)&amp;"")</f>
        <v/>
      </c>
      <c r="E373">
        <f>IF($X373="","",INDEX('Per Line'!$C$2:$C$1501,$X373)&amp;"")</f>
        <v/>
      </c>
      <c r="F373">
        <f>IF($X373="","",INDEX('Per Line'!$D$2:$D$1501,$X373)&amp;"")</f>
        <v/>
      </c>
      <c r="G373" s="15" t="n"/>
      <c r="H373" s="15" t="n"/>
      <c r="I373" s="15" t="n"/>
      <c r="J373" s="15" t="n"/>
      <c r="K373" s="14">
        <f>IF($X373="","",INDEX('Per Line'!$R$2:$R$1501,$X373))</f>
        <v/>
      </c>
      <c r="L373">
        <f>IF($X373="","",INDEX('Per Line'!$E$2:$E$1501,$X373))</f>
        <v/>
      </c>
      <c r="M373" s="7">
        <f>IF($X373="","",L373*U373/100)</f>
        <v/>
      </c>
      <c r="N373">
        <f>IF($X373="","",IF(ISNUMBER(SEARCH("3&amp;12",SUBSTITUTE(J373," ",""))),Settings!$G$7,Settings!$C$7))</f>
        <v/>
      </c>
      <c r="O373" s="7">
        <f>IF($X373="","",SUMIFS('Per Line'!$N$2:$N$1501,'Per Line'!$A$2:$A$1501,$B373,'Per Line'!$X$2:$X$1501,0))</f>
        <v/>
      </c>
      <c r="P373" s="7">
        <f>IF($X373="","",O373*N373)</f>
        <v/>
      </c>
      <c r="Q373">
        <f>IF($X373="","",IF(ISNUMBER(SEARCH("3&amp;12",SUBSTITUTE(J373," ",""))),Settings!$G$6,Settings!$C$6))</f>
        <v/>
      </c>
      <c r="R373" s="7">
        <f>IF($X373="","",SUMIFS('Per Line'!$N$2:$N$1501,'Per Line'!$A$2:$A$1501,$B373,'Per Line'!$X$2:$X$1501,1))</f>
        <v/>
      </c>
      <c r="S373" s="7">
        <f>IF($X373="","",R373*Q373)</f>
        <v/>
      </c>
      <c r="T373" s="7">
        <f>IF($X373="","",S373+P373)</f>
        <v/>
      </c>
      <c r="U373" s="7">
        <f>IF($X373="","",V373-T373)</f>
        <v/>
      </c>
      <c r="V373" s="7">
        <f>IF($X373="","",O373+R373)</f>
        <v/>
      </c>
      <c r="W373" s="7">
        <f>IF($X373="","",V373-T373-M373)</f>
        <v/>
      </c>
      <c r="X373" s="16">
        <f>IF(ROWS($X$2:$X373)&lt;=MAX('Per Line'!$W$2:$W$1501),MATCH(ROWS($X$2:$X373),'Per Line'!$W$2:$W$1501,0),"")</f>
        <v/>
      </c>
      <c r="Y373">
        <f>IF($X373="","",C373&amp;"|"&amp;COUNTIF($C$2:$C373,C373))</f>
        <v/>
      </c>
    </row>
    <row r="374">
      <c r="A374" s="15" t="n"/>
      <c r="B374">
        <f>IF($X374="","",INDEX('Per Line'!$A$2:$A$1501,$X374)&amp;"")</f>
        <v/>
      </c>
      <c r="C374">
        <f>IF($X374="","",IF(OR(TRIM(H374)="",TRIM(H374)="All",TRIM(H374)="All Comp"),TRIM(J374),TRIM(H374)))</f>
        <v/>
      </c>
      <c r="D374">
        <f>IF($X374="","",INDEX('Per Line'!$B$2:$B$1501,$X374)&amp;"")</f>
        <v/>
      </c>
      <c r="E374">
        <f>IF($X374="","",INDEX('Per Line'!$C$2:$C$1501,$X374)&amp;"")</f>
        <v/>
      </c>
      <c r="F374">
        <f>IF($X374="","",INDEX('Per Line'!$D$2:$D$1501,$X374)&amp;"")</f>
        <v/>
      </c>
      <c r="G374" s="15" t="n"/>
      <c r="H374" s="15" t="n"/>
      <c r="I374" s="15" t="n"/>
      <c r="J374" s="15" t="n"/>
      <c r="K374" s="14">
        <f>IF($X374="","",INDEX('Per Line'!$R$2:$R$1501,$X374))</f>
        <v/>
      </c>
      <c r="L374">
        <f>IF($X374="","",INDEX('Per Line'!$E$2:$E$1501,$X374))</f>
        <v/>
      </c>
      <c r="M374" s="7">
        <f>IF($X374="","",L374*U374/100)</f>
        <v/>
      </c>
      <c r="N374">
        <f>IF($X374="","",IF(ISNUMBER(SEARCH("3&amp;12",SUBSTITUTE(J374," ",""))),Settings!$G$7,Settings!$C$7))</f>
        <v/>
      </c>
      <c r="O374" s="7">
        <f>IF($X374="","",SUMIFS('Per Line'!$N$2:$N$1501,'Per Line'!$A$2:$A$1501,$B374,'Per Line'!$X$2:$X$1501,0))</f>
        <v/>
      </c>
      <c r="P374" s="7">
        <f>IF($X374="","",O374*N374)</f>
        <v/>
      </c>
      <c r="Q374">
        <f>IF($X374="","",IF(ISNUMBER(SEARCH("3&amp;12",SUBSTITUTE(J374," ",""))),Settings!$G$6,Settings!$C$6))</f>
        <v/>
      </c>
      <c r="R374" s="7">
        <f>IF($X374="","",SUMIFS('Per Line'!$N$2:$N$1501,'Per Line'!$A$2:$A$1501,$B374,'Per Line'!$X$2:$X$1501,1))</f>
        <v/>
      </c>
      <c r="S374" s="7">
        <f>IF($X374="","",R374*Q374)</f>
        <v/>
      </c>
      <c r="T374" s="7">
        <f>IF($X374="","",S374+P374)</f>
        <v/>
      </c>
      <c r="U374" s="7">
        <f>IF($X374="","",V374-T374)</f>
        <v/>
      </c>
      <c r="V374" s="7">
        <f>IF($X374="","",O374+R374)</f>
        <v/>
      </c>
      <c r="W374" s="7">
        <f>IF($X374="","",V374-T374-M374)</f>
        <v/>
      </c>
      <c r="X374" s="16">
        <f>IF(ROWS($X$2:$X374)&lt;=MAX('Per Line'!$W$2:$W$1501),MATCH(ROWS($X$2:$X374),'Per Line'!$W$2:$W$1501,0),"")</f>
        <v/>
      </c>
      <c r="Y374">
        <f>IF($X374="","",C374&amp;"|"&amp;COUNTIF($C$2:$C374,C374))</f>
        <v/>
      </c>
    </row>
    <row r="375">
      <c r="A375" s="15" t="n"/>
      <c r="B375">
        <f>IF($X375="","",INDEX('Per Line'!$A$2:$A$1501,$X375)&amp;"")</f>
        <v/>
      </c>
      <c r="C375">
        <f>IF($X375="","",IF(OR(TRIM(H375)="",TRIM(H375)="All",TRIM(H375)="All Comp"),TRIM(J375),TRIM(H375)))</f>
        <v/>
      </c>
      <c r="D375">
        <f>IF($X375="","",INDEX('Per Line'!$B$2:$B$1501,$X375)&amp;"")</f>
        <v/>
      </c>
      <c r="E375">
        <f>IF($X375="","",INDEX('Per Line'!$C$2:$C$1501,$X375)&amp;"")</f>
        <v/>
      </c>
      <c r="F375">
        <f>IF($X375="","",INDEX('Per Line'!$D$2:$D$1501,$X375)&amp;"")</f>
        <v/>
      </c>
      <c r="G375" s="15" t="n"/>
      <c r="H375" s="15" t="n"/>
      <c r="I375" s="15" t="n"/>
      <c r="J375" s="15" t="n"/>
      <c r="K375" s="14">
        <f>IF($X375="","",INDEX('Per Line'!$R$2:$R$1501,$X375))</f>
        <v/>
      </c>
      <c r="L375">
        <f>IF($X375="","",INDEX('Per Line'!$E$2:$E$1501,$X375))</f>
        <v/>
      </c>
      <c r="M375" s="7">
        <f>IF($X375="","",L375*U375/100)</f>
        <v/>
      </c>
      <c r="N375">
        <f>IF($X375="","",IF(ISNUMBER(SEARCH("3&amp;12",SUBSTITUTE(J375," ",""))),Settings!$G$7,Settings!$C$7))</f>
        <v/>
      </c>
      <c r="O375" s="7">
        <f>IF($X375="","",SUMIFS('Per Line'!$N$2:$N$1501,'Per Line'!$A$2:$A$1501,$B375,'Per Line'!$X$2:$X$1501,0))</f>
        <v/>
      </c>
      <c r="P375" s="7">
        <f>IF($X375="","",O375*N375)</f>
        <v/>
      </c>
      <c r="Q375">
        <f>IF($X375="","",IF(ISNUMBER(SEARCH("3&amp;12",SUBSTITUTE(J375," ",""))),Settings!$G$6,Settings!$C$6))</f>
        <v/>
      </c>
      <c r="R375" s="7">
        <f>IF($X375="","",SUMIFS('Per Line'!$N$2:$N$1501,'Per Line'!$A$2:$A$1501,$B375,'Per Line'!$X$2:$X$1501,1))</f>
        <v/>
      </c>
      <c r="S375" s="7">
        <f>IF($X375="","",R375*Q375)</f>
        <v/>
      </c>
      <c r="T375" s="7">
        <f>IF($X375="","",S375+P375)</f>
        <v/>
      </c>
      <c r="U375" s="7">
        <f>IF($X375="","",V375-T375)</f>
        <v/>
      </c>
      <c r="V375" s="7">
        <f>IF($X375="","",O375+R375)</f>
        <v/>
      </c>
      <c r="W375" s="7">
        <f>IF($X375="","",V375-T375-M375)</f>
        <v/>
      </c>
      <c r="X375" s="16">
        <f>IF(ROWS($X$2:$X375)&lt;=MAX('Per Line'!$W$2:$W$1501),MATCH(ROWS($X$2:$X375),'Per Line'!$W$2:$W$1501,0),"")</f>
        <v/>
      </c>
      <c r="Y375">
        <f>IF($X375="","",C375&amp;"|"&amp;COUNTIF($C$2:$C375,C375))</f>
        <v/>
      </c>
    </row>
    <row r="376">
      <c r="A376" s="15" t="n"/>
      <c r="B376">
        <f>IF($X376="","",INDEX('Per Line'!$A$2:$A$1501,$X376)&amp;"")</f>
        <v/>
      </c>
      <c r="C376">
        <f>IF($X376="","",IF(OR(TRIM(H376)="",TRIM(H376)="All",TRIM(H376)="All Comp"),TRIM(J376),TRIM(H376)))</f>
        <v/>
      </c>
      <c r="D376">
        <f>IF($X376="","",INDEX('Per Line'!$B$2:$B$1501,$X376)&amp;"")</f>
        <v/>
      </c>
      <c r="E376">
        <f>IF($X376="","",INDEX('Per Line'!$C$2:$C$1501,$X376)&amp;"")</f>
        <v/>
      </c>
      <c r="F376">
        <f>IF($X376="","",INDEX('Per Line'!$D$2:$D$1501,$X376)&amp;"")</f>
        <v/>
      </c>
      <c r="G376" s="15" t="n"/>
      <c r="H376" s="15" t="n"/>
      <c r="I376" s="15" t="n"/>
      <c r="J376" s="15" t="n"/>
      <c r="K376" s="14">
        <f>IF($X376="","",INDEX('Per Line'!$R$2:$R$1501,$X376))</f>
        <v/>
      </c>
      <c r="L376">
        <f>IF($X376="","",INDEX('Per Line'!$E$2:$E$1501,$X376))</f>
        <v/>
      </c>
      <c r="M376" s="7">
        <f>IF($X376="","",L376*U376/100)</f>
        <v/>
      </c>
      <c r="N376">
        <f>IF($X376="","",IF(ISNUMBER(SEARCH("3&amp;12",SUBSTITUTE(J376," ",""))),Settings!$G$7,Settings!$C$7))</f>
        <v/>
      </c>
      <c r="O376" s="7">
        <f>IF($X376="","",SUMIFS('Per Line'!$N$2:$N$1501,'Per Line'!$A$2:$A$1501,$B376,'Per Line'!$X$2:$X$1501,0))</f>
        <v/>
      </c>
      <c r="P376" s="7">
        <f>IF($X376="","",O376*N376)</f>
        <v/>
      </c>
      <c r="Q376">
        <f>IF($X376="","",IF(ISNUMBER(SEARCH("3&amp;12",SUBSTITUTE(J376," ",""))),Settings!$G$6,Settings!$C$6))</f>
        <v/>
      </c>
      <c r="R376" s="7">
        <f>IF($X376="","",SUMIFS('Per Line'!$N$2:$N$1501,'Per Line'!$A$2:$A$1501,$B376,'Per Line'!$X$2:$X$1501,1))</f>
        <v/>
      </c>
      <c r="S376" s="7">
        <f>IF($X376="","",R376*Q376)</f>
        <v/>
      </c>
      <c r="T376" s="7">
        <f>IF($X376="","",S376+P376)</f>
        <v/>
      </c>
      <c r="U376" s="7">
        <f>IF($X376="","",V376-T376)</f>
        <v/>
      </c>
      <c r="V376" s="7">
        <f>IF($X376="","",O376+R376)</f>
        <v/>
      </c>
      <c r="W376" s="7">
        <f>IF($X376="","",V376-T376-M376)</f>
        <v/>
      </c>
      <c r="X376" s="16">
        <f>IF(ROWS($X$2:$X376)&lt;=MAX('Per Line'!$W$2:$W$1501),MATCH(ROWS($X$2:$X376),'Per Line'!$W$2:$W$1501,0),"")</f>
        <v/>
      </c>
      <c r="Y376">
        <f>IF($X376="","",C376&amp;"|"&amp;COUNTIF($C$2:$C376,C376))</f>
        <v/>
      </c>
    </row>
    <row r="377">
      <c r="A377" s="15" t="n"/>
      <c r="B377">
        <f>IF($X377="","",INDEX('Per Line'!$A$2:$A$1501,$X377)&amp;"")</f>
        <v/>
      </c>
      <c r="C377">
        <f>IF($X377="","",IF(OR(TRIM(H377)="",TRIM(H377)="All",TRIM(H377)="All Comp"),TRIM(J377),TRIM(H377)))</f>
        <v/>
      </c>
      <c r="D377">
        <f>IF($X377="","",INDEX('Per Line'!$B$2:$B$1501,$X377)&amp;"")</f>
        <v/>
      </c>
      <c r="E377">
        <f>IF($X377="","",INDEX('Per Line'!$C$2:$C$1501,$X377)&amp;"")</f>
        <v/>
      </c>
      <c r="F377">
        <f>IF($X377="","",INDEX('Per Line'!$D$2:$D$1501,$X377)&amp;"")</f>
        <v/>
      </c>
      <c r="G377" s="15" t="n"/>
      <c r="H377" s="15" t="n"/>
      <c r="I377" s="15" t="n"/>
      <c r="J377" s="15" t="n"/>
      <c r="K377" s="14">
        <f>IF($X377="","",INDEX('Per Line'!$R$2:$R$1501,$X377))</f>
        <v/>
      </c>
      <c r="L377">
        <f>IF($X377="","",INDEX('Per Line'!$E$2:$E$1501,$X377))</f>
        <v/>
      </c>
      <c r="M377" s="7">
        <f>IF($X377="","",L377*U377/100)</f>
        <v/>
      </c>
      <c r="N377">
        <f>IF($X377="","",IF(ISNUMBER(SEARCH("3&amp;12",SUBSTITUTE(J377," ",""))),Settings!$G$7,Settings!$C$7))</f>
        <v/>
      </c>
      <c r="O377" s="7">
        <f>IF($X377="","",SUMIFS('Per Line'!$N$2:$N$1501,'Per Line'!$A$2:$A$1501,$B377,'Per Line'!$X$2:$X$1501,0))</f>
        <v/>
      </c>
      <c r="P377" s="7">
        <f>IF($X377="","",O377*N377)</f>
        <v/>
      </c>
      <c r="Q377">
        <f>IF($X377="","",IF(ISNUMBER(SEARCH("3&amp;12",SUBSTITUTE(J377," ",""))),Settings!$G$6,Settings!$C$6))</f>
        <v/>
      </c>
      <c r="R377" s="7">
        <f>IF($X377="","",SUMIFS('Per Line'!$N$2:$N$1501,'Per Line'!$A$2:$A$1501,$B377,'Per Line'!$X$2:$X$1501,1))</f>
        <v/>
      </c>
      <c r="S377" s="7">
        <f>IF($X377="","",R377*Q377)</f>
        <v/>
      </c>
      <c r="T377" s="7">
        <f>IF($X377="","",S377+P377)</f>
        <v/>
      </c>
      <c r="U377" s="7">
        <f>IF($X377="","",V377-T377)</f>
        <v/>
      </c>
      <c r="V377" s="7">
        <f>IF($X377="","",O377+R377)</f>
        <v/>
      </c>
      <c r="W377" s="7">
        <f>IF($X377="","",V377-T377-M377)</f>
        <v/>
      </c>
      <c r="X377" s="16">
        <f>IF(ROWS($X$2:$X377)&lt;=MAX('Per Line'!$W$2:$W$1501),MATCH(ROWS($X$2:$X377),'Per Line'!$W$2:$W$1501,0),"")</f>
        <v/>
      </c>
      <c r="Y377">
        <f>IF($X377="","",C377&amp;"|"&amp;COUNTIF($C$2:$C377,C377))</f>
        <v/>
      </c>
    </row>
    <row r="378">
      <c r="A378" s="15" t="n"/>
      <c r="B378">
        <f>IF($X378="","",INDEX('Per Line'!$A$2:$A$1501,$X378)&amp;"")</f>
        <v/>
      </c>
      <c r="C378">
        <f>IF($X378="","",IF(OR(TRIM(H378)="",TRIM(H378)="All",TRIM(H378)="All Comp"),TRIM(J378),TRIM(H378)))</f>
        <v/>
      </c>
      <c r="D378">
        <f>IF($X378="","",INDEX('Per Line'!$B$2:$B$1501,$X378)&amp;"")</f>
        <v/>
      </c>
      <c r="E378">
        <f>IF($X378="","",INDEX('Per Line'!$C$2:$C$1501,$X378)&amp;"")</f>
        <v/>
      </c>
      <c r="F378">
        <f>IF($X378="","",INDEX('Per Line'!$D$2:$D$1501,$X378)&amp;"")</f>
        <v/>
      </c>
      <c r="G378" s="15" t="n"/>
      <c r="H378" s="15" t="n"/>
      <c r="I378" s="15" t="n"/>
      <c r="J378" s="15" t="n"/>
      <c r="K378" s="14">
        <f>IF($X378="","",INDEX('Per Line'!$R$2:$R$1501,$X378))</f>
        <v/>
      </c>
      <c r="L378">
        <f>IF($X378="","",INDEX('Per Line'!$E$2:$E$1501,$X378))</f>
        <v/>
      </c>
      <c r="M378" s="7">
        <f>IF($X378="","",L378*U378/100)</f>
        <v/>
      </c>
      <c r="N378">
        <f>IF($X378="","",IF(ISNUMBER(SEARCH("3&amp;12",SUBSTITUTE(J378," ",""))),Settings!$G$7,Settings!$C$7))</f>
        <v/>
      </c>
      <c r="O378" s="7">
        <f>IF($X378="","",SUMIFS('Per Line'!$N$2:$N$1501,'Per Line'!$A$2:$A$1501,$B378,'Per Line'!$X$2:$X$1501,0))</f>
        <v/>
      </c>
      <c r="P378" s="7">
        <f>IF($X378="","",O378*N378)</f>
        <v/>
      </c>
      <c r="Q378">
        <f>IF($X378="","",IF(ISNUMBER(SEARCH("3&amp;12",SUBSTITUTE(J378," ",""))),Settings!$G$6,Settings!$C$6))</f>
        <v/>
      </c>
      <c r="R378" s="7">
        <f>IF($X378="","",SUMIFS('Per Line'!$N$2:$N$1501,'Per Line'!$A$2:$A$1501,$B378,'Per Line'!$X$2:$X$1501,1))</f>
        <v/>
      </c>
      <c r="S378" s="7">
        <f>IF($X378="","",R378*Q378)</f>
        <v/>
      </c>
      <c r="T378" s="7">
        <f>IF($X378="","",S378+P378)</f>
        <v/>
      </c>
      <c r="U378" s="7">
        <f>IF($X378="","",V378-T378)</f>
        <v/>
      </c>
      <c r="V378" s="7">
        <f>IF($X378="","",O378+R378)</f>
        <v/>
      </c>
      <c r="W378" s="7">
        <f>IF($X378="","",V378-T378-M378)</f>
        <v/>
      </c>
      <c r="X378" s="16">
        <f>IF(ROWS($X$2:$X378)&lt;=MAX('Per Line'!$W$2:$W$1501),MATCH(ROWS($X$2:$X378),'Per Line'!$W$2:$W$1501,0),"")</f>
        <v/>
      </c>
      <c r="Y378">
        <f>IF($X378="","",C378&amp;"|"&amp;COUNTIF($C$2:$C378,C378))</f>
        <v/>
      </c>
    </row>
    <row r="379">
      <c r="A379" s="15" t="n"/>
      <c r="B379">
        <f>IF($X379="","",INDEX('Per Line'!$A$2:$A$1501,$X379)&amp;"")</f>
        <v/>
      </c>
      <c r="C379">
        <f>IF($X379="","",IF(OR(TRIM(H379)="",TRIM(H379)="All",TRIM(H379)="All Comp"),TRIM(J379),TRIM(H379)))</f>
        <v/>
      </c>
      <c r="D379">
        <f>IF($X379="","",INDEX('Per Line'!$B$2:$B$1501,$X379)&amp;"")</f>
        <v/>
      </c>
      <c r="E379">
        <f>IF($X379="","",INDEX('Per Line'!$C$2:$C$1501,$X379)&amp;"")</f>
        <v/>
      </c>
      <c r="F379">
        <f>IF($X379="","",INDEX('Per Line'!$D$2:$D$1501,$X379)&amp;"")</f>
        <v/>
      </c>
      <c r="G379" s="15" t="n"/>
      <c r="H379" s="15" t="n"/>
      <c r="I379" s="15" t="n"/>
      <c r="J379" s="15" t="n"/>
      <c r="K379" s="14">
        <f>IF($X379="","",INDEX('Per Line'!$R$2:$R$1501,$X379))</f>
        <v/>
      </c>
      <c r="L379">
        <f>IF($X379="","",INDEX('Per Line'!$E$2:$E$1501,$X379))</f>
        <v/>
      </c>
      <c r="M379" s="7">
        <f>IF($X379="","",L379*U379/100)</f>
        <v/>
      </c>
      <c r="N379">
        <f>IF($X379="","",IF(ISNUMBER(SEARCH("3&amp;12",SUBSTITUTE(J379," ",""))),Settings!$G$7,Settings!$C$7))</f>
        <v/>
      </c>
      <c r="O379" s="7">
        <f>IF($X379="","",SUMIFS('Per Line'!$N$2:$N$1501,'Per Line'!$A$2:$A$1501,$B379,'Per Line'!$X$2:$X$1501,0))</f>
        <v/>
      </c>
      <c r="P379" s="7">
        <f>IF($X379="","",O379*N379)</f>
        <v/>
      </c>
      <c r="Q379">
        <f>IF($X379="","",IF(ISNUMBER(SEARCH("3&amp;12",SUBSTITUTE(J379," ",""))),Settings!$G$6,Settings!$C$6))</f>
        <v/>
      </c>
      <c r="R379" s="7">
        <f>IF($X379="","",SUMIFS('Per Line'!$N$2:$N$1501,'Per Line'!$A$2:$A$1501,$B379,'Per Line'!$X$2:$X$1501,1))</f>
        <v/>
      </c>
      <c r="S379" s="7">
        <f>IF($X379="","",R379*Q379)</f>
        <v/>
      </c>
      <c r="T379" s="7">
        <f>IF($X379="","",S379+P379)</f>
        <v/>
      </c>
      <c r="U379" s="7">
        <f>IF($X379="","",V379-T379)</f>
        <v/>
      </c>
      <c r="V379" s="7">
        <f>IF($X379="","",O379+R379)</f>
        <v/>
      </c>
      <c r="W379" s="7">
        <f>IF($X379="","",V379-T379-M379)</f>
        <v/>
      </c>
      <c r="X379" s="16">
        <f>IF(ROWS($X$2:$X379)&lt;=MAX('Per Line'!$W$2:$W$1501),MATCH(ROWS($X$2:$X379),'Per Line'!$W$2:$W$1501,0),"")</f>
        <v/>
      </c>
      <c r="Y379">
        <f>IF($X379="","",C379&amp;"|"&amp;COUNTIF($C$2:$C379,C379))</f>
        <v/>
      </c>
    </row>
    <row r="380">
      <c r="A380" s="15" t="n"/>
      <c r="B380">
        <f>IF($X380="","",INDEX('Per Line'!$A$2:$A$1501,$X380)&amp;"")</f>
        <v/>
      </c>
      <c r="C380">
        <f>IF($X380="","",IF(OR(TRIM(H380)="",TRIM(H380)="All",TRIM(H380)="All Comp"),TRIM(J380),TRIM(H380)))</f>
        <v/>
      </c>
      <c r="D380">
        <f>IF($X380="","",INDEX('Per Line'!$B$2:$B$1501,$X380)&amp;"")</f>
        <v/>
      </c>
      <c r="E380">
        <f>IF($X380="","",INDEX('Per Line'!$C$2:$C$1501,$X380)&amp;"")</f>
        <v/>
      </c>
      <c r="F380">
        <f>IF($X380="","",INDEX('Per Line'!$D$2:$D$1501,$X380)&amp;"")</f>
        <v/>
      </c>
      <c r="G380" s="15" t="n"/>
      <c r="H380" s="15" t="n"/>
      <c r="I380" s="15" t="n"/>
      <c r="J380" s="15" t="n"/>
      <c r="K380" s="14">
        <f>IF($X380="","",INDEX('Per Line'!$R$2:$R$1501,$X380))</f>
        <v/>
      </c>
      <c r="L380">
        <f>IF($X380="","",INDEX('Per Line'!$E$2:$E$1501,$X380))</f>
        <v/>
      </c>
      <c r="M380" s="7">
        <f>IF($X380="","",L380*U380/100)</f>
        <v/>
      </c>
      <c r="N380">
        <f>IF($X380="","",IF(ISNUMBER(SEARCH("3&amp;12",SUBSTITUTE(J380," ",""))),Settings!$G$7,Settings!$C$7))</f>
        <v/>
      </c>
      <c r="O380" s="7">
        <f>IF($X380="","",SUMIFS('Per Line'!$N$2:$N$1501,'Per Line'!$A$2:$A$1501,$B380,'Per Line'!$X$2:$X$1501,0))</f>
        <v/>
      </c>
      <c r="P380" s="7">
        <f>IF($X380="","",O380*N380)</f>
        <v/>
      </c>
      <c r="Q380">
        <f>IF($X380="","",IF(ISNUMBER(SEARCH("3&amp;12",SUBSTITUTE(J380," ",""))),Settings!$G$6,Settings!$C$6))</f>
        <v/>
      </c>
      <c r="R380" s="7">
        <f>IF($X380="","",SUMIFS('Per Line'!$N$2:$N$1501,'Per Line'!$A$2:$A$1501,$B380,'Per Line'!$X$2:$X$1501,1))</f>
        <v/>
      </c>
      <c r="S380" s="7">
        <f>IF($X380="","",R380*Q380)</f>
        <v/>
      </c>
      <c r="T380" s="7">
        <f>IF($X380="","",S380+P380)</f>
        <v/>
      </c>
      <c r="U380" s="7">
        <f>IF($X380="","",V380-T380)</f>
        <v/>
      </c>
      <c r="V380" s="7">
        <f>IF($X380="","",O380+R380)</f>
        <v/>
      </c>
      <c r="W380" s="7">
        <f>IF($X380="","",V380-T380-M380)</f>
        <v/>
      </c>
      <c r="X380" s="16">
        <f>IF(ROWS($X$2:$X380)&lt;=MAX('Per Line'!$W$2:$W$1501),MATCH(ROWS($X$2:$X380),'Per Line'!$W$2:$W$1501,0),"")</f>
        <v/>
      </c>
      <c r="Y380">
        <f>IF($X380="","",C380&amp;"|"&amp;COUNTIF($C$2:$C380,C380))</f>
        <v/>
      </c>
    </row>
    <row r="381">
      <c r="A381" s="15" t="n"/>
      <c r="B381">
        <f>IF($X381="","",INDEX('Per Line'!$A$2:$A$1501,$X381)&amp;"")</f>
        <v/>
      </c>
      <c r="C381">
        <f>IF($X381="","",IF(OR(TRIM(H381)="",TRIM(H381)="All",TRIM(H381)="All Comp"),TRIM(J381),TRIM(H381)))</f>
        <v/>
      </c>
      <c r="D381">
        <f>IF($X381="","",INDEX('Per Line'!$B$2:$B$1501,$X381)&amp;"")</f>
        <v/>
      </c>
      <c r="E381">
        <f>IF($X381="","",INDEX('Per Line'!$C$2:$C$1501,$X381)&amp;"")</f>
        <v/>
      </c>
      <c r="F381">
        <f>IF($X381="","",INDEX('Per Line'!$D$2:$D$1501,$X381)&amp;"")</f>
        <v/>
      </c>
      <c r="G381" s="15" t="n"/>
      <c r="H381" s="15" t="n"/>
      <c r="I381" s="15" t="n"/>
      <c r="J381" s="15" t="n"/>
      <c r="K381" s="14">
        <f>IF($X381="","",INDEX('Per Line'!$R$2:$R$1501,$X381))</f>
        <v/>
      </c>
      <c r="L381">
        <f>IF($X381="","",INDEX('Per Line'!$E$2:$E$1501,$X381))</f>
        <v/>
      </c>
      <c r="M381" s="7">
        <f>IF($X381="","",L381*U381/100)</f>
        <v/>
      </c>
      <c r="N381">
        <f>IF($X381="","",IF(ISNUMBER(SEARCH("3&amp;12",SUBSTITUTE(J381," ",""))),Settings!$G$7,Settings!$C$7))</f>
        <v/>
      </c>
      <c r="O381" s="7">
        <f>IF($X381="","",SUMIFS('Per Line'!$N$2:$N$1501,'Per Line'!$A$2:$A$1501,$B381,'Per Line'!$X$2:$X$1501,0))</f>
        <v/>
      </c>
      <c r="P381" s="7">
        <f>IF($X381="","",O381*N381)</f>
        <v/>
      </c>
      <c r="Q381">
        <f>IF($X381="","",IF(ISNUMBER(SEARCH("3&amp;12",SUBSTITUTE(J381," ",""))),Settings!$G$6,Settings!$C$6))</f>
        <v/>
      </c>
      <c r="R381" s="7">
        <f>IF($X381="","",SUMIFS('Per Line'!$N$2:$N$1501,'Per Line'!$A$2:$A$1501,$B381,'Per Line'!$X$2:$X$1501,1))</f>
        <v/>
      </c>
      <c r="S381" s="7">
        <f>IF($X381="","",R381*Q381)</f>
        <v/>
      </c>
      <c r="T381" s="7">
        <f>IF($X381="","",S381+P381)</f>
        <v/>
      </c>
      <c r="U381" s="7">
        <f>IF($X381="","",V381-T381)</f>
        <v/>
      </c>
      <c r="V381" s="7">
        <f>IF($X381="","",O381+R381)</f>
        <v/>
      </c>
      <c r="W381" s="7">
        <f>IF($X381="","",V381-T381-M381)</f>
        <v/>
      </c>
      <c r="X381" s="16">
        <f>IF(ROWS($X$2:$X381)&lt;=MAX('Per Line'!$W$2:$W$1501),MATCH(ROWS($X$2:$X381),'Per Line'!$W$2:$W$1501,0),"")</f>
        <v/>
      </c>
      <c r="Y381">
        <f>IF($X381="","",C381&amp;"|"&amp;COUNTIF($C$2:$C381,C381))</f>
        <v/>
      </c>
    </row>
    <row r="382">
      <c r="A382" s="15" t="n"/>
      <c r="B382">
        <f>IF($X382="","",INDEX('Per Line'!$A$2:$A$1501,$X382)&amp;"")</f>
        <v/>
      </c>
      <c r="C382">
        <f>IF($X382="","",IF(OR(TRIM(H382)="",TRIM(H382)="All",TRIM(H382)="All Comp"),TRIM(J382),TRIM(H382)))</f>
        <v/>
      </c>
      <c r="D382">
        <f>IF($X382="","",INDEX('Per Line'!$B$2:$B$1501,$X382)&amp;"")</f>
        <v/>
      </c>
      <c r="E382">
        <f>IF($X382="","",INDEX('Per Line'!$C$2:$C$1501,$X382)&amp;"")</f>
        <v/>
      </c>
      <c r="F382">
        <f>IF($X382="","",INDEX('Per Line'!$D$2:$D$1501,$X382)&amp;"")</f>
        <v/>
      </c>
      <c r="G382" s="15" t="n"/>
      <c r="H382" s="15" t="n"/>
      <c r="I382" s="15" t="n"/>
      <c r="J382" s="15" t="n"/>
      <c r="K382" s="14">
        <f>IF($X382="","",INDEX('Per Line'!$R$2:$R$1501,$X382))</f>
        <v/>
      </c>
      <c r="L382">
        <f>IF($X382="","",INDEX('Per Line'!$E$2:$E$1501,$X382))</f>
        <v/>
      </c>
      <c r="M382" s="7">
        <f>IF($X382="","",L382*U382/100)</f>
        <v/>
      </c>
      <c r="N382">
        <f>IF($X382="","",IF(ISNUMBER(SEARCH("3&amp;12",SUBSTITUTE(J382," ",""))),Settings!$G$7,Settings!$C$7))</f>
        <v/>
      </c>
      <c r="O382" s="7">
        <f>IF($X382="","",SUMIFS('Per Line'!$N$2:$N$1501,'Per Line'!$A$2:$A$1501,$B382,'Per Line'!$X$2:$X$1501,0))</f>
        <v/>
      </c>
      <c r="P382" s="7">
        <f>IF($X382="","",O382*N382)</f>
        <v/>
      </c>
      <c r="Q382">
        <f>IF($X382="","",IF(ISNUMBER(SEARCH("3&amp;12",SUBSTITUTE(J382," ",""))),Settings!$G$6,Settings!$C$6))</f>
        <v/>
      </c>
      <c r="R382" s="7">
        <f>IF($X382="","",SUMIFS('Per Line'!$N$2:$N$1501,'Per Line'!$A$2:$A$1501,$B382,'Per Line'!$X$2:$X$1501,1))</f>
        <v/>
      </c>
      <c r="S382" s="7">
        <f>IF($X382="","",R382*Q382)</f>
        <v/>
      </c>
      <c r="T382" s="7">
        <f>IF($X382="","",S382+P382)</f>
        <v/>
      </c>
      <c r="U382" s="7">
        <f>IF($X382="","",V382-T382)</f>
        <v/>
      </c>
      <c r="V382" s="7">
        <f>IF($X382="","",O382+R382)</f>
        <v/>
      </c>
      <c r="W382" s="7">
        <f>IF($X382="","",V382-T382-M382)</f>
        <v/>
      </c>
      <c r="X382" s="16">
        <f>IF(ROWS($X$2:$X382)&lt;=MAX('Per Line'!$W$2:$W$1501),MATCH(ROWS($X$2:$X382),'Per Line'!$W$2:$W$1501,0),"")</f>
        <v/>
      </c>
      <c r="Y382">
        <f>IF($X382="","",C382&amp;"|"&amp;COUNTIF($C$2:$C382,C382))</f>
        <v/>
      </c>
    </row>
    <row r="383">
      <c r="A383" s="15" t="n"/>
      <c r="B383">
        <f>IF($X383="","",INDEX('Per Line'!$A$2:$A$1501,$X383)&amp;"")</f>
        <v/>
      </c>
      <c r="C383">
        <f>IF($X383="","",IF(OR(TRIM(H383)="",TRIM(H383)="All",TRIM(H383)="All Comp"),TRIM(J383),TRIM(H383)))</f>
        <v/>
      </c>
      <c r="D383">
        <f>IF($X383="","",INDEX('Per Line'!$B$2:$B$1501,$X383)&amp;"")</f>
        <v/>
      </c>
      <c r="E383">
        <f>IF($X383="","",INDEX('Per Line'!$C$2:$C$1501,$X383)&amp;"")</f>
        <v/>
      </c>
      <c r="F383">
        <f>IF($X383="","",INDEX('Per Line'!$D$2:$D$1501,$X383)&amp;"")</f>
        <v/>
      </c>
      <c r="G383" s="15" t="n"/>
      <c r="H383" s="15" t="n"/>
      <c r="I383" s="15" t="n"/>
      <c r="J383" s="15" t="n"/>
      <c r="K383" s="14">
        <f>IF($X383="","",INDEX('Per Line'!$R$2:$R$1501,$X383))</f>
        <v/>
      </c>
      <c r="L383">
        <f>IF($X383="","",INDEX('Per Line'!$E$2:$E$1501,$X383))</f>
        <v/>
      </c>
      <c r="M383" s="7">
        <f>IF($X383="","",L383*U383/100)</f>
        <v/>
      </c>
      <c r="N383">
        <f>IF($X383="","",IF(ISNUMBER(SEARCH("3&amp;12",SUBSTITUTE(J383," ",""))),Settings!$G$7,Settings!$C$7))</f>
        <v/>
      </c>
      <c r="O383" s="7">
        <f>IF($X383="","",SUMIFS('Per Line'!$N$2:$N$1501,'Per Line'!$A$2:$A$1501,$B383,'Per Line'!$X$2:$X$1501,0))</f>
        <v/>
      </c>
      <c r="P383" s="7">
        <f>IF($X383="","",O383*N383)</f>
        <v/>
      </c>
      <c r="Q383">
        <f>IF($X383="","",IF(ISNUMBER(SEARCH("3&amp;12",SUBSTITUTE(J383," ",""))),Settings!$G$6,Settings!$C$6))</f>
        <v/>
      </c>
      <c r="R383" s="7">
        <f>IF($X383="","",SUMIFS('Per Line'!$N$2:$N$1501,'Per Line'!$A$2:$A$1501,$B383,'Per Line'!$X$2:$X$1501,1))</f>
        <v/>
      </c>
      <c r="S383" s="7">
        <f>IF($X383="","",R383*Q383)</f>
        <v/>
      </c>
      <c r="T383" s="7">
        <f>IF($X383="","",S383+P383)</f>
        <v/>
      </c>
      <c r="U383" s="7">
        <f>IF($X383="","",V383-T383)</f>
        <v/>
      </c>
      <c r="V383" s="7">
        <f>IF($X383="","",O383+R383)</f>
        <v/>
      </c>
      <c r="W383" s="7">
        <f>IF($X383="","",V383-T383-M383)</f>
        <v/>
      </c>
      <c r="X383" s="16">
        <f>IF(ROWS($X$2:$X383)&lt;=MAX('Per Line'!$W$2:$W$1501),MATCH(ROWS($X$2:$X383),'Per Line'!$W$2:$W$1501,0),"")</f>
        <v/>
      </c>
      <c r="Y383">
        <f>IF($X383="","",C383&amp;"|"&amp;COUNTIF($C$2:$C383,C383))</f>
        <v/>
      </c>
    </row>
    <row r="384">
      <c r="A384" s="15" t="n"/>
      <c r="B384">
        <f>IF($X384="","",INDEX('Per Line'!$A$2:$A$1501,$X384)&amp;"")</f>
        <v/>
      </c>
      <c r="C384">
        <f>IF($X384="","",IF(OR(TRIM(H384)="",TRIM(H384)="All",TRIM(H384)="All Comp"),TRIM(J384),TRIM(H384)))</f>
        <v/>
      </c>
      <c r="D384">
        <f>IF($X384="","",INDEX('Per Line'!$B$2:$B$1501,$X384)&amp;"")</f>
        <v/>
      </c>
      <c r="E384">
        <f>IF($X384="","",INDEX('Per Line'!$C$2:$C$1501,$X384)&amp;"")</f>
        <v/>
      </c>
      <c r="F384">
        <f>IF($X384="","",INDEX('Per Line'!$D$2:$D$1501,$X384)&amp;"")</f>
        <v/>
      </c>
      <c r="G384" s="15" t="n"/>
      <c r="H384" s="15" t="n"/>
      <c r="I384" s="15" t="n"/>
      <c r="J384" s="15" t="n"/>
      <c r="K384" s="14">
        <f>IF($X384="","",INDEX('Per Line'!$R$2:$R$1501,$X384))</f>
        <v/>
      </c>
      <c r="L384">
        <f>IF($X384="","",INDEX('Per Line'!$E$2:$E$1501,$X384))</f>
        <v/>
      </c>
      <c r="M384" s="7">
        <f>IF($X384="","",L384*U384/100)</f>
        <v/>
      </c>
      <c r="N384">
        <f>IF($X384="","",IF(ISNUMBER(SEARCH("3&amp;12",SUBSTITUTE(J384," ",""))),Settings!$G$7,Settings!$C$7))</f>
        <v/>
      </c>
      <c r="O384" s="7">
        <f>IF($X384="","",SUMIFS('Per Line'!$N$2:$N$1501,'Per Line'!$A$2:$A$1501,$B384,'Per Line'!$X$2:$X$1501,0))</f>
        <v/>
      </c>
      <c r="P384" s="7">
        <f>IF($X384="","",O384*N384)</f>
        <v/>
      </c>
      <c r="Q384">
        <f>IF($X384="","",IF(ISNUMBER(SEARCH("3&amp;12",SUBSTITUTE(J384," ",""))),Settings!$G$6,Settings!$C$6))</f>
        <v/>
      </c>
      <c r="R384" s="7">
        <f>IF($X384="","",SUMIFS('Per Line'!$N$2:$N$1501,'Per Line'!$A$2:$A$1501,$B384,'Per Line'!$X$2:$X$1501,1))</f>
        <v/>
      </c>
      <c r="S384" s="7">
        <f>IF($X384="","",R384*Q384)</f>
        <v/>
      </c>
      <c r="T384" s="7">
        <f>IF($X384="","",S384+P384)</f>
        <v/>
      </c>
      <c r="U384" s="7">
        <f>IF($X384="","",V384-T384)</f>
        <v/>
      </c>
      <c r="V384" s="7">
        <f>IF($X384="","",O384+R384)</f>
        <v/>
      </c>
      <c r="W384" s="7">
        <f>IF($X384="","",V384-T384-M384)</f>
        <v/>
      </c>
      <c r="X384" s="16">
        <f>IF(ROWS($X$2:$X384)&lt;=MAX('Per Line'!$W$2:$W$1501),MATCH(ROWS($X$2:$X384),'Per Line'!$W$2:$W$1501,0),"")</f>
        <v/>
      </c>
      <c r="Y384">
        <f>IF($X384="","",C384&amp;"|"&amp;COUNTIF($C$2:$C384,C384))</f>
        <v/>
      </c>
    </row>
    <row r="385">
      <c r="A385" s="15" t="n"/>
      <c r="B385">
        <f>IF($X385="","",INDEX('Per Line'!$A$2:$A$1501,$X385)&amp;"")</f>
        <v/>
      </c>
      <c r="C385">
        <f>IF($X385="","",IF(OR(TRIM(H385)="",TRIM(H385)="All",TRIM(H385)="All Comp"),TRIM(J385),TRIM(H385)))</f>
        <v/>
      </c>
      <c r="D385">
        <f>IF($X385="","",INDEX('Per Line'!$B$2:$B$1501,$X385)&amp;"")</f>
        <v/>
      </c>
      <c r="E385">
        <f>IF($X385="","",INDEX('Per Line'!$C$2:$C$1501,$X385)&amp;"")</f>
        <v/>
      </c>
      <c r="F385">
        <f>IF($X385="","",INDEX('Per Line'!$D$2:$D$1501,$X385)&amp;"")</f>
        <v/>
      </c>
      <c r="G385" s="15" t="n"/>
      <c r="H385" s="15" t="n"/>
      <c r="I385" s="15" t="n"/>
      <c r="J385" s="15" t="n"/>
      <c r="K385" s="14">
        <f>IF($X385="","",INDEX('Per Line'!$R$2:$R$1501,$X385))</f>
        <v/>
      </c>
      <c r="L385">
        <f>IF($X385="","",INDEX('Per Line'!$E$2:$E$1501,$X385))</f>
        <v/>
      </c>
      <c r="M385" s="7">
        <f>IF($X385="","",L385*U385/100)</f>
        <v/>
      </c>
      <c r="N385">
        <f>IF($X385="","",IF(ISNUMBER(SEARCH("3&amp;12",SUBSTITUTE(J385," ",""))),Settings!$G$7,Settings!$C$7))</f>
        <v/>
      </c>
      <c r="O385" s="7">
        <f>IF($X385="","",SUMIFS('Per Line'!$N$2:$N$1501,'Per Line'!$A$2:$A$1501,$B385,'Per Line'!$X$2:$X$1501,0))</f>
        <v/>
      </c>
      <c r="P385" s="7">
        <f>IF($X385="","",O385*N385)</f>
        <v/>
      </c>
      <c r="Q385">
        <f>IF($X385="","",IF(ISNUMBER(SEARCH("3&amp;12",SUBSTITUTE(J385," ",""))),Settings!$G$6,Settings!$C$6))</f>
        <v/>
      </c>
      <c r="R385" s="7">
        <f>IF($X385="","",SUMIFS('Per Line'!$N$2:$N$1501,'Per Line'!$A$2:$A$1501,$B385,'Per Line'!$X$2:$X$1501,1))</f>
        <v/>
      </c>
      <c r="S385" s="7">
        <f>IF($X385="","",R385*Q385)</f>
        <v/>
      </c>
      <c r="T385" s="7">
        <f>IF($X385="","",S385+P385)</f>
        <v/>
      </c>
      <c r="U385" s="7">
        <f>IF($X385="","",V385-T385)</f>
        <v/>
      </c>
      <c r="V385" s="7">
        <f>IF($X385="","",O385+R385)</f>
        <v/>
      </c>
      <c r="W385" s="7">
        <f>IF($X385="","",V385-T385-M385)</f>
        <v/>
      </c>
      <c r="X385" s="16">
        <f>IF(ROWS($X$2:$X385)&lt;=MAX('Per Line'!$W$2:$W$1501),MATCH(ROWS($X$2:$X385),'Per Line'!$W$2:$W$1501,0),"")</f>
        <v/>
      </c>
      <c r="Y385">
        <f>IF($X385="","",C385&amp;"|"&amp;COUNTIF($C$2:$C385,C385))</f>
        <v/>
      </c>
    </row>
    <row r="386">
      <c r="A386" s="15" t="n"/>
      <c r="B386">
        <f>IF($X386="","",INDEX('Per Line'!$A$2:$A$1501,$X386)&amp;"")</f>
        <v/>
      </c>
      <c r="C386">
        <f>IF($X386="","",IF(OR(TRIM(H386)="",TRIM(H386)="All",TRIM(H386)="All Comp"),TRIM(J386),TRIM(H386)))</f>
        <v/>
      </c>
      <c r="D386">
        <f>IF($X386="","",INDEX('Per Line'!$B$2:$B$1501,$X386)&amp;"")</f>
        <v/>
      </c>
      <c r="E386">
        <f>IF($X386="","",INDEX('Per Line'!$C$2:$C$1501,$X386)&amp;"")</f>
        <v/>
      </c>
      <c r="F386">
        <f>IF($X386="","",INDEX('Per Line'!$D$2:$D$1501,$X386)&amp;"")</f>
        <v/>
      </c>
      <c r="G386" s="15" t="n"/>
      <c r="H386" s="15" t="n"/>
      <c r="I386" s="15" t="n"/>
      <c r="J386" s="15" t="n"/>
      <c r="K386" s="14">
        <f>IF($X386="","",INDEX('Per Line'!$R$2:$R$1501,$X386))</f>
        <v/>
      </c>
      <c r="L386">
        <f>IF($X386="","",INDEX('Per Line'!$E$2:$E$1501,$X386))</f>
        <v/>
      </c>
      <c r="M386" s="7">
        <f>IF($X386="","",L386*U386/100)</f>
        <v/>
      </c>
      <c r="N386">
        <f>IF($X386="","",IF(ISNUMBER(SEARCH("3&amp;12",SUBSTITUTE(J386," ",""))),Settings!$G$7,Settings!$C$7))</f>
        <v/>
      </c>
      <c r="O386" s="7">
        <f>IF($X386="","",SUMIFS('Per Line'!$N$2:$N$1501,'Per Line'!$A$2:$A$1501,$B386,'Per Line'!$X$2:$X$1501,0))</f>
        <v/>
      </c>
      <c r="P386" s="7">
        <f>IF($X386="","",O386*N386)</f>
        <v/>
      </c>
      <c r="Q386">
        <f>IF($X386="","",IF(ISNUMBER(SEARCH("3&amp;12",SUBSTITUTE(J386," ",""))),Settings!$G$6,Settings!$C$6))</f>
        <v/>
      </c>
      <c r="R386" s="7">
        <f>IF($X386="","",SUMIFS('Per Line'!$N$2:$N$1501,'Per Line'!$A$2:$A$1501,$B386,'Per Line'!$X$2:$X$1501,1))</f>
        <v/>
      </c>
      <c r="S386" s="7">
        <f>IF($X386="","",R386*Q386)</f>
        <v/>
      </c>
      <c r="T386" s="7">
        <f>IF($X386="","",S386+P386)</f>
        <v/>
      </c>
      <c r="U386" s="7">
        <f>IF($X386="","",V386-T386)</f>
        <v/>
      </c>
      <c r="V386" s="7">
        <f>IF($X386="","",O386+R386)</f>
        <v/>
      </c>
      <c r="W386" s="7">
        <f>IF($X386="","",V386-T386-M386)</f>
        <v/>
      </c>
      <c r="X386" s="16">
        <f>IF(ROWS($X$2:$X386)&lt;=MAX('Per Line'!$W$2:$W$1501),MATCH(ROWS($X$2:$X386),'Per Line'!$W$2:$W$1501,0),"")</f>
        <v/>
      </c>
      <c r="Y386">
        <f>IF($X386="","",C386&amp;"|"&amp;COUNTIF($C$2:$C386,C386))</f>
        <v/>
      </c>
    </row>
    <row r="387">
      <c r="A387" s="15" t="n"/>
      <c r="B387">
        <f>IF($X387="","",INDEX('Per Line'!$A$2:$A$1501,$X387)&amp;"")</f>
        <v/>
      </c>
      <c r="C387">
        <f>IF($X387="","",IF(OR(TRIM(H387)="",TRIM(H387)="All",TRIM(H387)="All Comp"),TRIM(J387),TRIM(H387)))</f>
        <v/>
      </c>
      <c r="D387">
        <f>IF($X387="","",INDEX('Per Line'!$B$2:$B$1501,$X387)&amp;"")</f>
        <v/>
      </c>
      <c r="E387">
        <f>IF($X387="","",INDEX('Per Line'!$C$2:$C$1501,$X387)&amp;"")</f>
        <v/>
      </c>
      <c r="F387">
        <f>IF($X387="","",INDEX('Per Line'!$D$2:$D$1501,$X387)&amp;"")</f>
        <v/>
      </c>
      <c r="G387" s="15" t="n"/>
      <c r="H387" s="15" t="n"/>
      <c r="I387" s="15" t="n"/>
      <c r="J387" s="15" t="n"/>
      <c r="K387" s="14">
        <f>IF($X387="","",INDEX('Per Line'!$R$2:$R$1501,$X387))</f>
        <v/>
      </c>
      <c r="L387">
        <f>IF($X387="","",INDEX('Per Line'!$E$2:$E$1501,$X387))</f>
        <v/>
      </c>
      <c r="M387" s="7">
        <f>IF($X387="","",L387*U387/100)</f>
        <v/>
      </c>
      <c r="N387">
        <f>IF($X387="","",IF(ISNUMBER(SEARCH("3&amp;12",SUBSTITUTE(J387," ",""))),Settings!$G$7,Settings!$C$7))</f>
        <v/>
      </c>
      <c r="O387" s="7">
        <f>IF($X387="","",SUMIFS('Per Line'!$N$2:$N$1501,'Per Line'!$A$2:$A$1501,$B387,'Per Line'!$X$2:$X$1501,0))</f>
        <v/>
      </c>
      <c r="P387" s="7">
        <f>IF($X387="","",O387*N387)</f>
        <v/>
      </c>
      <c r="Q387">
        <f>IF($X387="","",IF(ISNUMBER(SEARCH("3&amp;12",SUBSTITUTE(J387," ",""))),Settings!$G$6,Settings!$C$6))</f>
        <v/>
      </c>
      <c r="R387" s="7">
        <f>IF($X387="","",SUMIFS('Per Line'!$N$2:$N$1501,'Per Line'!$A$2:$A$1501,$B387,'Per Line'!$X$2:$X$1501,1))</f>
        <v/>
      </c>
      <c r="S387" s="7">
        <f>IF($X387="","",R387*Q387)</f>
        <v/>
      </c>
      <c r="T387" s="7">
        <f>IF($X387="","",S387+P387)</f>
        <v/>
      </c>
      <c r="U387" s="7">
        <f>IF($X387="","",V387-T387)</f>
        <v/>
      </c>
      <c r="V387" s="7">
        <f>IF($X387="","",O387+R387)</f>
        <v/>
      </c>
      <c r="W387" s="7">
        <f>IF($X387="","",V387-T387-M387)</f>
        <v/>
      </c>
      <c r="X387" s="16">
        <f>IF(ROWS($X$2:$X387)&lt;=MAX('Per Line'!$W$2:$W$1501),MATCH(ROWS($X$2:$X387),'Per Line'!$W$2:$W$1501,0),"")</f>
        <v/>
      </c>
      <c r="Y387">
        <f>IF($X387="","",C387&amp;"|"&amp;COUNTIF($C$2:$C387,C387))</f>
        <v/>
      </c>
    </row>
    <row r="388">
      <c r="A388" s="15" t="n"/>
      <c r="B388">
        <f>IF($X388="","",INDEX('Per Line'!$A$2:$A$1501,$X388)&amp;"")</f>
        <v/>
      </c>
      <c r="C388">
        <f>IF($X388="","",IF(OR(TRIM(H388)="",TRIM(H388)="All",TRIM(H388)="All Comp"),TRIM(J388),TRIM(H388)))</f>
        <v/>
      </c>
      <c r="D388">
        <f>IF($X388="","",INDEX('Per Line'!$B$2:$B$1501,$X388)&amp;"")</f>
        <v/>
      </c>
      <c r="E388">
        <f>IF($X388="","",INDEX('Per Line'!$C$2:$C$1501,$X388)&amp;"")</f>
        <v/>
      </c>
      <c r="F388">
        <f>IF($X388="","",INDEX('Per Line'!$D$2:$D$1501,$X388)&amp;"")</f>
        <v/>
      </c>
      <c r="G388" s="15" t="n"/>
      <c r="H388" s="15" t="n"/>
      <c r="I388" s="15" t="n"/>
      <c r="J388" s="15" t="n"/>
      <c r="K388" s="14">
        <f>IF($X388="","",INDEX('Per Line'!$R$2:$R$1501,$X388))</f>
        <v/>
      </c>
      <c r="L388">
        <f>IF($X388="","",INDEX('Per Line'!$E$2:$E$1501,$X388))</f>
        <v/>
      </c>
      <c r="M388" s="7">
        <f>IF($X388="","",L388*U388/100)</f>
        <v/>
      </c>
      <c r="N388">
        <f>IF($X388="","",IF(ISNUMBER(SEARCH("3&amp;12",SUBSTITUTE(J388," ",""))),Settings!$G$7,Settings!$C$7))</f>
        <v/>
      </c>
      <c r="O388" s="7">
        <f>IF($X388="","",SUMIFS('Per Line'!$N$2:$N$1501,'Per Line'!$A$2:$A$1501,$B388,'Per Line'!$X$2:$X$1501,0))</f>
        <v/>
      </c>
      <c r="P388" s="7">
        <f>IF($X388="","",O388*N388)</f>
        <v/>
      </c>
      <c r="Q388">
        <f>IF($X388="","",IF(ISNUMBER(SEARCH("3&amp;12",SUBSTITUTE(J388," ",""))),Settings!$G$6,Settings!$C$6))</f>
        <v/>
      </c>
      <c r="R388" s="7">
        <f>IF($X388="","",SUMIFS('Per Line'!$N$2:$N$1501,'Per Line'!$A$2:$A$1501,$B388,'Per Line'!$X$2:$X$1501,1))</f>
        <v/>
      </c>
      <c r="S388" s="7">
        <f>IF($X388="","",R388*Q388)</f>
        <v/>
      </c>
      <c r="T388" s="7">
        <f>IF($X388="","",S388+P388)</f>
        <v/>
      </c>
      <c r="U388" s="7">
        <f>IF($X388="","",V388-T388)</f>
        <v/>
      </c>
      <c r="V388" s="7">
        <f>IF($X388="","",O388+R388)</f>
        <v/>
      </c>
      <c r="W388" s="7">
        <f>IF($X388="","",V388-T388-M388)</f>
        <v/>
      </c>
      <c r="X388" s="16">
        <f>IF(ROWS($X$2:$X388)&lt;=MAX('Per Line'!$W$2:$W$1501),MATCH(ROWS($X$2:$X388),'Per Line'!$W$2:$W$1501,0),"")</f>
        <v/>
      </c>
      <c r="Y388">
        <f>IF($X388="","",C388&amp;"|"&amp;COUNTIF($C$2:$C388,C388))</f>
        <v/>
      </c>
    </row>
    <row r="389">
      <c r="A389" s="15" t="n"/>
      <c r="B389">
        <f>IF($X389="","",INDEX('Per Line'!$A$2:$A$1501,$X389)&amp;"")</f>
        <v/>
      </c>
      <c r="C389">
        <f>IF($X389="","",IF(OR(TRIM(H389)="",TRIM(H389)="All",TRIM(H389)="All Comp"),TRIM(J389),TRIM(H389)))</f>
        <v/>
      </c>
      <c r="D389">
        <f>IF($X389="","",INDEX('Per Line'!$B$2:$B$1501,$X389)&amp;"")</f>
        <v/>
      </c>
      <c r="E389">
        <f>IF($X389="","",INDEX('Per Line'!$C$2:$C$1501,$X389)&amp;"")</f>
        <v/>
      </c>
      <c r="F389">
        <f>IF($X389="","",INDEX('Per Line'!$D$2:$D$1501,$X389)&amp;"")</f>
        <v/>
      </c>
      <c r="G389" s="15" t="n"/>
      <c r="H389" s="15" t="n"/>
      <c r="I389" s="15" t="n"/>
      <c r="J389" s="15" t="n"/>
      <c r="K389" s="14">
        <f>IF($X389="","",INDEX('Per Line'!$R$2:$R$1501,$X389))</f>
        <v/>
      </c>
      <c r="L389">
        <f>IF($X389="","",INDEX('Per Line'!$E$2:$E$1501,$X389))</f>
        <v/>
      </c>
      <c r="M389" s="7">
        <f>IF($X389="","",L389*U389/100)</f>
        <v/>
      </c>
      <c r="N389">
        <f>IF($X389="","",IF(ISNUMBER(SEARCH("3&amp;12",SUBSTITUTE(J389," ",""))),Settings!$G$7,Settings!$C$7))</f>
        <v/>
      </c>
      <c r="O389" s="7">
        <f>IF($X389="","",SUMIFS('Per Line'!$N$2:$N$1501,'Per Line'!$A$2:$A$1501,$B389,'Per Line'!$X$2:$X$1501,0))</f>
        <v/>
      </c>
      <c r="P389" s="7">
        <f>IF($X389="","",O389*N389)</f>
        <v/>
      </c>
      <c r="Q389">
        <f>IF($X389="","",IF(ISNUMBER(SEARCH("3&amp;12",SUBSTITUTE(J389," ",""))),Settings!$G$6,Settings!$C$6))</f>
        <v/>
      </c>
      <c r="R389" s="7">
        <f>IF($X389="","",SUMIFS('Per Line'!$N$2:$N$1501,'Per Line'!$A$2:$A$1501,$B389,'Per Line'!$X$2:$X$1501,1))</f>
        <v/>
      </c>
      <c r="S389" s="7">
        <f>IF($X389="","",R389*Q389)</f>
        <v/>
      </c>
      <c r="T389" s="7">
        <f>IF($X389="","",S389+P389)</f>
        <v/>
      </c>
      <c r="U389" s="7">
        <f>IF($X389="","",V389-T389)</f>
        <v/>
      </c>
      <c r="V389" s="7">
        <f>IF($X389="","",O389+R389)</f>
        <v/>
      </c>
      <c r="W389" s="7">
        <f>IF($X389="","",V389-T389-M389)</f>
        <v/>
      </c>
      <c r="X389" s="16">
        <f>IF(ROWS($X$2:$X389)&lt;=MAX('Per Line'!$W$2:$W$1501),MATCH(ROWS($X$2:$X389),'Per Line'!$W$2:$W$1501,0),"")</f>
        <v/>
      </c>
      <c r="Y389">
        <f>IF($X389="","",C389&amp;"|"&amp;COUNTIF($C$2:$C389,C389))</f>
        <v/>
      </c>
    </row>
    <row r="390">
      <c r="A390" s="15" t="n"/>
      <c r="B390">
        <f>IF($X390="","",INDEX('Per Line'!$A$2:$A$1501,$X390)&amp;"")</f>
        <v/>
      </c>
      <c r="C390">
        <f>IF($X390="","",IF(OR(TRIM(H390)="",TRIM(H390)="All",TRIM(H390)="All Comp"),TRIM(J390),TRIM(H390)))</f>
        <v/>
      </c>
      <c r="D390">
        <f>IF($X390="","",INDEX('Per Line'!$B$2:$B$1501,$X390)&amp;"")</f>
        <v/>
      </c>
      <c r="E390">
        <f>IF($X390="","",INDEX('Per Line'!$C$2:$C$1501,$X390)&amp;"")</f>
        <v/>
      </c>
      <c r="F390">
        <f>IF($X390="","",INDEX('Per Line'!$D$2:$D$1501,$X390)&amp;"")</f>
        <v/>
      </c>
      <c r="G390" s="15" t="n"/>
      <c r="H390" s="15" t="n"/>
      <c r="I390" s="15" t="n"/>
      <c r="J390" s="15" t="n"/>
      <c r="K390" s="14">
        <f>IF($X390="","",INDEX('Per Line'!$R$2:$R$1501,$X390))</f>
        <v/>
      </c>
      <c r="L390">
        <f>IF($X390="","",INDEX('Per Line'!$E$2:$E$1501,$X390))</f>
        <v/>
      </c>
      <c r="M390" s="7">
        <f>IF($X390="","",L390*U390/100)</f>
        <v/>
      </c>
      <c r="N390">
        <f>IF($X390="","",IF(ISNUMBER(SEARCH("3&amp;12",SUBSTITUTE(J390," ",""))),Settings!$G$7,Settings!$C$7))</f>
        <v/>
      </c>
      <c r="O390" s="7">
        <f>IF($X390="","",SUMIFS('Per Line'!$N$2:$N$1501,'Per Line'!$A$2:$A$1501,$B390,'Per Line'!$X$2:$X$1501,0))</f>
        <v/>
      </c>
      <c r="P390" s="7">
        <f>IF($X390="","",O390*N390)</f>
        <v/>
      </c>
      <c r="Q390">
        <f>IF($X390="","",IF(ISNUMBER(SEARCH("3&amp;12",SUBSTITUTE(J390," ",""))),Settings!$G$6,Settings!$C$6))</f>
        <v/>
      </c>
      <c r="R390" s="7">
        <f>IF($X390="","",SUMIFS('Per Line'!$N$2:$N$1501,'Per Line'!$A$2:$A$1501,$B390,'Per Line'!$X$2:$X$1501,1))</f>
        <v/>
      </c>
      <c r="S390" s="7">
        <f>IF($X390="","",R390*Q390)</f>
        <v/>
      </c>
      <c r="T390" s="7">
        <f>IF($X390="","",S390+P390)</f>
        <v/>
      </c>
      <c r="U390" s="7">
        <f>IF($X390="","",V390-T390)</f>
        <v/>
      </c>
      <c r="V390" s="7">
        <f>IF($X390="","",O390+R390)</f>
        <v/>
      </c>
      <c r="W390" s="7">
        <f>IF($X390="","",V390-T390-M390)</f>
        <v/>
      </c>
      <c r="X390" s="16">
        <f>IF(ROWS($X$2:$X390)&lt;=MAX('Per Line'!$W$2:$W$1501),MATCH(ROWS($X$2:$X390),'Per Line'!$W$2:$W$1501,0),"")</f>
        <v/>
      </c>
      <c r="Y390">
        <f>IF($X390="","",C390&amp;"|"&amp;COUNTIF($C$2:$C390,C390))</f>
        <v/>
      </c>
    </row>
    <row r="391">
      <c r="A391" s="15" t="n"/>
      <c r="B391">
        <f>IF($X391="","",INDEX('Per Line'!$A$2:$A$1501,$X391)&amp;"")</f>
        <v/>
      </c>
      <c r="C391">
        <f>IF($X391="","",IF(OR(TRIM(H391)="",TRIM(H391)="All",TRIM(H391)="All Comp"),TRIM(J391),TRIM(H391)))</f>
        <v/>
      </c>
      <c r="D391">
        <f>IF($X391="","",INDEX('Per Line'!$B$2:$B$1501,$X391)&amp;"")</f>
        <v/>
      </c>
      <c r="E391">
        <f>IF($X391="","",INDEX('Per Line'!$C$2:$C$1501,$X391)&amp;"")</f>
        <v/>
      </c>
      <c r="F391">
        <f>IF($X391="","",INDEX('Per Line'!$D$2:$D$1501,$X391)&amp;"")</f>
        <v/>
      </c>
      <c r="G391" s="15" t="n"/>
      <c r="H391" s="15" t="n"/>
      <c r="I391" s="15" t="n"/>
      <c r="J391" s="15" t="n"/>
      <c r="K391" s="14">
        <f>IF($X391="","",INDEX('Per Line'!$R$2:$R$1501,$X391))</f>
        <v/>
      </c>
      <c r="L391">
        <f>IF($X391="","",INDEX('Per Line'!$E$2:$E$1501,$X391))</f>
        <v/>
      </c>
      <c r="M391" s="7">
        <f>IF($X391="","",L391*U391/100)</f>
        <v/>
      </c>
      <c r="N391">
        <f>IF($X391="","",IF(ISNUMBER(SEARCH("3&amp;12",SUBSTITUTE(J391," ",""))),Settings!$G$7,Settings!$C$7))</f>
        <v/>
      </c>
      <c r="O391" s="7">
        <f>IF($X391="","",SUMIFS('Per Line'!$N$2:$N$1501,'Per Line'!$A$2:$A$1501,$B391,'Per Line'!$X$2:$X$1501,0))</f>
        <v/>
      </c>
      <c r="P391" s="7">
        <f>IF($X391="","",O391*N391)</f>
        <v/>
      </c>
      <c r="Q391">
        <f>IF($X391="","",IF(ISNUMBER(SEARCH("3&amp;12",SUBSTITUTE(J391," ",""))),Settings!$G$6,Settings!$C$6))</f>
        <v/>
      </c>
      <c r="R391" s="7">
        <f>IF($X391="","",SUMIFS('Per Line'!$N$2:$N$1501,'Per Line'!$A$2:$A$1501,$B391,'Per Line'!$X$2:$X$1501,1))</f>
        <v/>
      </c>
      <c r="S391" s="7">
        <f>IF($X391="","",R391*Q391)</f>
        <v/>
      </c>
      <c r="T391" s="7">
        <f>IF($X391="","",S391+P391)</f>
        <v/>
      </c>
      <c r="U391" s="7">
        <f>IF($X391="","",V391-T391)</f>
        <v/>
      </c>
      <c r="V391" s="7">
        <f>IF($X391="","",O391+R391)</f>
        <v/>
      </c>
      <c r="W391" s="7">
        <f>IF($X391="","",V391-T391-M391)</f>
        <v/>
      </c>
      <c r="X391" s="16">
        <f>IF(ROWS($X$2:$X391)&lt;=MAX('Per Line'!$W$2:$W$1501),MATCH(ROWS($X$2:$X391),'Per Line'!$W$2:$W$1501,0),"")</f>
        <v/>
      </c>
      <c r="Y391">
        <f>IF($X391="","",C391&amp;"|"&amp;COUNTIF($C$2:$C391,C391))</f>
        <v/>
      </c>
    </row>
    <row r="392">
      <c r="A392" s="15" t="n"/>
      <c r="B392">
        <f>IF($X392="","",INDEX('Per Line'!$A$2:$A$1501,$X392)&amp;"")</f>
        <v/>
      </c>
      <c r="C392">
        <f>IF($X392="","",IF(OR(TRIM(H392)="",TRIM(H392)="All",TRIM(H392)="All Comp"),TRIM(J392),TRIM(H392)))</f>
        <v/>
      </c>
      <c r="D392">
        <f>IF($X392="","",INDEX('Per Line'!$B$2:$B$1501,$X392)&amp;"")</f>
        <v/>
      </c>
      <c r="E392">
        <f>IF($X392="","",INDEX('Per Line'!$C$2:$C$1501,$X392)&amp;"")</f>
        <v/>
      </c>
      <c r="F392">
        <f>IF($X392="","",INDEX('Per Line'!$D$2:$D$1501,$X392)&amp;"")</f>
        <v/>
      </c>
      <c r="G392" s="15" t="n"/>
      <c r="H392" s="15" t="n"/>
      <c r="I392" s="15" t="n"/>
      <c r="J392" s="15" t="n"/>
      <c r="K392" s="14">
        <f>IF($X392="","",INDEX('Per Line'!$R$2:$R$1501,$X392))</f>
        <v/>
      </c>
      <c r="L392">
        <f>IF($X392="","",INDEX('Per Line'!$E$2:$E$1501,$X392))</f>
        <v/>
      </c>
      <c r="M392" s="7">
        <f>IF($X392="","",L392*U392/100)</f>
        <v/>
      </c>
      <c r="N392">
        <f>IF($X392="","",IF(ISNUMBER(SEARCH("3&amp;12",SUBSTITUTE(J392," ",""))),Settings!$G$7,Settings!$C$7))</f>
        <v/>
      </c>
      <c r="O392" s="7">
        <f>IF($X392="","",SUMIFS('Per Line'!$N$2:$N$1501,'Per Line'!$A$2:$A$1501,$B392,'Per Line'!$X$2:$X$1501,0))</f>
        <v/>
      </c>
      <c r="P392" s="7">
        <f>IF($X392="","",O392*N392)</f>
        <v/>
      </c>
      <c r="Q392">
        <f>IF($X392="","",IF(ISNUMBER(SEARCH("3&amp;12",SUBSTITUTE(J392," ",""))),Settings!$G$6,Settings!$C$6))</f>
        <v/>
      </c>
      <c r="R392" s="7">
        <f>IF($X392="","",SUMIFS('Per Line'!$N$2:$N$1501,'Per Line'!$A$2:$A$1501,$B392,'Per Line'!$X$2:$X$1501,1))</f>
        <v/>
      </c>
      <c r="S392" s="7">
        <f>IF($X392="","",R392*Q392)</f>
        <v/>
      </c>
      <c r="T392" s="7">
        <f>IF($X392="","",S392+P392)</f>
        <v/>
      </c>
      <c r="U392" s="7">
        <f>IF($X392="","",V392-T392)</f>
        <v/>
      </c>
      <c r="V392" s="7">
        <f>IF($X392="","",O392+R392)</f>
        <v/>
      </c>
      <c r="W392" s="7">
        <f>IF($X392="","",V392-T392-M392)</f>
        <v/>
      </c>
      <c r="X392" s="16">
        <f>IF(ROWS($X$2:$X392)&lt;=MAX('Per Line'!$W$2:$W$1501),MATCH(ROWS($X$2:$X392),'Per Line'!$W$2:$W$1501,0),"")</f>
        <v/>
      </c>
      <c r="Y392">
        <f>IF($X392="","",C392&amp;"|"&amp;COUNTIF($C$2:$C392,C392))</f>
        <v/>
      </c>
    </row>
    <row r="393">
      <c r="A393" s="15" t="n"/>
      <c r="B393">
        <f>IF($X393="","",INDEX('Per Line'!$A$2:$A$1501,$X393)&amp;"")</f>
        <v/>
      </c>
      <c r="C393">
        <f>IF($X393="","",IF(OR(TRIM(H393)="",TRIM(H393)="All",TRIM(H393)="All Comp"),TRIM(J393),TRIM(H393)))</f>
        <v/>
      </c>
      <c r="D393">
        <f>IF($X393="","",INDEX('Per Line'!$B$2:$B$1501,$X393)&amp;"")</f>
        <v/>
      </c>
      <c r="E393">
        <f>IF($X393="","",INDEX('Per Line'!$C$2:$C$1501,$X393)&amp;"")</f>
        <v/>
      </c>
      <c r="F393">
        <f>IF($X393="","",INDEX('Per Line'!$D$2:$D$1501,$X393)&amp;"")</f>
        <v/>
      </c>
      <c r="G393" s="15" t="n"/>
      <c r="H393" s="15" t="n"/>
      <c r="I393" s="15" t="n"/>
      <c r="J393" s="15" t="n"/>
      <c r="K393" s="14">
        <f>IF($X393="","",INDEX('Per Line'!$R$2:$R$1501,$X393))</f>
        <v/>
      </c>
      <c r="L393">
        <f>IF($X393="","",INDEX('Per Line'!$E$2:$E$1501,$X393))</f>
        <v/>
      </c>
      <c r="M393" s="7">
        <f>IF($X393="","",L393*U393/100)</f>
        <v/>
      </c>
      <c r="N393">
        <f>IF($X393="","",IF(ISNUMBER(SEARCH("3&amp;12",SUBSTITUTE(J393," ",""))),Settings!$G$7,Settings!$C$7))</f>
        <v/>
      </c>
      <c r="O393" s="7">
        <f>IF($X393="","",SUMIFS('Per Line'!$N$2:$N$1501,'Per Line'!$A$2:$A$1501,$B393,'Per Line'!$X$2:$X$1501,0))</f>
        <v/>
      </c>
      <c r="P393" s="7">
        <f>IF($X393="","",O393*N393)</f>
        <v/>
      </c>
      <c r="Q393">
        <f>IF($X393="","",IF(ISNUMBER(SEARCH("3&amp;12",SUBSTITUTE(J393," ",""))),Settings!$G$6,Settings!$C$6))</f>
        <v/>
      </c>
      <c r="R393" s="7">
        <f>IF($X393="","",SUMIFS('Per Line'!$N$2:$N$1501,'Per Line'!$A$2:$A$1501,$B393,'Per Line'!$X$2:$X$1501,1))</f>
        <v/>
      </c>
      <c r="S393" s="7">
        <f>IF($X393="","",R393*Q393)</f>
        <v/>
      </c>
      <c r="T393" s="7">
        <f>IF($X393="","",S393+P393)</f>
        <v/>
      </c>
      <c r="U393" s="7">
        <f>IF($X393="","",V393-T393)</f>
        <v/>
      </c>
      <c r="V393" s="7">
        <f>IF($X393="","",O393+R393)</f>
        <v/>
      </c>
      <c r="W393" s="7">
        <f>IF($X393="","",V393-T393-M393)</f>
        <v/>
      </c>
      <c r="X393" s="16">
        <f>IF(ROWS($X$2:$X393)&lt;=MAX('Per Line'!$W$2:$W$1501),MATCH(ROWS($X$2:$X393),'Per Line'!$W$2:$W$1501,0),"")</f>
        <v/>
      </c>
      <c r="Y393">
        <f>IF($X393="","",C393&amp;"|"&amp;COUNTIF($C$2:$C393,C393))</f>
        <v/>
      </c>
    </row>
    <row r="394">
      <c r="A394" s="15" t="n"/>
      <c r="B394">
        <f>IF($X394="","",INDEX('Per Line'!$A$2:$A$1501,$X394)&amp;"")</f>
        <v/>
      </c>
      <c r="C394">
        <f>IF($X394="","",IF(OR(TRIM(H394)="",TRIM(H394)="All",TRIM(H394)="All Comp"),TRIM(J394),TRIM(H394)))</f>
        <v/>
      </c>
      <c r="D394">
        <f>IF($X394="","",INDEX('Per Line'!$B$2:$B$1501,$X394)&amp;"")</f>
        <v/>
      </c>
      <c r="E394">
        <f>IF($X394="","",INDEX('Per Line'!$C$2:$C$1501,$X394)&amp;"")</f>
        <v/>
      </c>
      <c r="F394">
        <f>IF($X394="","",INDEX('Per Line'!$D$2:$D$1501,$X394)&amp;"")</f>
        <v/>
      </c>
      <c r="G394" s="15" t="n"/>
      <c r="H394" s="15" t="n"/>
      <c r="I394" s="15" t="n"/>
      <c r="J394" s="15" t="n"/>
      <c r="K394" s="14">
        <f>IF($X394="","",INDEX('Per Line'!$R$2:$R$1501,$X394))</f>
        <v/>
      </c>
      <c r="L394">
        <f>IF($X394="","",INDEX('Per Line'!$E$2:$E$1501,$X394))</f>
        <v/>
      </c>
      <c r="M394" s="7">
        <f>IF($X394="","",L394*U394/100)</f>
        <v/>
      </c>
      <c r="N394">
        <f>IF($X394="","",IF(ISNUMBER(SEARCH("3&amp;12",SUBSTITUTE(J394," ",""))),Settings!$G$7,Settings!$C$7))</f>
        <v/>
      </c>
      <c r="O394" s="7">
        <f>IF($X394="","",SUMIFS('Per Line'!$N$2:$N$1501,'Per Line'!$A$2:$A$1501,$B394,'Per Line'!$X$2:$X$1501,0))</f>
        <v/>
      </c>
      <c r="P394" s="7">
        <f>IF($X394="","",O394*N394)</f>
        <v/>
      </c>
      <c r="Q394">
        <f>IF($X394="","",IF(ISNUMBER(SEARCH("3&amp;12",SUBSTITUTE(J394," ",""))),Settings!$G$6,Settings!$C$6))</f>
        <v/>
      </c>
      <c r="R394" s="7">
        <f>IF($X394="","",SUMIFS('Per Line'!$N$2:$N$1501,'Per Line'!$A$2:$A$1501,$B394,'Per Line'!$X$2:$X$1501,1))</f>
        <v/>
      </c>
      <c r="S394" s="7">
        <f>IF($X394="","",R394*Q394)</f>
        <v/>
      </c>
      <c r="T394" s="7">
        <f>IF($X394="","",S394+P394)</f>
        <v/>
      </c>
      <c r="U394" s="7">
        <f>IF($X394="","",V394-T394)</f>
        <v/>
      </c>
      <c r="V394" s="7">
        <f>IF($X394="","",O394+R394)</f>
        <v/>
      </c>
      <c r="W394" s="7">
        <f>IF($X394="","",V394-T394-M394)</f>
        <v/>
      </c>
      <c r="X394" s="16">
        <f>IF(ROWS($X$2:$X394)&lt;=MAX('Per Line'!$W$2:$W$1501),MATCH(ROWS($X$2:$X394),'Per Line'!$W$2:$W$1501,0),"")</f>
        <v/>
      </c>
      <c r="Y394">
        <f>IF($X394="","",C394&amp;"|"&amp;COUNTIF($C$2:$C394,C394))</f>
        <v/>
      </c>
    </row>
    <row r="395">
      <c r="A395" s="15" t="n"/>
      <c r="B395">
        <f>IF($X395="","",INDEX('Per Line'!$A$2:$A$1501,$X395)&amp;"")</f>
        <v/>
      </c>
      <c r="C395">
        <f>IF($X395="","",IF(OR(TRIM(H395)="",TRIM(H395)="All",TRIM(H395)="All Comp"),TRIM(J395),TRIM(H395)))</f>
        <v/>
      </c>
      <c r="D395">
        <f>IF($X395="","",INDEX('Per Line'!$B$2:$B$1501,$X395)&amp;"")</f>
        <v/>
      </c>
      <c r="E395">
        <f>IF($X395="","",INDEX('Per Line'!$C$2:$C$1501,$X395)&amp;"")</f>
        <v/>
      </c>
      <c r="F395">
        <f>IF($X395="","",INDEX('Per Line'!$D$2:$D$1501,$X395)&amp;"")</f>
        <v/>
      </c>
      <c r="G395" s="15" t="n"/>
      <c r="H395" s="15" t="n"/>
      <c r="I395" s="15" t="n"/>
      <c r="J395" s="15" t="n"/>
      <c r="K395" s="14">
        <f>IF($X395="","",INDEX('Per Line'!$R$2:$R$1501,$X395))</f>
        <v/>
      </c>
      <c r="L395">
        <f>IF($X395="","",INDEX('Per Line'!$E$2:$E$1501,$X395))</f>
        <v/>
      </c>
      <c r="M395" s="7">
        <f>IF($X395="","",L395*U395/100)</f>
        <v/>
      </c>
      <c r="N395">
        <f>IF($X395="","",IF(ISNUMBER(SEARCH("3&amp;12",SUBSTITUTE(J395," ",""))),Settings!$G$7,Settings!$C$7))</f>
        <v/>
      </c>
      <c r="O395" s="7">
        <f>IF($X395="","",SUMIFS('Per Line'!$N$2:$N$1501,'Per Line'!$A$2:$A$1501,$B395,'Per Line'!$X$2:$X$1501,0))</f>
        <v/>
      </c>
      <c r="P395" s="7">
        <f>IF($X395="","",O395*N395)</f>
        <v/>
      </c>
      <c r="Q395">
        <f>IF($X395="","",IF(ISNUMBER(SEARCH("3&amp;12",SUBSTITUTE(J395," ",""))),Settings!$G$6,Settings!$C$6))</f>
        <v/>
      </c>
      <c r="R395" s="7">
        <f>IF($X395="","",SUMIFS('Per Line'!$N$2:$N$1501,'Per Line'!$A$2:$A$1501,$B395,'Per Line'!$X$2:$X$1501,1))</f>
        <v/>
      </c>
      <c r="S395" s="7">
        <f>IF($X395="","",R395*Q395)</f>
        <v/>
      </c>
      <c r="T395" s="7">
        <f>IF($X395="","",S395+P395)</f>
        <v/>
      </c>
      <c r="U395" s="7">
        <f>IF($X395="","",V395-T395)</f>
        <v/>
      </c>
      <c r="V395" s="7">
        <f>IF($X395="","",O395+R395)</f>
        <v/>
      </c>
      <c r="W395" s="7">
        <f>IF($X395="","",V395-T395-M395)</f>
        <v/>
      </c>
      <c r="X395" s="16">
        <f>IF(ROWS($X$2:$X395)&lt;=MAX('Per Line'!$W$2:$W$1501),MATCH(ROWS($X$2:$X395),'Per Line'!$W$2:$W$1501,0),"")</f>
        <v/>
      </c>
      <c r="Y395">
        <f>IF($X395="","",C395&amp;"|"&amp;COUNTIF($C$2:$C395,C395))</f>
        <v/>
      </c>
    </row>
    <row r="396">
      <c r="A396" s="15" t="n"/>
      <c r="B396">
        <f>IF($X396="","",INDEX('Per Line'!$A$2:$A$1501,$X396)&amp;"")</f>
        <v/>
      </c>
      <c r="C396">
        <f>IF($X396="","",IF(OR(TRIM(H396)="",TRIM(H396)="All",TRIM(H396)="All Comp"),TRIM(J396),TRIM(H396)))</f>
        <v/>
      </c>
      <c r="D396">
        <f>IF($X396="","",INDEX('Per Line'!$B$2:$B$1501,$X396)&amp;"")</f>
        <v/>
      </c>
      <c r="E396">
        <f>IF($X396="","",INDEX('Per Line'!$C$2:$C$1501,$X396)&amp;"")</f>
        <v/>
      </c>
      <c r="F396">
        <f>IF($X396="","",INDEX('Per Line'!$D$2:$D$1501,$X396)&amp;"")</f>
        <v/>
      </c>
      <c r="G396" s="15" t="n"/>
      <c r="H396" s="15" t="n"/>
      <c r="I396" s="15" t="n"/>
      <c r="J396" s="15" t="n"/>
      <c r="K396" s="14">
        <f>IF($X396="","",INDEX('Per Line'!$R$2:$R$1501,$X396))</f>
        <v/>
      </c>
      <c r="L396">
        <f>IF($X396="","",INDEX('Per Line'!$E$2:$E$1501,$X396))</f>
        <v/>
      </c>
      <c r="M396" s="7">
        <f>IF($X396="","",L396*U396/100)</f>
        <v/>
      </c>
      <c r="N396">
        <f>IF($X396="","",IF(ISNUMBER(SEARCH("3&amp;12",SUBSTITUTE(J396," ",""))),Settings!$G$7,Settings!$C$7))</f>
        <v/>
      </c>
      <c r="O396" s="7">
        <f>IF($X396="","",SUMIFS('Per Line'!$N$2:$N$1501,'Per Line'!$A$2:$A$1501,$B396,'Per Line'!$X$2:$X$1501,0))</f>
        <v/>
      </c>
      <c r="P396" s="7">
        <f>IF($X396="","",O396*N396)</f>
        <v/>
      </c>
      <c r="Q396">
        <f>IF($X396="","",IF(ISNUMBER(SEARCH("3&amp;12",SUBSTITUTE(J396," ",""))),Settings!$G$6,Settings!$C$6))</f>
        <v/>
      </c>
      <c r="R396" s="7">
        <f>IF($X396="","",SUMIFS('Per Line'!$N$2:$N$1501,'Per Line'!$A$2:$A$1501,$B396,'Per Line'!$X$2:$X$1501,1))</f>
        <v/>
      </c>
      <c r="S396" s="7">
        <f>IF($X396="","",R396*Q396)</f>
        <v/>
      </c>
      <c r="T396" s="7">
        <f>IF($X396="","",S396+P396)</f>
        <v/>
      </c>
      <c r="U396" s="7">
        <f>IF($X396="","",V396-T396)</f>
        <v/>
      </c>
      <c r="V396" s="7">
        <f>IF($X396="","",O396+R396)</f>
        <v/>
      </c>
      <c r="W396" s="7">
        <f>IF($X396="","",V396-T396-M396)</f>
        <v/>
      </c>
      <c r="X396" s="16">
        <f>IF(ROWS($X$2:$X396)&lt;=MAX('Per Line'!$W$2:$W$1501),MATCH(ROWS($X$2:$X396),'Per Line'!$W$2:$W$1501,0),"")</f>
        <v/>
      </c>
      <c r="Y396">
        <f>IF($X396="","",C396&amp;"|"&amp;COUNTIF($C$2:$C396,C396))</f>
        <v/>
      </c>
    </row>
    <row r="397">
      <c r="A397" s="15" t="n"/>
      <c r="B397">
        <f>IF($X397="","",INDEX('Per Line'!$A$2:$A$1501,$X397)&amp;"")</f>
        <v/>
      </c>
      <c r="C397">
        <f>IF($X397="","",IF(OR(TRIM(H397)="",TRIM(H397)="All",TRIM(H397)="All Comp"),TRIM(J397),TRIM(H397)))</f>
        <v/>
      </c>
      <c r="D397">
        <f>IF($X397="","",INDEX('Per Line'!$B$2:$B$1501,$X397)&amp;"")</f>
        <v/>
      </c>
      <c r="E397">
        <f>IF($X397="","",INDEX('Per Line'!$C$2:$C$1501,$X397)&amp;"")</f>
        <v/>
      </c>
      <c r="F397">
        <f>IF($X397="","",INDEX('Per Line'!$D$2:$D$1501,$X397)&amp;"")</f>
        <v/>
      </c>
      <c r="G397" s="15" t="n"/>
      <c r="H397" s="15" t="n"/>
      <c r="I397" s="15" t="n"/>
      <c r="J397" s="15" t="n"/>
      <c r="K397" s="14">
        <f>IF($X397="","",INDEX('Per Line'!$R$2:$R$1501,$X397))</f>
        <v/>
      </c>
      <c r="L397">
        <f>IF($X397="","",INDEX('Per Line'!$E$2:$E$1501,$X397))</f>
        <v/>
      </c>
      <c r="M397" s="7">
        <f>IF($X397="","",L397*U397/100)</f>
        <v/>
      </c>
      <c r="N397">
        <f>IF($X397="","",IF(ISNUMBER(SEARCH("3&amp;12",SUBSTITUTE(J397," ",""))),Settings!$G$7,Settings!$C$7))</f>
        <v/>
      </c>
      <c r="O397" s="7">
        <f>IF($X397="","",SUMIFS('Per Line'!$N$2:$N$1501,'Per Line'!$A$2:$A$1501,$B397,'Per Line'!$X$2:$X$1501,0))</f>
        <v/>
      </c>
      <c r="P397" s="7">
        <f>IF($X397="","",O397*N397)</f>
        <v/>
      </c>
      <c r="Q397">
        <f>IF($X397="","",IF(ISNUMBER(SEARCH("3&amp;12",SUBSTITUTE(J397," ",""))),Settings!$G$6,Settings!$C$6))</f>
        <v/>
      </c>
      <c r="R397" s="7">
        <f>IF($X397="","",SUMIFS('Per Line'!$N$2:$N$1501,'Per Line'!$A$2:$A$1501,$B397,'Per Line'!$X$2:$X$1501,1))</f>
        <v/>
      </c>
      <c r="S397" s="7">
        <f>IF($X397="","",R397*Q397)</f>
        <v/>
      </c>
      <c r="T397" s="7">
        <f>IF($X397="","",S397+P397)</f>
        <v/>
      </c>
      <c r="U397" s="7">
        <f>IF($X397="","",V397-T397)</f>
        <v/>
      </c>
      <c r="V397" s="7">
        <f>IF($X397="","",O397+R397)</f>
        <v/>
      </c>
      <c r="W397" s="7">
        <f>IF($X397="","",V397-T397-M397)</f>
        <v/>
      </c>
      <c r="X397" s="16">
        <f>IF(ROWS($X$2:$X397)&lt;=MAX('Per Line'!$W$2:$W$1501),MATCH(ROWS($X$2:$X397),'Per Line'!$W$2:$W$1501,0),"")</f>
        <v/>
      </c>
      <c r="Y397">
        <f>IF($X397="","",C397&amp;"|"&amp;COUNTIF($C$2:$C397,C397))</f>
        <v/>
      </c>
    </row>
    <row r="398">
      <c r="A398" s="15" t="n"/>
      <c r="B398">
        <f>IF($X398="","",INDEX('Per Line'!$A$2:$A$1501,$X398)&amp;"")</f>
        <v/>
      </c>
      <c r="C398">
        <f>IF($X398="","",IF(OR(TRIM(H398)="",TRIM(H398)="All",TRIM(H398)="All Comp"),TRIM(J398),TRIM(H398)))</f>
        <v/>
      </c>
      <c r="D398">
        <f>IF($X398="","",INDEX('Per Line'!$B$2:$B$1501,$X398)&amp;"")</f>
        <v/>
      </c>
      <c r="E398">
        <f>IF($X398="","",INDEX('Per Line'!$C$2:$C$1501,$X398)&amp;"")</f>
        <v/>
      </c>
      <c r="F398">
        <f>IF($X398="","",INDEX('Per Line'!$D$2:$D$1501,$X398)&amp;"")</f>
        <v/>
      </c>
      <c r="G398" s="15" t="n"/>
      <c r="H398" s="15" t="n"/>
      <c r="I398" s="15" t="n"/>
      <c r="J398" s="15" t="n"/>
      <c r="K398" s="14">
        <f>IF($X398="","",INDEX('Per Line'!$R$2:$R$1501,$X398))</f>
        <v/>
      </c>
      <c r="L398">
        <f>IF($X398="","",INDEX('Per Line'!$E$2:$E$1501,$X398))</f>
        <v/>
      </c>
      <c r="M398" s="7">
        <f>IF($X398="","",L398*U398/100)</f>
        <v/>
      </c>
      <c r="N398">
        <f>IF($X398="","",IF(ISNUMBER(SEARCH("3&amp;12",SUBSTITUTE(J398," ",""))),Settings!$G$7,Settings!$C$7))</f>
        <v/>
      </c>
      <c r="O398" s="7">
        <f>IF($X398="","",SUMIFS('Per Line'!$N$2:$N$1501,'Per Line'!$A$2:$A$1501,$B398,'Per Line'!$X$2:$X$1501,0))</f>
        <v/>
      </c>
      <c r="P398" s="7">
        <f>IF($X398="","",O398*N398)</f>
        <v/>
      </c>
      <c r="Q398">
        <f>IF($X398="","",IF(ISNUMBER(SEARCH("3&amp;12",SUBSTITUTE(J398," ",""))),Settings!$G$6,Settings!$C$6))</f>
        <v/>
      </c>
      <c r="R398" s="7">
        <f>IF($X398="","",SUMIFS('Per Line'!$N$2:$N$1501,'Per Line'!$A$2:$A$1501,$B398,'Per Line'!$X$2:$X$1501,1))</f>
        <v/>
      </c>
      <c r="S398" s="7">
        <f>IF($X398="","",R398*Q398)</f>
        <v/>
      </c>
      <c r="T398" s="7">
        <f>IF($X398="","",S398+P398)</f>
        <v/>
      </c>
      <c r="U398" s="7">
        <f>IF($X398="","",V398-T398)</f>
        <v/>
      </c>
      <c r="V398" s="7">
        <f>IF($X398="","",O398+R398)</f>
        <v/>
      </c>
      <c r="W398" s="7">
        <f>IF($X398="","",V398-T398-M398)</f>
        <v/>
      </c>
      <c r="X398" s="16">
        <f>IF(ROWS($X$2:$X398)&lt;=MAX('Per Line'!$W$2:$W$1501),MATCH(ROWS($X$2:$X398),'Per Line'!$W$2:$W$1501,0),"")</f>
        <v/>
      </c>
      <c r="Y398">
        <f>IF($X398="","",C398&amp;"|"&amp;COUNTIF($C$2:$C398,C398))</f>
        <v/>
      </c>
    </row>
    <row r="399">
      <c r="A399" s="15" t="n"/>
      <c r="B399">
        <f>IF($X399="","",INDEX('Per Line'!$A$2:$A$1501,$X399)&amp;"")</f>
        <v/>
      </c>
      <c r="C399">
        <f>IF($X399="","",IF(OR(TRIM(H399)="",TRIM(H399)="All",TRIM(H399)="All Comp"),TRIM(J399),TRIM(H399)))</f>
        <v/>
      </c>
      <c r="D399">
        <f>IF($X399="","",INDEX('Per Line'!$B$2:$B$1501,$X399)&amp;"")</f>
        <v/>
      </c>
      <c r="E399">
        <f>IF($X399="","",INDEX('Per Line'!$C$2:$C$1501,$X399)&amp;"")</f>
        <v/>
      </c>
      <c r="F399">
        <f>IF($X399="","",INDEX('Per Line'!$D$2:$D$1501,$X399)&amp;"")</f>
        <v/>
      </c>
      <c r="G399" s="15" t="n"/>
      <c r="H399" s="15" t="n"/>
      <c r="I399" s="15" t="n"/>
      <c r="J399" s="15" t="n"/>
      <c r="K399" s="14">
        <f>IF($X399="","",INDEX('Per Line'!$R$2:$R$1501,$X399))</f>
        <v/>
      </c>
      <c r="L399">
        <f>IF($X399="","",INDEX('Per Line'!$E$2:$E$1501,$X399))</f>
        <v/>
      </c>
      <c r="M399" s="7">
        <f>IF($X399="","",L399*U399/100)</f>
        <v/>
      </c>
      <c r="N399">
        <f>IF($X399="","",IF(ISNUMBER(SEARCH("3&amp;12",SUBSTITUTE(J399," ",""))),Settings!$G$7,Settings!$C$7))</f>
        <v/>
      </c>
      <c r="O399" s="7">
        <f>IF($X399="","",SUMIFS('Per Line'!$N$2:$N$1501,'Per Line'!$A$2:$A$1501,$B399,'Per Line'!$X$2:$X$1501,0))</f>
        <v/>
      </c>
      <c r="P399" s="7">
        <f>IF($X399="","",O399*N399)</f>
        <v/>
      </c>
      <c r="Q399">
        <f>IF($X399="","",IF(ISNUMBER(SEARCH("3&amp;12",SUBSTITUTE(J399," ",""))),Settings!$G$6,Settings!$C$6))</f>
        <v/>
      </c>
      <c r="R399" s="7">
        <f>IF($X399="","",SUMIFS('Per Line'!$N$2:$N$1501,'Per Line'!$A$2:$A$1501,$B399,'Per Line'!$X$2:$X$1501,1))</f>
        <v/>
      </c>
      <c r="S399" s="7">
        <f>IF($X399="","",R399*Q399)</f>
        <v/>
      </c>
      <c r="T399" s="7">
        <f>IF($X399="","",S399+P399)</f>
        <v/>
      </c>
      <c r="U399" s="7">
        <f>IF($X399="","",V399-T399)</f>
        <v/>
      </c>
      <c r="V399" s="7">
        <f>IF($X399="","",O399+R399)</f>
        <v/>
      </c>
      <c r="W399" s="7">
        <f>IF($X399="","",V399-T399-M399)</f>
        <v/>
      </c>
      <c r="X399" s="16">
        <f>IF(ROWS($X$2:$X399)&lt;=MAX('Per Line'!$W$2:$W$1501),MATCH(ROWS($X$2:$X399),'Per Line'!$W$2:$W$1501,0),"")</f>
        <v/>
      </c>
      <c r="Y399">
        <f>IF($X399="","",C399&amp;"|"&amp;COUNTIF($C$2:$C399,C399))</f>
        <v/>
      </c>
    </row>
    <row r="400">
      <c r="A400" s="15" t="n"/>
      <c r="B400">
        <f>IF($X400="","",INDEX('Per Line'!$A$2:$A$1501,$X400)&amp;"")</f>
        <v/>
      </c>
      <c r="C400">
        <f>IF($X400="","",IF(OR(TRIM(H400)="",TRIM(H400)="All",TRIM(H400)="All Comp"),TRIM(J400),TRIM(H400)))</f>
        <v/>
      </c>
      <c r="D400">
        <f>IF($X400="","",INDEX('Per Line'!$B$2:$B$1501,$X400)&amp;"")</f>
        <v/>
      </c>
      <c r="E400">
        <f>IF($X400="","",INDEX('Per Line'!$C$2:$C$1501,$X400)&amp;"")</f>
        <v/>
      </c>
      <c r="F400">
        <f>IF($X400="","",INDEX('Per Line'!$D$2:$D$1501,$X400)&amp;"")</f>
        <v/>
      </c>
      <c r="G400" s="15" t="n"/>
      <c r="H400" s="15" t="n"/>
      <c r="I400" s="15" t="n"/>
      <c r="J400" s="15" t="n"/>
      <c r="K400" s="14">
        <f>IF($X400="","",INDEX('Per Line'!$R$2:$R$1501,$X400))</f>
        <v/>
      </c>
      <c r="L400">
        <f>IF($X400="","",INDEX('Per Line'!$E$2:$E$1501,$X400))</f>
        <v/>
      </c>
      <c r="M400" s="7">
        <f>IF($X400="","",L400*U400/100)</f>
        <v/>
      </c>
      <c r="N400">
        <f>IF($X400="","",IF(ISNUMBER(SEARCH("3&amp;12",SUBSTITUTE(J400," ",""))),Settings!$G$7,Settings!$C$7))</f>
        <v/>
      </c>
      <c r="O400" s="7">
        <f>IF($X400="","",SUMIFS('Per Line'!$N$2:$N$1501,'Per Line'!$A$2:$A$1501,$B400,'Per Line'!$X$2:$X$1501,0))</f>
        <v/>
      </c>
      <c r="P400" s="7">
        <f>IF($X400="","",O400*N400)</f>
        <v/>
      </c>
      <c r="Q400">
        <f>IF($X400="","",IF(ISNUMBER(SEARCH("3&amp;12",SUBSTITUTE(J400," ",""))),Settings!$G$6,Settings!$C$6))</f>
        <v/>
      </c>
      <c r="R400" s="7">
        <f>IF($X400="","",SUMIFS('Per Line'!$N$2:$N$1501,'Per Line'!$A$2:$A$1501,$B400,'Per Line'!$X$2:$X$1501,1))</f>
        <v/>
      </c>
      <c r="S400" s="7">
        <f>IF($X400="","",R400*Q400)</f>
        <v/>
      </c>
      <c r="T400" s="7">
        <f>IF($X400="","",S400+P400)</f>
        <v/>
      </c>
      <c r="U400" s="7">
        <f>IF($X400="","",V400-T400)</f>
        <v/>
      </c>
      <c r="V400" s="7">
        <f>IF($X400="","",O400+R400)</f>
        <v/>
      </c>
      <c r="W400" s="7">
        <f>IF($X400="","",V400-T400-M400)</f>
        <v/>
      </c>
      <c r="X400" s="16">
        <f>IF(ROWS($X$2:$X400)&lt;=MAX('Per Line'!$W$2:$W$1501),MATCH(ROWS($X$2:$X400),'Per Line'!$W$2:$W$1501,0),"")</f>
        <v/>
      </c>
      <c r="Y400">
        <f>IF($X400="","",C400&amp;"|"&amp;COUNTIF($C$2:$C400,C400))</f>
        <v/>
      </c>
    </row>
    <row r="401">
      <c r="A401" s="15" t="n"/>
      <c r="B401">
        <f>IF($X401="","",INDEX('Per Line'!$A$2:$A$1501,$X401)&amp;"")</f>
        <v/>
      </c>
      <c r="C401">
        <f>IF($X401="","",IF(OR(TRIM(H401)="",TRIM(H401)="All",TRIM(H401)="All Comp"),TRIM(J401),TRIM(H401)))</f>
        <v/>
      </c>
      <c r="D401">
        <f>IF($X401="","",INDEX('Per Line'!$B$2:$B$1501,$X401)&amp;"")</f>
        <v/>
      </c>
      <c r="E401">
        <f>IF($X401="","",INDEX('Per Line'!$C$2:$C$1501,$X401)&amp;"")</f>
        <v/>
      </c>
      <c r="F401">
        <f>IF($X401="","",INDEX('Per Line'!$D$2:$D$1501,$X401)&amp;"")</f>
        <v/>
      </c>
      <c r="G401" s="15" t="n"/>
      <c r="H401" s="15" t="n"/>
      <c r="I401" s="15" t="n"/>
      <c r="J401" s="15" t="n"/>
      <c r="K401" s="14">
        <f>IF($X401="","",INDEX('Per Line'!$R$2:$R$1501,$X401))</f>
        <v/>
      </c>
      <c r="L401">
        <f>IF($X401="","",INDEX('Per Line'!$E$2:$E$1501,$X401))</f>
        <v/>
      </c>
      <c r="M401" s="7">
        <f>IF($X401="","",L401*U401/100)</f>
        <v/>
      </c>
      <c r="N401">
        <f>IF($X401="","",IF(ISNUMBER(SEARCH("3&amp;12",SUBSTITUTE(J401," ",""))),Settings!$G$7,Settings!$C$7))</f>
        <v/>
      </c>
      <c r="O401" s="7">
        <f>IF($X401="","",SUMIFS('Per Line'!$N$2:$N$1501,'Per Line'!$A$2:$A$1501,$B401,'Per Line'!$X$2:$X$1501,0))</f>
        <v/>
      </c>
      <c r="P401" s="7">
        <f>IF($X401="","",O401*N401)</f>
        <v/>
      </c>
      <c r="Q401">
        <f>IF($X401="","",IF(ISNUMBER(SEARCH("3&amp;12",SUBSTITUTE(J401," ",""))),Settings!$G$6,Settings!$C$6))</f>
        <v/>
      </c>
      <c r="R401" s="7">
        <f>IF($X401="","",SUMIFS('Per Line'!$N$2:$N$1501,'Per Line'!$A$2:$A$1501,$B401,'Per Line'!$X$2:$X$1501,1))</f>
        <v/>
      </c>
      <c r="S401" s="7">
        <f>IF($X401="","",R401*Q401)</f>
        <v/>
      </c>
      <c r="T401" s="7">
        <f>IF($X401="","",S401+P401)</f>
        <v/>
      </c>
      <c r="U401" s="7">
        <f>IF($X401="","",V401-T401)</f>
        <v/>
      </c>
      <c r="V401" s="7">
        <f>IF($X401="","",O401+R401)</f>
        <v/>
      </c>
      <c r="W401" s="7">
        <f>IF($X401="","",V401-T401-M401)</f>
        <v/>
      </c>
      <c r="X401" s="16">
        <f>IF(ROWS($X$2:$X401)&lt;=MAX('Per Line'!$W$2:$W$1501),MATCH(ROWS($X$2:$X401),'Per Line'!$W$2:$W$1501,0),"")</f>
        <v/>
      </c>
      <c r="Y401">
        <f>IF($X401="","",C401&amp;"|"&amp;COUNTIF($C$2:$C401,C401))</f>
        <v/>
      </c>
    </row>
  </sheetData>
  <autoFilter ref="A1:Y4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IFERROR(MATCH(Settings!$C$26&amp;"|"&amp;ROWS($X$2:$X2),'Per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IFERROR(MATCH(Settings!$C$26&amp;"|"&amp;ROWS($X$2:$X3),'Per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IFERROR(MATCH(Settings!$C$26&amp;"|"&amp;ROWS($X$2:$X4),'Per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IFERROR(MATCH(Settings!$C$26&amp;"|"&amp;ROWS($X$2:$X5),'Per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IFERROR(MATCH(Settings!$C$26&amp;"|"&amp;ROWS($X$2:$X6),'Per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IFERROR(MATCH(Settings!$C$26&amp;"|"&amp;ROWS($X$2:$X7),'Per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IFERROR(MATCH(Settings!$C$26&amp;"|"&amp;ROWS($X$2:$X8),'Per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IFERROR(MATCH(Settings!$C$26&amp;"|"&amp;ROWS($X$2:$X9),'Per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IFERROR(MATCH(Settings!$C$26&amp;"|"&amp;ROWS($X$2:$X10),'Per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IFERROR(MATCH(Settings!$C$26&amp;"|"&amp;ROWS($X$2:$X11),'Per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IFERROR(MATCH(Settings!$C$26&amp;"|"&amp;ROWS($X$2:$X12),'Per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IFERROR(MATCH(Settings!$C$26&amp;"|"&amp;ROWS($X$2:$X13),'Per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IFERROR(MATCH(Settings!$C$26&amp;"|"&amp;ROWS($X$2:$X14),'Per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IFERROR(MATCH(Settings!$C$26&amp;"|"&amp;ROWS($X$2:$X15),'Per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IFERROR(MATCH(Settings!$C$26&amp;"|"&amp;ROWS($X$2:$X16),'Per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IFERROR(MATCH(Settings!$C$26&amp;"|"&amp;ROWS($X$2:$X17),'Per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IFERROR(MATCH(Settings!$C$26&amp;"|"&amp;ROWS($X$2:$X18),'Per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IFERROR(MATCH(Settings!$C$26&amp;"|"&amp;ROWS($X$2:$X19),'Per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IFERROR(MATCH(Settings!$C$26&amp;"|"&amp;ROWS($X$2:$X20),'Per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IFERROR(MATCH(Settings!$C$26&amp;"|"&amp;ROWS($X$2:$X21),'Per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IFERROR(MATCH(Settings!$C$26&amp;"|"&amp;ROWS($X$2:$X22),'Per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IFERROR(MATCH(Settings!$C$26&amp;"|"&amp;ROWS($X$2:$X23),'Per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IFERROR(MATCH(Settings!$C$26&amp;"|"&amp;ROWS($X$2:$X24),'Per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IFERROR(MATCH(Settings!$C$26&amp;"|"&amp;ROWS($X$2:$X25),'Per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IFERROR(MATCH(Settings!$C$26&amp;"|"&amp;ROWS($X$2:$X26),'Per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IFERROR(MATCH(Settings!$C$26&amp;"|"&amp;ROWS($X$2:$X27),'Per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IFERROR(MATCH(Settings!$C$26&amp;"|"&amp;ROWS($X$2:$X28),'Per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IFERROR(MATCH(Settings!$C$26&amp;"|"&amp;ROWS($X$2:$X29),'Per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IFERROR(MATCH(Settings!$C$26&amp;"|"&amp;ROWS($X$2:$X30),'Per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IFERROR(MATCH(Settings!$C$26&amp;"|"&amp;ROWS($X$2:$X31),'Per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IFERROR(MATCH(Settings!$C$26&amp;"|"&amp;ROWS($X$2:$X32),'Per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IFERROR(MATCH(Settings!$C$26&amp;"|"&amp;ROWS($X$2:$X33),'Per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IFERROR(MATCH(Settings!$C$26&amp;"|"&amp;ROWS($X$2:$X34),'Per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IFERROR(MATCH(Settings!$C$26&amp;"|"&amp;ROWS($X$2:$X35),'Per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IFERROR(MATCH(Settings!$C$26&amp;"|"&amp;ROWS($X$2:$X36),'Per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IFERROR(MATCH(Settings!$C$26&amp;"|"&amp;ROWS($X$2:$X37),'Per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IFERROR(MATCH(Settings!$C$26&amp;"|"&amp;ROWS($X$2:$X38),'Per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IFERROR(MATCH(Settings!$C$26&amp;"|"&amp;ROWS($X$2:$X39),'Per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IFERROR(MATCH(Settings!$C$26&amp;"|"&amp;ROWS($X$2:$X40),'Per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IFERROR(MATCH(Settings!$C$26&amp;"|"&amp;ROWS($X$2:$X41),'Per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IFERROR(MATCH(Settings!$C$26&amp;"|"&amp;ROWS($X$2:$X42),'Per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IFERROR(MATCH(Settings!$C$26&amp;"|"&amp;ROWS($X$2:$X43),'Per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IFERROR(MATCH(Settings!$C$26&amp;"|"&amp;ROWS($X$2:$X44),'Per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IFERROR(MATCH(Settings!$C$26&amp;"|"&amp;ROWS($X$2:$X45),'Per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IFERROR(MATCH(Settings!$C$26&amp;"|"&amp;ROWS($X$2:$X46),'Per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IFERROR(MATCH(Settings!$C$26&amp;"|"&amp;ROWS($X$2:$X47),'Per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IFERROR(MATCH(Settings!$C$26&amp;"|"&amp;ROWS($X$2:$X48),'Per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IFERROR(MATCH(Settings!$C$26&amp;"|"&amp;ROWS($X$2:$X49),'Per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IFERROR(MATCH(Settings!$C$26&amp;"|"&amp;ROWS($X$2:$X50),'Per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IFERROR(MATCH(Settings!$C$26&amp;"|"&amp;ROWS($X$2:$X51),'Per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IFERROR(MATCH(Settings!$C$26&amp;"|"&amp;ROWS($X$2:$X52),'Per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IFERROR(MATCH(Settings!$C$26&amp;"|"&amp;ROWS($X$2:$X53),'Per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IFERROR(MATCH(Settings!$C$26&amp;"|"&amp;ROWS($X$2:$X54),'Per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IFERROR(MATCH(Settings!$C$26&amp;"|"&amp;ROWS($X$2:$X55),'Per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IFERROR(MATCH(Settings!$C$26&amp;"|"&amp;ROWS($X$2:$X56),'Per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IFERROR(MATCH(Settings!$C$26&amp;"|"&amp;ROWS($X$2:$X57),'Per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IFERROR(MATCH(Settings!$C$26&amp;"|"&amp;ROWS($X$2:$X58),'Per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IFERROR(MATCH(Settings!$C$26&amp;"|"&amp;ROWS($X$2:$X59),'Per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IFERROR(MATCH(Settings!$C$26&amp;"|"&amp;ROWS($X$2:$X60),'Per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IFERROR(MATCH(Settings!$C$26&amp;"|"&amp;ROWS($X$2:$X61),'Per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IFERROR(MATCH(Settings!$C$26&amp;"|"&amp;ROWS($X$2:$X62),'Per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IFERROR(MATCH(Settings!$C$26&amp;"|"&amp;ROWS($X$2:$X63),'Per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IFERROR(MATCH(Settings!$C$26&amp;"|"&amp;ROWS($X$2:$X64),'Per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IFERROR(MATCH(Settings!$C$26&amp;"|"&amp;ROWS($X$2:$X65),'Per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IFERROR(MATCH(Settings!$C$26&amp;"|"&amp;ROWS($X$2:$X66),'Per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IFERROR(MATCH(Settings!$C$26&amp;"|"&amp;ROWS($X$2:$X67),'Per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IFERROR(MATCH(Settings!$C$26&amp;"|"&amp;ROWS($X$2:$X68),'Per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IFERROR(MATCH(Settings!$C$26&amp;"|"&amp;ROWS($X$2:$X69),'Per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IFERROR(MATCH(Settings!$C$26&amp;"|"&amp;ROWS($X$2:$X70),'Per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IFERROR(MATCH(Settings!$C$26&amp;"|"&amp;ROWS($X$2:$X71),'Per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IFERROR(MATCH(Settings!$C$26&amp;"|"&amp;ROWS($X$2:$X72),'Per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IFERROR(MATCH(Settings!$C$26&amp;"|"&amp;ROWS($X$2:$X73),'Per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IFERROR(MATCH(Settings!$C$26&amp;"|"&amp;ROWS($X$2:$X74),'Per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IFERROR(MATCH(Settings!$C$26&amp;"|"&amp;ROWS($X$2:$X75),'Per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IFERROR(MATCH(Settings!$C$26&amp;"|"&amp;ROWS($X$2:$X76),'Per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IFERROR(MATCH(Settings!$C$26&amp;"|"&amp;ROWS($X$2:$X77),'Per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IFERROR(MATCH(Settings!$C$26&amp;"|"&amp;ROWS($X$2:$X78),'Per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IFERROR(MATCH(Settings!$C$26&amp;"|"&amp;ROWS($X$2:$X79),'Per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IFERROR(MATCH(Settings!$C$26&amp;"|"&amp;ROWS($X$2:$X80),'Per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IFERROR(MATCH(Settings!$C$26&amp;"|"&amp;ROWS($X$2:$X81),'Per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IFERROR(MATCH(Settings!$C$26&amp;"|"&amp;ROWS($X$2:$X82),'Per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IFERROR(MATCH(Settings!$C$26&amp;"|"&amp;ROWS($X$2:$X83),'Per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IFERROR(MATCH(Settings!$C$26&amp;"|"&amp;ROWS($X$2:$X84),'Per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IFERROR(MATCH(Settings!$C$26&amp;"|"&amp;ROWS($X$2:$X85),'Per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IFERROR(MATCH(Settings!$C$26&amp;"|"&amp;ROWS($X$2:$X86),'Per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IFERROR(MATCH(Settings!$C$26&amp;"|"&amp;ROWS($X$2:$X87),'Per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IFERROR(MATCH(Settings!$C$26&amp;"|"&amp;ROWS($X$2:$X88),'Per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IFERROR(MATCH(Settings!$C$26&amp;"|"&amp;ROWS($X$2:$X89),'Per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IFERROR(MATCH(Settings!$C$26&amp;"|"&amp;ROWS($X$2:$X90),'Per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IFERROR(MATCH(Settings!$C$26&amp;"|"&amp;ROWS($X$2:$X91),'Per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IFERROR(MATCH(Settings!$C$26&amp;"|"&amp;ROWS($X$2:$X92),'Per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IFERROR(MATCH(Settings!$C$26&amp;"|"&amp;ROWS($X$2:$X93),'Per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IFERROR(MATCH(Settings!$C$26&amp;"|"&amp;ROWS($X$2:$X94),'Per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IFERROR(MATCH(Settings!$C$26&amp;"|"&amp;ROWS($X$2:$X95),'Per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IFERROR(MATCH(Settings!$C$26&amp;"|"&amp;ROWS($X$2:$X96),'Per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IFERROR(MATCH(Settings!$C$26&amp;"|"&amp;ROWS($X$2:$X97),'Per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IFERROR(MATCH(Settings!$C$26&amp;"|"&amp;ROWS($X$2:$X98),'Per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IFERROR(MATCH(Settings!$C$26&amp;"|"&amp;ROWS($X$2:$X99),'Per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IFERROR(MATCH(Settings!$C$26&amp;"|"&amp;ROWS($X$2:$X100),'Per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IFERROR(MATCH(Settings!$C$26&amp;"|"&amp;ROWS($X$2:$X101),'Per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IFERROR(MATCH(Settings!$C$26&amp;"|"&amp;ROWS($X$2:$X102),'Per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IFERROR(MATCH(Settings!$C$26&amp;"|"&amp;ROWS($X$2:$X103),'Per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IFERROR(MATCH(Settings!$C$26&amp;"|"&amp;ROWS($X$2:$X104),'Per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IFERROR(MATCH(Settings!$C$26&amp;"|"&amp;ROWS($X$2:$X105),'Per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IFERROR(MATCH(Settings!$C$26&amp;"|"&amp;ROWS($X$2:$X106),'Per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IFERROR(MATCH(Settings!$C$26&amp;"|"&amp;ROWS($X$2:$X107),'Per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IFERROR(MATCH(Settings!$C$26&amp;"|"&amp;ROWS($X$2:$X108),'Per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IFERROR(MATCH(Settings!$C$26&amp;"|"&amp;ROWS($X$2:$X109),'Per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IFERROR(MATCH(Settings!$C$26&amp;"|"&amp;ROWS($X$2:$X110),'Per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IFERROR(MATCH(Settings!$C$26&amp;"|"&amp;ROWS($X$2:$X111),'Per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IFERROR(MATCH(Settings!$C$26&amp;"|"&amp;ROWS($X$2:$X112),'Per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IFERROR(MATCH(Settings!$C$26&amp;"|"&amp;ROWS($X$2:$X113),'Per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IFERROR(MATCH(Settings!$C$26&amp;"|"&amp;ROWS($X$2:$X114),'Per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IFERROR(MATCH(Settings!$C$26&amp;"|"&amp;ROWS($X$2:$X115),'Per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IFERROR(MATCH(Settings!$C$26&amp;"|"&amp;ROWS($X$2:$X116),'Per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IFERROR(MATCH(Settings!$C$26&amp;"|"&amp;ROWS($X$2:$X117),'Per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IFERROR(MATCH(Settings!$C$26&amp;"|"&amp;ROWS($X$2:$X118),'Per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IFERROR(MATCH(Settings!$C$26&amp;"|"&amp;ROWS($X$2:$X119),'Per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IFERROR(MATCH(Settings!$C$26&amp;"|"&amp;ROWS($X$2:$X120),'Per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IFERROR(MATCH(Settings!$C$26&amp;"|"&amp;ROWS($X$2:$X121),'Per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IFERROR(MATCH(Settings!$C$26&amp;"|"&amp;ROWS($X$2:$X122),'Per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IFERROR(MATCH(Settings!$C$26&amp;"|"&amp;ROWS($X$2:$X123),'Per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IFERROR(MATCH(Settings!$C$26&amp;"|"&amp;ROWS($X$2:$X124),'Per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IFERROR(MATCH(Settings!$C$26&amp;"|"&amp;ROWS($X$2:$X125),'Per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IFERROR(MATCH(Settings!$C$26&amp;"|"&amp;ROWS($X$2:$X126),'Per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IFERROR(MATCH(Settings!$C$26&amp;"|"&amp;ROWS($X$2:$X127),'Per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IFERROR(MATCH(Settings!$C$26&amp;"|"&amp;ROWS($X$2:$X128),'Per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IFERROR(MATCH(Settings!$C$26&amp;"|"&amp;ROWS($X$2:$X129),'Per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IFERROR(MATCH(Settings!$C$26&amp;"|"&amp;ROWS($X$2:$X130),'Per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IFERROR(MATCH(Settings!$C$26&amp;"|"&amp;ROWS($X$2:$X131),'Per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IFERROR(MATCH(Settings!$C$26&amp;"|"&amp;ROWS($X$2:$X132),'Per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IFERROR(MATCH(Settings!$C$26&amp;"|"&amp;ROWS($X$2:$X133),'Per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IFERROR(MATCH(Settings!$C$26&amp;"|"&amp;ROWS($X$2:$X134),'Per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IFERROR(MATCH(Settings!$C$26&amp;"|"&amp;ROWS($X$2:$X135),'Per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IFERROR(MATCH(Settings!$C$26&amp;"|"&amp;ROWS($X$2:$X136),'Per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IFERROR(MATCH(Settings!$C$26&amp;"|"&amp;ROWS($X$2:$X137),'Per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IFERROR(MATCH(Settings!$C$26&amp;"|"&amp;ROWS($X$2:$X138),'Per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IFERROR(MATCH(Settings!$C$26&amp;"|"&amp;ROWS($X$2:$X139),'Per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IFERROR(MATCH(Settings!$C$26&amp;"|"&amp;ROWS($X$2:$X140),'Per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IFERROR(MATCH(Settings!$C$26&amp;"|"&amp;ROWS($X$2:$X141),'Per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IFERROR(MATCH(Settings!$C$26&amp;"|"&amp;ROWS($X$2:$X142),'Per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IFERROR(MATCH(Settings!$C$26&amp;"|"&amp;ROWS($X$2:$X143),'Per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IFERROR(MATCH(Settings!$C$26&amp;"|"&amp;ROWS($X$2:$X144),'Per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IFERROR(MATCH(Settings!$C$26&amp;"|"&amp;ROWS($X$2:$X145),'Per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IFERROR(MATCH(Settings!$C$26&amp;"|"&amp;ROWS($X$2:$X146),'Per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IFERROR(MATCH(Settings!$C$26&amp;"|"&amp;ROWS($X$2:$X147),'Per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IFERROR(MATCH(Settings!$C$26&amp;"|"&amp;ROWS($X$2:$X148),'Per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IFERROR(MATCH(Settings!$C$26&amp;"|"&amp;ROWS($X$2:$X149),'Per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IFERROR(MATCH(Settings!$C$26&amp;"|"&amp;ROWS($X$2:$X150),'Per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IFERROR(MATCH(Settings!$C$26&amp;"|"&amp;ROWS($X$2:$X151),'Per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IFERROR(MATCH(Settings!$C$26&amp;"|"&amp;ROWS($X$2:$X152),'Per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IFERROR(MATCH(Settings!$C$26&amp;"|"&amp;ROWS($X$2:$X153),'Per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IFERROR(MATCH(Settings!$C$26&amp;"|"&amp;ROWS($X$2:$X154),'Per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IFERROR(MATCH(Settings!$C$26&amp;"|"&amp;ROWS($X$2:$X155),'Per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IFERROR(MATCH(Settings!$C$26&amp;"|"&amp;ROWS($X$2:$X156),'Per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IFERROR(MATCH(Settings!$C$26&amp;"|"&amp;ROWS($X$2:$X157),'Per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IFERROR(MATCH(Settings!$C$26&amp;"|"&amp;ROWS($X$2:$X158),'Per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IFERROR(MATCH(Settings!$C$26&amp;"|"&amp;ROWS($X$2:$X159),'Per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IFERROR(MATCH(Settings!$C$26&amp;"|"&amp;ROWS($X$2:$X160),'Per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IFERROR(MATCH(Settings!$C$26&amp;"|"&amp;ROWS($X$2:$X161),'Per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IFERROR(MATCH(Settings!$C$26&amp;"|"&amp;ROWS($X$2:$X162),'Per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IFERROR(MATCH(Settings!$C$26&amp;"|"&amp;ROWS($X$2:$X163),'Per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IFERROR(MATCH(Settings!$C$26&amp;"|"&amp;ROWS($X$2:$X164),'Per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IFERROR(MATCH(Settings!$C$26&amp;"|"&amp;ROWS($X$2:$X165),'Per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IFERROR(MATCH(Settings!$C$26&amp;"|"&amp;ROWS($X$2:$X166),'Per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IFERROR(MATCH(Settings!$C$26&amp;"|"&amp;ROWS($X$2:$X167),'Per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IFERROR(MATCH(Settings!$C$26&amp;"|"&amp;ROWS($X$2:$X168),'Per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IFERROR(MATCH(Settings!$C$26&amp;"|"&amp;ROWS($X$2:$X169),'Per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IFERROR(MATCH(Settings!$C$26&amp;"|"&amp;ROWS($X$2:$X170),'Per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IFERROR(MATCH(Settings!$C$26&amp;"|"&amp;ROWS($X$2:$X171),'Per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IFERROR(MATCH(Settings!$C$26&amp;"|"&amp;ROWS($X$2:$X172),'Per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IFERROR(MATCH(Settings!$C$26&amp;"|"&amp;ROWS($X$2:$X173),'Per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IFERROR(MATCH(Settings!$C$26&amp;"|"&amp;ROWS($X$2:$X174),'Per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IFERROR(MATCH(Settings!$C$26&amp;"|"&amp;ROWS($X$2:$X175),'Per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IFERROR(MATCH(Settings!$C$26&amp;"|"&amp;ROWS($X$2:$X176),'Per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IFERROR(MATCH(Settings!$C$26&amp;"|"&amp;ROWS($X$2:$X177),'Per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IFERROR(MATCH(Settings!$C$26&amp;"|"&amp;ROWS($X$2:$X178),'Per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IFERROR(MATCH(Settings!$C$26&amp;"|"&amp;ROWS($X$2:$X179),'Per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IFERROR(MATCH(Settings!$C$26&amp;"|"&amp;ROWS($X$2:$X180),'Per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IFERROR(MATCH(Settings!$C$26&amp;"|"&amp;ROWS($X$2:$X181),'Per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IFERROR(MATCH(Settings!$C$26&amp;"|"&amp;ROWS($X$2:$X182),'Per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IFERROR(MATCH(Settings!$C$26&amp;"|"&amp;ROWS($X$2:$X183),'Per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IFERROR(MATCH(Settings!$C$26&amp;"|"&amp;ROWS($X$2:$X184),'Per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IFERROR(MATCH(Settings!$C$26&amp;"|"&amp;ROWS($X$2:$X185),'Per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IFERROR(MATCH(Settings!$C$26&amp;"|"&amp;ROWS($X$2:$X186),'Per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IFERROR(MATCH(Settings!$C$26&amp;"|"&amp;ROWS($X$2:$X187),'Per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IFERROR(MATCH(Settings!$C$26&amp;"|"&amp;ROWS($X$2:$X188),'Per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IFERROR(MATCH(Settings!$C$26&amp;"|"&amp;ROWS($X$2:$X189),'Per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IFERROR(MATCH(Settings!$C$26&amp;"|"&amp;ROWS($X$2:$X190),'Per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IFERROR(MATCH(Settings!$C$26&amp;"|"&amp;ROWS($X$2:$X191),'Per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IFERROR(MATCH(Settings!$C$26&amp;"|"&amp;ROWS($X$2:$X192),'Per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IFERROR(MATCH(Settings!$C$26&amp;"|"&amp;ROWS($X$2:$X193),'Per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IFERROR(MATCH(Settings!$C$26&amp;"|"&amp;ROWS($X$2:$X194),'Per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IFERROR(MATCH(Settings!$C$26&amp;"|"&amp;ROWS($X$2:$X195),'Per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IFERROR(MATCH(Settings!$C$26&amp;"|"&amp;ROWS($X$2:$X196),'Per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IFERROR(MATCH(Settings!$C$26&amp;"|"&amp;ROWS($X$2:$X197),'Per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IFERROR(MATCH(Settings!$C$26&amp;"|"&amp;ROWS($X$2:$X198),'Per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IFERROR(MATCH(Settings!$C$26&amp;"|"&amp;ROWS($X$2:$X199),'Per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IFERROR(MATCH(Settings!$C$26&amp;"|"&amp;ROWS($X$2:$X200),'Per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IFERROR(MATCH(Settings!$C$26&amp;"|"&amp;ROWS($X$2:$X201),'Per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IFERROR(MATCH(Settings!$C$26&amp;"|"&amp;ROWS($X$2:$X202),'Per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IFERROR(MATCH(Settings!$C$26&amp;"|"&amp;ROWS($X$2:$X203),'Per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IFERROR(MATCH(Settings!$C$26&amp;"|"&amp;ROWS($X$2:$X204),'Per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IFERROR(MATCH(Settings!$C$26&amp;"|"&amp;ROWS($X$2:$X205),'Per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IFERROR(MATCH(Settings!$C$26&amp;"|"&amp;ROWS($X$2:$X206),'Per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IFERROR(MATCH(Settings!$C$26&amp;"|"&amp;ROWS($X$2:$X207),'Per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IFERROR(MATCH(Settings!$C$26&amp;"|"&amp;ROWS($X$2:$X208),'Per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IFERROR(MATCH(Settings!$C$26&amp;"|"&amp;ROWS($X$2:$X209),'Per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IFERROR(MATCH(Settings!$C$26&amp;"|"&amp;ROWS($X$2:$X210),'Per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IFERROR(MATCH(Settings!$C$26&amp;"|"&amp;ROWS($X$2:$X211),'Per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IFERROR(MATCH(Settings!$C$26&amp;"|"&amp;ROWS($X$2:$X212),'Per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IFERROR(MATCH(Settings!$C$26&amp;"|"&amp;ROWS($X$2:$X213),'Per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IFERROR(MATCH(Settings!$C$26&amp;"|"&amp;ROWS($X$2:$X214),'Per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IFERROR(MATCH(Settings!$C$26&amp;"|"&amp;ROWS($X$2:$X215),'Per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IFERROR(MATCH(Settings!$C$26&amp;"|"&amp;ROWS($X$2:$X216),'Per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IFERROR(MATCH(Settings!$C$26&amp;"|"&amp;ROWS($X$2:$X217),'Per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IFERROR(MATCH(Settings!$C$26&amp;"|"&amp;ROWS($X$2:$X218),'Per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IFERROR(MATCH(Settings!$C$26&amp;"|"&amp;ROWS($X$2:$X219),'Per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IFERROR(MATCH(Settings!$C$26&amp;"|"&amp;ROWS($X$2:$X220),'Per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IFERROR(MATCH(Settings!$C$26&amp;"|"&amp;ROWS($X$2:$X221),'Per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IFERROR(MATCH(Settings!$C$26&amp;"|"&amp;ROWS($X$2:$X222),'Per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IFERROR(MATCH(Settings!$C$26&amp;"|"&amp;ROWS($X$2:$X223),'Per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IFERROR(MATCH(Settings!$C$26&amp;"|"&amp;ROWS($X$2:$X224),'Per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IFERROR(MATCH(Settings!$C$26&amp;"|"&amp;ROWS($X$2:$X225),'Per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IFERROR(MATCH(Settings!$C$26&amp;"|"&amp;ROWS($X$2:$X226),'Per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IFERROR(MATCH(Settings!$C$26&amp;"|"&amp;ROWS($X$2:$X227),'Per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IFERROR(MATCH(Settings!$C$26&amp;"|"&amp;ROWS($X$2:$X228),'Per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IFERROR(MATCH(Settings!$C$26&amp;"|"&amp;ROWS($X$2:$X229),'Per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IFERROR(MATCH(Settings!$C$26&amp;"|"&amp;ROWS($X$2:$X230),'Per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IFERROR(MATCH(Settings!$C$26&amp;"|"&amp;ROWS($X$2:$X231),'Per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IFERROR(MATCH(Settings!$C$26&amp;"|"&amp;ROWS($X$2:$X232),'Per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IFERROR(MATCH(Settings!$C$26&amp;"|"&amp;ROWS($X$2:$X233),'Per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IFERROR(MATCH(Settings!$C$26&amp;"|"&amp;ROWS($X$2:$X234),'Per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IFERROR(MATCH(Settings!$C$26&amp;"|"&amp;ROWS($X$2:$X235),'Per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IFERROR(MATCH(Settings!$C$26&amp;"|"&amp;ROWS($X$2:$X236),'Per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IFERROR(MATCH(Settings!$C$26&amp;"|"&amp;ROWS($X$2:$X237),'Per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IFERROR(MATCH(Settings!$C$26&amp;"|"&amp;ROWS($X$2:$X238),'Per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IFERROR(MATCH(Settings!$C$26&amp;"|"&amp;ROWS($X$2:$X239),'Per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IFERROR(MATCH(Settings!$C$26&amp;"|"&amp;ROWS($X$2:$X240),'Per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IFERROR(MATCH(Settings!$C$26&amp;"|"&amp;ROWS($X$2:$X241),'Per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IFERROR(MATCH(Settings!$C$26&amp;"|"&amp;ROWS($X$2:$X242),'Per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IFERROR(MATCH(Settings!$C$26&amp;"|"&amp;ROWS($X$2:$X243),'Per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IFERROR(MATCH(Settings!$C$26&amp;"|"&amp;ROWS($X$2:$X244),'Per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IFERROR(MATCH(Settings!$C$26&amp;"|"&amp;ROWS($X$2:$X245),'Per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IFERROR(MATCH(Settings!$C$26&amp;"|"&amp;ROWS($X$2:$X246),'Per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IFERROR(MATCH(Settings!$C$26&amp;"|"&amp;ROWS($X$2:$X247),'Per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IFERROR(MATCH(Settings!$C$26&amp;"|"&amp;ROWS($X$2:$X248),'Per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IFERROR(MATCH(Settings!$C$26&amp;"|"&amp;ROWS($X$2:$X249),'Per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IFERROR(MATCH(Settings!$C$26&amp;"|"&amp;ROWS($X$2:$X250),'Per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IFERROR(MATCH(Settings!$C$26&amp;"|"&amp;ROWS($X$2:$X251),'Per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IFERROR(MATCH(Settings!$C$26&amp;"|"&amp;ROWS($X$2:$X252),'Per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IFERROR(MATCH(Settings!$C$26&amp;"|"&amp;ROWS($X$2:$X253),'Per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IFERROR(MATCH(Settings!$C$26&amp;"|"&amp;ROWS($X$2:$X254),'Per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IFERROR(MATCH(Settings!$C$26&amp;"|"&amp;ROWS($X$2:$X255),'Per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IFERROR(MATCH(Settings!$C$26&amp;"|"&amp;ROWS($X$2:$X256),'Per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IFERROR(MATCH(Settings!$C$26&amp;"|"&amp;ROWS($X$2:$X257),'Per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IFERROR(MATCH(Settings!$C$26&amp;"|"&amp;ROWS($X$2:$X258),'Per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IFERROR(MATCH(Settings!$C$26&amp;"|"&amp;ROWS($X$2:$X259),'Per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IFERROR(MATCH(Settings!$C$26&amp;"|"&amp;ROWS($X$2:$X260),'Per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IFERROR(MATCH(Settings!$C$26&amp;"|"&amp;ROWS($X$2:$X261),'Per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IFERROR(MATCH(Settings!$C$26&amp;"|"&amp;ROWS($X$2:$X262),'Per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IFERROR(MATCH(Settings!$C$26&amp;"|"&amp;ROWS($X$2:$X263),'Per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IFERROR(MATCH(Settings!$C$26&amp;"|"&amp;ROWS($X$2:$X264),'Per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IFERROR(MATCH(Settings!$C$26&amp;"|"&amp;ROWS($X$2:$X265),'Per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IFERROR(MATCH(Settings!$C$26&amp;"|"&amp;ROWS($X$2:$X266),'Per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IFERROR(MATCH(Settings!$C$26&amp;"|"&amp;ROWS($X$2:$X267),'Per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IFERROR(MATCH(Settings!$C$26&amp;"|"&amp;ROWS($X$2:$X268),'Per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IFERROR(MATCH(Settings!$C$26&amp;"|"&amp;ROWS($X$2:$X269),'Per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IFERROR(MATCH(Settings!$C$26&amp;"|"&amp;ROWS($X$2:$X270),'Per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IFERROR(MATCH(Settings!$C$26&amp;"|"&amp;ROWS($X$2:$X271),'Per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IFERROR(MATCH(Settings!$C$26&amp;"|"&amp;ROWS($X$2:$X272),'Per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IFERROR(MATCH(Settings!$C$26&amp;"|"&amp;ROWS($X$2:$X273),'Per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IFERROR(MATCH(Settings!$C$26&amp;"|"&amp;ROWS($X$2:$X274),'Per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IFERROR(MATCH(Settings!$C$26&amp;"|"&amp;ROWS($X$2:$X275),'Per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IFERROR(MATCH(Settings!$C$26&amp;"|"&amp;ROWS($X$2:$X276),'Per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IFERROR(MATCH(Settings!$C$26&amp;"|"&amp;ROWS($X$2:$X277),'Per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IFERROR(MATCH(Settings!$C$26&amp;"|"&amp;ROWS($X$2:$X278),'Per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IFERROR(MATCH(Settings!$C$26&amp;"|"&amp;ROWS($X$2:$X279),'Per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IFERROR(MATCH(Settings!$C$26&amp;"|"&amp;ROWS($X$2:$X280),'Per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IFERROR(MATCH(Settings!$C$26&amp;"|"&amp;ROWS($X$2:$X281),'Per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IFERROR(MATCH(Settings!$C$26&amp;"|"&amp;ROWS($X$2:$X282),'Per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IFERROR(MATCH(Settings!$C$26&amp;"|"&amp;ROWS($X$2:$X283),'Per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IFERROR(MATCH(Settings!$C$26&amp;"|"&amp;ROWS($X$2:$X284),'Per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IFERROR(MATCH(Settings!$C$26&amp;"|"&amp;ROWS($X$2:$X285),'Per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IFERROR(MATCH(Settings!$C$26&amp;"|"&amp;ROWS($X$2:$X286),'Per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IFERROR(MATCH(Settings!$C$26&amp;"|"&amp;ROWS($X$2:$X287),'Per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IFERROR(MATCH(Settings!$C$26&amp;"|"&amp;ROWS($X$2:$X288),'Per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IFERROR(MATCH(Settings!$C$26&amp;"|"&amp;ROWS($X$2:$X289),'Per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IFERROR(MATCH(Settings!$C$26&amp;"|"&amp;ROWS($X$2:$X290),'Per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IFERROR(MATCH(Settings!$C$26&amp;"|"&amp;ROWS($X$2:$X291),'Per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IFERROR(MATCH(Settings!$C$26&amp;"|"&amp;ROWS($X$2:$X292),'Per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IFERROR(MATCH(Settings!$C$26&amp;"|"&amp;ROWS($X$2:$X293),'Per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IFERROR(MATCH(Settings!$C$26&amp;"|"&amp;ROWS($X$2:$X294),'Per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IFERROR(MATCH(Settings!$C$26&amp;"|"&amp;ROWS($X$2:$X295),'Per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IFERROR(MATCH(Settings!$C$26&amp;"|"&amp;ROWS($X$2:$X296),'Per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IFERROR(MATCH(Settings!$C$26&amp;"|"&amp;ROWS($X$2:$X297),'Per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IFERROR(MATCH(Settings!$C$26&amp;"|"&amp;ROWS($X$2:$X298),'Per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IFERROR(MATCH(Settings!$C$26&amp;"|"&amp;ROWS($X$2:$X299),'Per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IFERROR(MATCH(Settings!$C$26&amp;"|"&amp;ROWS($X$2:$X300),'Per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IFERROR(MATCH(Settings!$C$26&amp;"|"&amp;ROWS($X$2:$X301),'Per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IFERROR(MATCH(Settings!$C$26&amp;"|"&amp;ROWS($X$2:$X302),'Per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IFERROR(MATCH(Settings!$C$26&amp;"|"&amp;ROWS($X$2:$X303),'Per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IFERROR(MATCH(Settings!$C$26&amp;"|"&amp;ROWS($X$2:$X304),'Per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IFERROR(MATCH(Settings!$C$26&amp;"|"&amp;ROWS($X$2:$X305),'Per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IFERROR(MATCH(Settings!$C$26&amp;"|"&amp;ROWS($X$2:$X306),'Per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IFERROR(MATCH(Settings!$C$26&amp;"|"&amp;ROWS($X$2:$X307),'Per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IFERROR(MATCH(Settings!$C$26&amp;"|"&amp;ROWS($X$2:$X308),'Per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IFERROR(MATCH(Settings!$C$26&amp;"|"&amp;ROWS($X$2:$X309),'Per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IFERROR(MATCH(Settings!$C$26&amp;"|"&amp;ROWS($X$2:$X310),'Per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IFERROR(MATCH(Settings!$C$26&amp;"|"&amp;ROWS($X$2:$X311),'Per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IFERROR(MATCH(Settings!$C$26&amp;"|"&amp;ROWS($X$2:$X312),'Per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IFERROR(MATCH(Settings!$C$26&amp;"|"&amp;ROWS($X$2:$X313),'Per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IFERROR(MATCH(Settings!$C$26&amp;"|"&amp;ROWS($X$2:$X314),'Per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IFERROR(MATCH(Settings!$C$26&amp;"|"&amp;ROWS($X$2:$X315),'Per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IFERROR(MATCH(Settings!$C$26&amp;"|"&amp;ROWS($X$2:$X316),'Per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IFERROR(MATCH(Settings!$C$26&amp;"|"&amp;ROWS($X$2:$X317),'Per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IFERROR(MATCH(Settings!$C$26&amp;"|"&amp;ROWS($X$2:$X318),'Per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IFERROR(MATCH(Settings!$C$26&amp;"|"&amp;ROWS($X$2:$X319),'Per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IFERROR(MATCH(Settings!$C$26&amp;"|"&amp;ROWS($X$2:$X320),'Per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IFERROR(MATCH(Settings!$C$26&amp;"|"&amp;ROWS($X$2:$X321),'Per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IFERROR(MATCH(Settings!$C$26&amp;"|"&amp;ROWS($X$2:$X322),'Per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IFERROR(MATCH(Settings!$C$26&amp;"|"&amp;ROWS($X$2:$X323),'Per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IFERROR(MATCH(Settings!$C$26&amp;"|"&amp;ROWS($X$2:$X324),'Per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IFERROR(MATCH(Settings!$C$26&amp;"|"&amp;ROWS($X$2:$X325),'Per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IFERROR(MATCH(Settings!$C$26&amp;"|"&amp;ROWS($X$2:$X326),'Per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IFERROR(MATCH(Settings!$C$26&amp;"|"&amp;ROWS($X$2:$X327),'Per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IFERROR(MATCH(Settings!$C$26&amp;"|"&amp;ROWS($X$2:$X328),'Per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IFERROR(MATCH(Settings!$C$26&amp;"|"&amp;ROWS($X$2:$X329),'Per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IFERROR(MATCH(Settings!$C$26&amp;"|"&amp;ROWS($X$2:$X330),'Per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IFERROR(MATCH(Settings!$C$26&amp;"|"&amp;ROWS($X$2:$X331),'Per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IFERROR(MATCH(Settings!$C$26&amp;"|"&amp;ROWS($X$2:$X332),'Per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IFERROR(MATCH(Settings!$C$26&amp;"|"&amp;ROWS($X$2:$X333),'Per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IFERROR(MATCH(Settings!$C$26&amp;"|"&amp;ROWS($X$2:$X334),'Per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IFERROR(MATCH(Settings!$C$26&amp;"|"&amp;ROWS($X$2:$X335),'Per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IFERROR(MATCH(Settings!$C$26&amp;"|"&amp;ROWS($X$2:$X336),'Per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IFERROR(MATCH(Settings!$C$26&amp;"|"&amp;ROWS($X$2:$X337),'Per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IFERROR(MATCH(Settings!$C$26&amp;"|"&amp;ROWS($X$2:$X338),'Per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IFERROR(MATCH(Settings!$C$26&amp;"|"&amp;ROWS($X$2:$X339),'Per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IFERROR(MATCH(Settings!$C$26&amp;"|"&amp;ROWS($X$2:$X340),'Per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IFERROR(MATCH(Settings!$C$26&amp;"|"&amp;ROWS($X$2:$X341),'Per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IFERROR(MATCH(Settings!$C$26&amp;"|"&amp;ROWS($X$2:$X342),'Per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IFERROR(MATCH(Settings!$C$26&amp;"|"&amp;ROWS($X$2:$X343),'Per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IFERROR(MATCH(Settings!$C$26&amp;"|"&amp;ROWS($X$2:$X344),'Per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IFERROR(MATCH(Settings!$C$26&amp;"|"&amp;ROWS($X$2:$X345),'Per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IFERROR(MATCH(Settings!$C$26&amp;"|"&amp;ROWS($X$2:$X346),'Per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IFERROR(MATCH(Settings!$C$26&amp;"|"&amp;ROWS($X$2:$X347),'Per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IFERROR(MATCH(Settings!$C$26&amp;"|"&amp;ROWS($X$2:$X348),'Per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IFERROR(MATCH(Settings!$C$26&amp;"|"&amp;ROWS($X$2:$X349),'Per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IFERROR(MATCH(Settings!$C$26&amp;"|"&amp;ROWS($X$2:$X350),'Per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IFERROR(MATCH(Settings!$C$26&amp;"|"&amp;ROWS($X$2:$X351),'Per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IFERROR(MATCH(Settings!$C$26&amp;"|"&amp;ROWS($X$2:$X352),'Per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IFERROR(MATCH(Settings!$C$26&amp;"|"&amp;ROWS($X$2:$X353),'Per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IFERROR(MATCH(Settings!$C$26&amp;"|"&amp;ROWS($X$2:$X354),'Per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IFERROR(MATCH(Settings!$C$26&amp;"|"&amp;ROWS($X$2:$X355),'Per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IFERROR(MATCH(Settings!$C$26&amp;"|"&amp;ROWS($X$2:$X356),'Per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IFERROR(MATCH(Settings!$C$26&amp;"|"&amp;ROWS($X$2:$X357),'Per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IFERROR(MATCH(Settings!$C$26&amp;"|"&amp;ROWS($X$2:$X358),'Per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IFERROR(MATCH(Settings!$C$26&amp;"|"&amp;ROWS($X$2:$X359),'Per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IFERROR(MATCH(Settings!$C$26&amp;"|"&amp;ROWS($X$2:$X360),'Per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IFERROR(MATCH(Settings!$C$26&amp;"|"&amp;ROWS($X$2:$X361),'Per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IFERROR(MATCH(Settings!$C$26&amp;"|"&amp;ROWS($X$2:$X362),'Per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IFERROR(MATCH(Settings!$C$26&amp;"|"&amp;ROWS($X$2:$X363),'Per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IFERROR(MATCH(Settings!$C$26&amp;"|"&amp;ROWS($X$2:$X364),'Per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IFERROR(MATCH(Settings!$C$26&amp;"|"&amp;ROWS($X$2:$X365),'Per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IFERROR(MATCH(Settings!$C$26&amp;"|"&amp;ROWS($X$2:$X366),'Per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IFERROR(MATCH(Settings!$C$26&amp;"|"&amp;ROWS($X$2:$X367),'Per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IFERROR(MATCH(Settings!$C$26&amp;"|"&amp;ROWS($X$2:$X368),'Per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IFERROR(MATCH(Settings!$C$26&amp;"|"&amp;ROWS($X$2:$X369),'Per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IFERROR(MATCH(Settings!$C$26&amp;"|"&amp;ROWS($X$2:$X370),'Per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IFERROR(MATCH(Settings!$C$26&amp;"|"&amp;ROWS($X$2:$X371),'Per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IFERROR(MATCH(Settings!$C$26&amp;"|"&amp;ROWS($X$2:$X372),'Per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IFERROR(MATCH(Settings!$C$26&amp;"|"&amp;ROWS($X$2:$X373),'Per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IFERROR(MATCH(Settings!$C$26&amp;"|"&amp;ROWS($X$2:$X374),'Per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IFERROR(MATCH(Settings!$C$26&amp;"|"&amp;ROWS($X$2:$X375),'Per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IFERROR(MATCH(Settings!$C$26&amp;"|"&amp;ROWS($X$2:$X376),'Per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IFERROR(MATCH(Settings!$C$26&amp;"|"&amp;ROWS($X$2:$X377),'Per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IFERROR(MATCH(Settings!$C$26&amp;"|"&amp;ROWS($X$2:$X378),'Per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IFERROR(MATCH(Settings!$C$26&amp;"|"&amp;ROWS($X$2:$X379),'Per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IFERROR(MATCH(Settings!$C$26&amp;"|"&amp;ROWS($X$2:$X380),'Per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IFERROR(MATCH(Settings!$C$26&amp;"|"&amp;ROWS($X$2:$X381),'Per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IFERROR(MATCH(Settings!$C$26&amp;"|"&amp;ROWS($X$2:$X382),'Per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IFERROR(MATCH(Settings!$C$26&amp;"|"&amp;ROWS($X$2:$X383),'Per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IFERROR(MATCH(Settings!$C$26&amp;"|"&amp;ROWS($X$2:$X384),'Per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IFERROR(MATCH(Settings!$C$26&amp;"|"&amp;ROWS($X$2:$X385),'Per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IFERROR(MATCH(Settings!$C$26&amp;"|"&amp;ROWS($X$2:$X386),'Per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IFERROR(MATCH(Settings!$C$26&amp;"|"&amp;ROWS($X$2:$X387),'Per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IFERROR(MATCH(Settings!$C$26&amp;"|"&amp;ROWS($X$2:$X388),'Per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IFERROR(MATCH(Settings!$C$26&amp;"|"&amp;ROWS($X$2:$X389),'Per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IFERROR(MATCH(Settings!$C$26&amp;"|"&amp;ROWS($X$2:$X390),'Per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IFERROR(MATCH(Settings!$C$26&amp;"|"&amp;ROWS($X$2:$X391),'Per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IFERROR(MATCH(Settings!$C$26&amp;"|"&amp;ROWS($X$2:$X392),'Per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IFERROR(MATCH(Settings!$C$26&amp;"|"&amp;ROWS($X$2:$X393),'Per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IFERROR(MATCH(Settings!$C$26&amp;"|"&amp;ROWS($X$2:$X394),'Per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IFERROR(MATCH(Settings!$C$26&amp;"|"&amp;ROWS($X$2:$X395),'Per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IFERROR(MATCH(Settings!$C$26&amp;"|"&amp;ROWS($X$2:$X396),'Per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IFERROR(MATCH(Settings!$C$26&amp;"|"&amp;ROWS($X$2:$X397),'Per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IFERROR(MATCH(Settings!$C$26&amp;"|"&amp;ROWS($X$2:$X398),'Per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IFERROR(MATCH(Settings!$C$26&amp;"|"&amp;ROWS($X$2:$X399),'Per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IFERROR(MATCH(Settings!$C$26&amp;"|"&amp;ROWS($X$2:$X400),'Per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IFERROR(MATCH(Settings!$C$26&amp;"|"&amp;ROWS($X$2:$X401),'Per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IFERROR(MATCH(Settings!$C$27&amp;"|"&amp;ROWS($X$2:$X2),'Per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IFERROR(MATCH(Settings!$C$27&amp;"|"&amp;ROWS($X$2:$X3),'Per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IFERROR(MATCH(Settings!$C$27&amp;"|"&amp;ROWS($X$2:$X4),'Per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IFERROR(MATCH(Settings!$C$27&amp;"|"&amp;ROWS($X$2:$X5),'Per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IFERROR(MATCH(Settings!$C$27&amp;"|"&amp;ROWS($X$2:$X6),'Per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IFERROR(MATCH(Settings!$C$27&amp;"|"&amp;ROWS($X$2:$X7),'Per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IFERROR(MATCH(Settings!$C$27&amp;"|"&amp;ROWS($X$2:$X8),'Per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IFERROR(MATCH(Settings!$C$27&amp;"|"&amp;ROWS($X$2:$X9),'Per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IFERROR(MATCH(Settings!$C$27&amp;"|"&amp;ROWS($X$2:$X10),'Per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IFERROR(MATCH(Settings!$C$27&amp;"|"&amp;ROWS($X$2:$X11),'Per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IFERROR(MATCH(Settings!$C$27&amp;"|"&amp;ROWS($X$2:$X12),'Per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IFERROR(MATCH(Settings!$C$27&amp;"|"&amp;ROWS($X$2:$X13),'Per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IFERROR(MATCH(Settings!$C$27&amp;"|"&amp;ROWS($X$2:$X14),'Per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IFERROR(MATCH(Settings!$C$27&amp;"|"&amp;ROWS($X$2:$X15),'Per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IFERROR(MATCH(Settings!$C$27&amp;"|"&amp;ROWS($X$2:$X16),'Per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IFERROR(MATCH(Settings!$C$27&amp;"|"&amp;ROWS($X$2:$X17),'Per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IFERROR(MATCH(Settings!$C$27&amp;"|"&amp;ROWS($X$2:$X18),'Per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IFERROR(MATCH(Settings!$C$27&amp;"|"&amp;ROWS($X$2:$X19),'Per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IFERROR(MATCH(Settings!$C$27&amp;"|"&amp;ROWS($X$2:$X20),'Per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IFERROR(MATCH(Settings!$C$27&amp;"|"&amp;ROWS($X$2:$X21),'Per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IFERROR(MATCH(Settings!$C$27&amp;"|"&amp;ROWS($X$2:$X22),'Per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IFERROR(MATCH(Settings!$C$27&amp;"|"&amp;ROWS($X$2:$X23),'Per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IFERROR(MATCH(Settings!$C$27&amp;"|"&amp;ROWS($X$2:$X24),'Per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IFERROR(MATCH(Settings!$C$27&amp;"|"&amp;ROWS($X$2:$X25),'Per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IFERROR(MATCH(Settings!$C$27&amp;"|"&amp;ROWS($X$2:$X26),'Per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IFERROR(MATCH(Settings!$C$27&amp;"|"&amp;ROWS($X$2:$X27),'Per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IFERROR(MATCH(Settings!$C$27&amp;"|"&amp;ROWS($X$2:$X28),'Per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IFERROR(MATCH(Settings!$C$27&amp;"|"&amp;ROWS($X$2:$X29),'Per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IFERROR(MATCH(Settings!$C$27&amp;"|"&amp;ROWS($X$2:$X30),'Per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IFERROR(MATCH(Settings!$C$27&amp;"|"&amp;ROWS($X$2:$X31),'Per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IFERROR(MATCH(Settings!$C$27&amp;"|"&amp;ROWS($X$2:$X32),'Per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IFERROR(MATCH(Settings!$C$27&amp;"|"&amp;ROWS($X$2:$X33),'Per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IFERROR(MATCH(Settings!$C$27&amp;"|"&amp;ROWS($X$2:$X34),'Per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IFERROR(MATCH(Settings!$C$27&amp;"|"&amp;ROWS($X$2:$X35),'Per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IFERROR(MATCH(Settings!$C$27&amp;"|"&amp;ROWS($X$2:$X36),'Per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IFERROR(MATCH(Settings!$C$27&amp;"|"&amp;ROWS($X$2:$X37),'Per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IFERROR(MATCH(Settings!$C$27&amp;"|"&amp;ROWS($X$2:$X38),'Per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IFERROR(MATCH(Settings!$C$27&amp;"|"&amp;ROWS($X$2:$X39),'Per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IFERROR(MATCH(Settings!$C$27&amp;"|"&amp;ROWS($X$2:$X40),'Per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IFERROR(MATCH(Settings!$C$27&amp;"|"&amp;ROWS($X$2:$X41),'Per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IFERROR(MATCH(Settings!$C$27&amp;"|"&amp;ROWS($X$2:$X42),'Per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IFERROR(MATCH(Settings!$C$27&amp;"|"&amp;ROWS($X$2:$X43),'Per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IFERROR(MATCH(Settings!$C$27&amp;"|"&amp;ROWS($X$2:$X44),'Per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IFERROR(MATCH(Settings!$C$27&amp;"|"&amp;ROWS($X$2:$X45),'Per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IFERROR(MATCH(Settings!$C$27&amp;"|"&amp;ROWS($X$2:$X46),'Per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IFERROR(MATCH(Settings!$C$27&amp;"|"&amp;ROWS($X$2:$X47),'Per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IFERROR(MATCH(Settings!$C$27&amp;"|"&amp;ROWS($X$2:$X48),'Per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IFERROR(MATCH(Settings!$C$27&amp;"|"&amp;ROWS($X$2:$X49),'Per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IFERROR(MATCH(Settings!$C$27&amp;"|"&amp;ROWS($X$2:$X50),'Per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IFERROR(MATCH(Settings!$C$27&amp;"|"&amp;ROWS($X$2:$X51),'Per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IFERROR(MATCH(Settings!$C$27&amp;"|"&amp;ROWS($X$2:$X52),'Per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IFERROR(MATCH(Settings!$C$27&amp;"|"&amp;ROWS($X$2:$X53),'Per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IFERROR(MATCH(Settings!$C$27&amp;"|"&amp;ROWS($X$2:$X54),'Per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IFERROR(MATCH(Settings!$C$27&amp;"|"&amp;ROWS($X$2:$X55),'Per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IFERROR(MATCH(Settings!$C$27&amp;"|"&amp;ROWS($X$2:$X56),'Per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IFERROR(MATCH(Settings!$C$27&amp;"|"&amp;ROWS($X$2:$X57),'Per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IFERROR(MATCH(Settings!$C$27&amp;"|"&amp;ROWS($X$2:$X58),'Per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IFERROR(MATCH(Settings!$C$27&amp;"|"&amp;ROWS($X$2:$X59),'Per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IFERROR(MATCH(Settings!$C$27&amp;"|"&amp;ROWS($X$2:$X60),'Per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IFERROR(MATCH(Settings!$C$27&amp;"|"&amp;ROWS($X$2:$X61),'Per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IFERROR(MATCH(Settings!$C$27&amp;"|"&amp;ROWS($X$2:$X62),'Per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IFERROR(MATCH(Settings!$C$27&amp;"|"&amp;ROWS($X$2:$X63),'Per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IFERROR(MATCH(Settings!$C$27&amp;"|"&amp;ROWS($X$2:$X64),'Per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IFERROR(MATCH(Settings!$C$27&amp;"|"&amp;ROWS($X$2:$X65),'Per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IFERROR(MATCH(Settings!$C$27&amp;"|"&amp;ROWS($X$2:$X66),'Per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IFERROR(MATCH(Settings!$C$27&amp;"|"&amp;ROWS($X$2:$X67),'Per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IFERROR(MATCH(Settings!$C$27&amp;"|"&amp;ROWS($X$2:$X68),'Per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IFERROR(MATCH(Settings!$C$27&amp;"|"&amp;ROWS($X$2:$X69),'Per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IFERROR(MATCH(Settings!$C$27&amp;"|"&amp;ROWS($X$2:$X70),'Per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IFERROR(MATCH(Settings!$C$27&amp;"|"&amp;ROWS($X$2:$X71),'Per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IFERROR(MATCH(Settings!$C$27&amp;"|"&amp;ROWS($X$2:$X72),'Per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IFERROR(MATCH(Settings!$C$27&amp;"|"&amp;ROWS($X$2:$X73),'Per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IFERROR(MATCH(Settings!$C$27&amp;"|"&amp;ROWS($X$2:$X74),'Per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IFERROR(MATCH(Settings!$C$27&amp;"|"&amp;ROWS($X$2:$X75),'Per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IFERROR(MATCH(Settings!$C$27&amp;"|"&amp;ROWS($X$2:$X76),'Per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IFERROR(MATCH(Settings!$C$27&amp;"|"&amp;ROWS($X$2:$X77),'Per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IFERROR(MATCH(Settings!$C$27&amp;"|"&amp;ROWS($X$2:$X78),'Per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IFERROR(MATCH(Settings!$C$27&amp;"|"&amp;ROWS($X$2:$X79),'Per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IFERROR(MATCH(Settings!$C$27&amp;"|"&amp;ROWS($X$2:$X80),'Per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IFERROR(MATCH(Settings!$C$27&amp;"|"&amp;ROWS($X$2:$X81),'Per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IFERROR(MATCH(Settings!$C$27&amp;"|"&amp;ROWS($X$2:$X82),'Per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IFERROR(MATCH(Settings!$C$27&amp;"|"&amp;ROWS($X$2:$X83),'Per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IFERROR(MATCH(Settings!$C$27&amp;"|"&amp;ROWS($X$2:$X84),'Per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IFERROR(MATCH(Settings!$C$27&amp;"|"&amp;ROWS($X$2:$X85),'Per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IFERROR(MATCH(Settings!$C$27&amp;"|"&amp;ROWS($X$2:$X86),'Per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IFERROR(MATCH(Settings!$C$27&amp;"|"&amp;ROWS($X$2:$X87),'Per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IFERROR(MATCH(Settings!$C$27&amp;"|"&amp;ROWS($X$2:$X88),'Per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IFERROR(MATCH(Settings!$C$27&amp;"|"&amp;ROWS($X$2:$X89),'Per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IFERROR(MATCH(Settings!$C$27&amp;"|"&amp;ROWS($X$2:$X90),'Per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IFERROR(MATCH(Settings!$C$27&amp;"|"&amp;ROWS($X$2:$X91),'Per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IFERROR(MATCH(Settings!$C$27&amp;"|"&amp;ROWS($X$2:$X92),'Per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IFERROR(MATCH(Settings!$C$27&amp;"|"&amp;ROWS($X$2:$X93),'Per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IFERROR(MATCH(Settings!$C$27&amp;"|"&amp;ROWS($X$2:$X94),'Per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IFERROR(MATCH(Settings!$C$27&amp;"|"&amp;ROWS($X$2:$X95),'Per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IFERROR(MATCH(Settings!$C$27&amp;"|"&amp;ROWS($X$2:$X96),'Per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IFERROR(MATCH(Settings!$C$27&amp;"|"&amp;ROWS($X$2:$X97),'Per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IFERROR(MATCH(Settings!$C$27&amp;"|"&amp;ROWS($X$2:$X98),'Per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IFERROR(MATCH(Settings!$C$27&amp;"|"&amp;ROWS($X$2:$X99),'Per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IFERROR(MATCH(Settings!$C$27&amp;"|"&amp;ROWS($X$2:$X100),'Per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IFERROR(MATCH(Settings!$C$27&amp;"|"&amp;ROWS($X$2:$X101),'Per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IFERROR(MATCH(Settings!$C$27&amp;"|"&amp;ROWS($X$2:$X102),'Per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IFERROR(MATCH(Settings!$C$27&amp;"|"&amp;ROWS($X$2:$X103),'Per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IFERROR(MATCH(Settings!$C$27&amp;"|"&amp;ROWS($X$2:$X104),'Per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IFERROR(MATCH(Settings!$C$27&amp;"|"&amp;ROWS($X$2:$X105),'Per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IFERROR(MATCH(Settings!$C$27&amp;"|"&amp;ROWS($X$2:$X106),'Per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IFERROR(MATCH(Settings!$C$27&amp;"|"&amp;ROWS($X$2:$X107),'Per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IFERROR(MATCH(Settings!$C$27&amp;"|"&amp;ROWS($X$2:$X108),'Per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IFERROR(MATCH(Settings!$C$27&amp;"|"&amp;ROWS($X$2:$X109),'Per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IFERROR(MATCH(Settings!$C$27&amp;"|"&amp;ROWS($X$2:$X110),'Per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IFERROR(MATCH(Settings!$C$27&amp;"|"&amp;ROWS($X$2:$X111),'Per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IFERROR(MATCH(Settings!$C$27&amp;"|"&amp;ROWS($X$2:$X112),'Per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IFERROR(MATCH(Settings!$C$27&amp;"|"&amp;ROWS($X$2:$X113),'Per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IFERROR(MATCH(Settings!$C$27&amp;"|"&amp;ROWS($X$2:$X114),'Per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IFERROR(MATCH(Settings!$C$27&amp;"|"&amp;ROWS($X$2:$X115),'Per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IFERROR(MATCH(Settings!$C$27&amp;"|"&amp;ROWS($X$2:$X116),'Per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IFERROR(MATCH(Settings!$C$27&amp;"|"&amp;ROWS($X$2:$X117),'Per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IFERROR(MATCH(Settings!$C$27&amp;"|"&amp;ROWS($X$2:$X118),'Per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IFERROR(MATCH(Settings!$C$27&amp;"|"&amp;ROWS($X$2:$X119),'Per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IFERROR(MATCH(Settings!$C$27&amp;"|"&amp;ROWS($X$2:$X120),'Per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IFERROR(MATCH(Settings!$C$27&amp;"|"&amp;ROWS($X$2:$X121),'Per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IFERROR(MATCH(Settings!$C$27&amp;"|"&amp;ROWS($X$2:$X122),'Per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IFERROR(MATCH(Settings!$C$27&amp;"|"&amp;ROWS($X$2:$X123),'Per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IFERROR(MATCH(Settings!$C$27&amp;"|"&amp;ROWS($X$2:$X124),'Per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IFERROR(MATCH(Settings!$C$27&amp;"|"&amp;ROWS($X$2:$X125),'Per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IFERROR(MATCH(Settings!$C$27&amp;"|"&amp;ROWS($X$2:$X126),'Per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IFERROR(MATCH(Settings!$C$27&amp;"|"&amp;ROWS($X$2:$X127),'Per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IFERROR(MATCH(Settings!$C$27&amp;"|"&amp;ROWS($X$2:$X128),'Per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IFERROR(MATCH(Settings!$C$27&amp;"|"&amp;ROWS($X$2:$X129),'Per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IFERROR(MATCH(Settings!$C$27&amp;"|"&amp;ROWS($X$2:$X130),'Per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IFERROR(MATCH(Settings!$C$27&amp;"|"&amp;ROWS($X$2:$X131),'Per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IFERROR(MATCH(Settings!$C$27&amp;"|"&amp;ROWS($X$2:$X132),'Per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IFERROR(MATCH(Settings!$C$27&amp;"|"&amp;ROWS($X$2:$X133),'Per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IFERROR(MATCH(Settings!$C$27&amp;"|"&amp;ROWS($X$2:$X134),'Per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IFERROR(MATCH(Settings!$C$27&amp;"|"&amp;ROWS($X$2:$X135),'Per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IFERROR(MATCH(Settings!$C$27&amp;"|"&amp;ROWS($X$2:$X136),'Per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IFERROR(MATCH(Settings!$C$27&amp;"|"&amp;ROWS($X$2:$X137),'Per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IFERROR(MATCH(Settings!$C$27&amp;"|"&amp;ROWS($X$2:$X138),'Per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IFERROR(MATCH(Settings!$C$27&amp;"|"&amp;ROWS($X$2:$X139),'Per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IFERROR(MATCH(Settings!$C$27&amp;"|"&amp;ROWS($X$2:$X140),'Per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IFERROR(MATCH(Settings!$C$27&amp;"|"&amp;ROWS($X$2:$X141),'Per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IFERROR(MATCH(Settings!$C$27&amp;"|"&amp;ROWS($X$2:$X142),'Per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IFERROR(MATCH(Settings!$C$27&amp;"|"&amp;ROWS($X$2:$X143),'Per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IFERROR(MATCH(Settings!$C$27&amp;"|"&amp;ROWS($X$2:$X144),'Per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IFERROR(MATCH(Settings!$C$27&amp;"|"&amp;ROWS($X$2:$X145),'Per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IFERROR(MATCH(Settings!$C$27&amp;"|"&amp;ROWS($X$2:$X146),'Per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IFERROR(MATCH(Settings!$C$27&amp;"|"&amp;ROWS($X$2:$X147),'Per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IFERROR(MATCH(Settings!$C$27&amp;"|"&amp;ROWS($X$2:$X148),'Per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IFERROR(MATCH(Settings!$C$27&amp;"|"&amp;ROWS($X$2:$X149),'Per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IFERROR(MATCH(Settings!$C$27&amp;"|"&amp;ROWS($X$2:$X150),'Per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IFERROR(MATCH(Settings!$C$27&amp;"|"&amp;ROWS($X$2:$X151),'Per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IFERROR(MATCH(Settings!$C$27&amp;"|"&amp;ROWS($X$2:$X152),'Per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IFERROR(MATCH(Settings!$C$27&amp;"|"&amp;ROWS($X$2:$X153),'Per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IFERROR(MATCH(Settings!$C$27&amp;"|"&amp;ROWS($X$2:$X154),'Per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IFERROR(MATCH(Settings!$C$27&amp;"|"&amp;ROWS($X$2:$X155),'Per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IFERROR(MATCH(Settings!$C$27&amp;"|"&amp;ROWS($X$2:$X156),'Per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IFERROR(MATCH(Settings!$C$27&amp;"|"&amp;ROWS($X$2:$X157),'Per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IFERROR(MATCH(Settings!$C$27&amp;"|"&amp;ROWS($X$2:$X158),'Per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IFERROR(MATCH(Settings!$C$27&amp;"|"&amp;ROWS($X$2:$X159),'Per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IFERROR(MATCH(Settings!$C$27&amp;"|"&amp;ROWS($X$2:$X160),'Per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IFERROR(MATCH(Settings!$C$27&amp;"|"&amp;ROWS($X$2:$X161),'Per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IFERROR(MATCH(Settings!$C$27&amp;"|"&amp;ROWS($X$2:$X162),'Per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IFERROR(MATCH(Settings!$C$27&amp;"|"&amp;ROWS($X$2:$X163),'Per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IFERROR(MATCH(Settings!$C$27&amp;"|"&amp;ROWS($X$2:$X164),'Per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IFERROR(MATCH(Settings!$C$27&amp;"|"&amp;ROWS($X$2:$X165),'Per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IFERROR(MATCH(Settings!$C$27&amp;"|"&amp;ROWS($X$2:$X166),'Per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IFERROR(MATCH(Settings!$C$27&amp;"|"&amp;ROWS($X$2:$X167),'Per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IFERROR(MATCH(Settings!$C$27&amp;"|"&amp;ROWS($X$2:$X168),'Per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IFERROR(MATCH(Settings!$C$27&amp;"|"&amp;ROWS($X$2:$X169),'Per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IFERROR(MATCH(Settings!$C$27&amp;"|"&amp;ROWS($X$2:$X170),'Per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IFERROR(MATCH(Settings!$C$27&amp;"|"&amp;ROWS($X$2:$X171),'Per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IFERROR(MATCH(Settings!$C$27&amp;"|"&amp;ROWS($X$2:$X172),'Per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IFERROR(MATCH(Settings!$C$27&amp;"|"&amp;ROWS($X$2:$X173),'Per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IFERROR(MATCH(Settings!$C$27&amp;"|"&amp;ROWS($X$2:$X174),'Per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IFERROR(MATCH(Settings!$C$27&amp;"|"&amp;ROWS($X$2:$X175),'Per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IFERROR(MATCH(Settings!$C$27&amp;"|"&amp;ROWS($X$2:$X176),'Per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IFERROR(MATCH(Settings!$C$27&amp;"|"&amp;ROWS($X$2:$X177),'Per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IFERROR(MATCH(Settings!$C$27&amp;"|"&amp;ROWS($X$2:$X178),'Per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IFERROR(MATCH(Settings!$C$27&amp;"|"&amp;ROWS($X$2:$X179),'Per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IFERROR(MATCH(Settings!$C$27&amp;"|"&amp;ROWS($X$2:$X180),'Per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IFERROR(MATCH(Settings!$C$27&amp;"|"&amp;ROWS($X$2:$X181),'Per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IFERROR(MATCH(Settings!$C$27&amp;"|"&amp;ROWS($X$2:$X182),'Per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IFERROR(MATCH(Settings!$C$27&amp;"|"&amp;ROWS($X$2:$X183),'Per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IFERROR(MATCH(Settings!$C$27&amp;"|"&amp;ROWS($X$2:$X184),'Per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IFERROR(MATCH(Settings!$C$27&amp;"|"&amp;ROWS($X$2:$X185),'Per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IFERROR(MATCH(Settings!$C$27&amp;"|"&amp;ROWS($X$2:$X186),'Per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IFERROR(MATCH(Settings!$C$27&amp;"|"&amp;ROWS($X$2:$X187),'Per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IFERROR(MATCH(Settings!$C$27&amp;"|"&amp;ROWS($X$2:$X188),'Per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IFERROR(MATCH(Settings!$C$27&amp;"|"&amp;ROWS($X$2:$X189),'Per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IFERROR(MATCH(Settings!$C$27&amp;"|"&amp;ROWS($X$2:$X190),'Per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IFERROR(MATCH(Settings!$C$27&amp;"|"&amp;ROWS($X$2:$X191),'Per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IFERROR(MATCH(Settings!$C$27&amp;"|"&amp;ROWS($X$2:$X192),'Per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IFERROR(MATCH(Settings!$C$27&amp;"|"&amp;ROWS($X$2:$X193),'Per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IFERROR(MATCH(Settings!$C$27&amp;"|"&amp;ROWS($X$2:$X194),'Per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IFERROR(MATCH(Settings!$C$27&amp;"|"&amp;ROWS($X$2:$X195),'Per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IFERROR(MATCH(Settings!$C$27&amp;"|"&amp;ROWS($X$2:$X196),'Per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IFERROR(MATCH(Settings!$C$27&amp;"|"&amp;ROWS($X$2:$X197),'Per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IFERROR(MATCH(Settings!$C$27&amp;"|"&amp;ROWS($X$2:$X198),'Per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IFERROR(MATCH(Settings!$C$27&amp;"|"&amp;ROWS($X$2:$X199),'Per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IFERROR(MATCH(Settings!$C$27&amp;"|"&amp;ROWS($X$2:$X200),'Per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IFERROR(MATCH(Settings!$C$27&amp;"|"&amp;ROWS($X$2:$X201),'Per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IFERROR(MATCH(Settings!$C$27&amp;"|"&amp;ROWS($X$2:$X202),'Per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IFERROR(MATCH(Settings!$C$27&amp;"|"&amp;ROWS($X$2:$X203),'Per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IFERROR(MATCH(Settings!$C$27&amp;"|"&amp;ROWS($X$2:$X204),'Per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IFERROR(MATCH(Settings!$C$27&amp;"|"&amp;ROWS($X$2:$X205),'Per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IFERROR(MATCH(Settings!$C$27&amp;"|"&amp;ROWS($X$2:$X206),'Per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IFERROR(MATCH(Settings!$C$27&amp;"|"&amp;ROWS($X$2:$X207),'Per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IFERROR(MATCH(Settings!$C$27&amp;"|"&amp;ROWS($X$2:$X208),'Per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IFERROR(MATCH(Settings!$C$27&amp;"|"&amp;ROWS($X$2:$X209),'Per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IFERROR(MATCH(Settings!$C$27&amp;"|"&amp;ROWS($X$2:$X210),'Per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IFERROR(MATCH(Settings!$C$27&amp;"|"&amp;ROWS($X$2:$X211),'Per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IFERROR(MATCH(Settings!$C$27&amp;"|"&amp;ROWS($X$2:$X212),'Per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IFERROR(MATCH(Settings!$C$27&amp;"|"&amp;ROWS($X$2:$X213),'Per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IFERROR(MATCH(Settings!$C$27&amp;"|"&amp;ROWS($X$2:$X214),'Per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IFERROR(MATCH(Settings!$C$27&amp;"|"&amp;ROWS($X$2:$X215),'Per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IFERROR(MATCH(Settings!$C$27&amp;"|"&amp;ROWS($X$2:$X216),'Per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IFERROR(MATCH(Settings!$C$27&amp;"|"&amp;ROWS($X$2:$X217),'Per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IFERROR(MATCH(Settings!$C$27&amp;"|"&amp;ROWS($X$2:$X218),'Per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IFERROR(MATCH(Settings!$C$27&amp;"|"&amp;ROWS($X$2:$X219),'Per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IFERROR(MATCH(Settings!$C$27&amp;"|"&amp;ROWS($X$2:$X220),'Per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IFERROR(MATCH(Settings!$C$27&amp;"|"&amp;ROWS($X$2:$X221),'Per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IFERROR(MATCH(Settings!$C$27&amp;"|"&amp;ROWS($X$2:$X222),'Per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IFERROR(MATCH(Settings!$C$27&amp;"|"&amp;ROWS($X$2:$X223),'Per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IFERROR(MATCH(Settings!$C$27&amp;"|"&amp;ROWS($X$2:$X224),'Per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IFERROR(MATCH(Settings!$C$27&amp;"|"&amp;ROWS($X$2:$X225),'Per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IFERROR(MATCH(Settings!$C$27&amp;"|"&amp;ROWS($X$2:$X226),'Per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IFERROR(MATCH(Settings!$C$27&amp;"|"&amp;ROWS($X$2:$X227),'Per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IFERROR(MATCH(Settings!$C$27&amp;"|"&amp;ROWS($X$2:$X228),'Per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IFERROR(MATCH(Settings!$C$27&amp;"|"&amp;ROWS($X$2:$X229),'Per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IFERROR(MATCH(Settings!$C$27&amp;"|"&amp;ROWS($X$2:$X230),'Per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IFERROR(MATCH(Settings!$C$27&amp;"|"&amp;ROWS($X$2:$X231),'Per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IFERROR(MATCH(Settings!$C$27&amp;"|"&amp;ROWS($X$2:$X232),'Per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IFERROR(MATCH(Settings!$C$27&amp;"|"&amp;ROWS($X$2:$X233),'Per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IFERROR(MATCH(Settings!$C$27&amp;"|"&amp;ROWS($X$2:$X234),'Per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IFERROR(MATCH(Settings!$C$27&amp;"|"&amp;ROWS($X$2:$X235),'Per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IFERROR(MATCH(Settings!$C$27&amp;"|"&amp;ROWS($X$2:$X236),'Per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IFERROR(MATCH(Settings!$C$27&amp;"|"&amp;ROWS($X$2:$X237),'Per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IFERROR(MATCH(Settings!$C$27&amp;"|"&amp;ROWS($X$2:$X238),'Per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IFERROR(MATCH(Settings!$C$27&amp;"|"&amp;ROWS($X$2:$X239),'Per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IFERROR(MATCH(Settings!$C$27&amp;"|"&amp;ROWS($X$2:$X240),'Per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IFERROR(MATCH(Settings!$C$27&amp;"|"&amp;ROWS($X$2:$X241),'Per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IFERROR(MATCH(Settings!$C$27&amp;"|"&amp;ROWS($X$2:$X242),'Per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IFERROR(MATCH(Settings!$C$27&amp;"|"&amp;ROWS($X$2:$X243),'Per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IFERROR(MATCH(Settings!$C$27&amp;"|"&amp;ROWS($X$2:$X244),'Per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IFERROR(MATCH(Settings!$C$27&amp;"|"&amp;ROWS($X$2:$X245),'Per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IFERROR(MATCH(Settings!$C$27&amp;"|"&amp;ROWS($X$2:$X246),'Per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IFERROR(MATCH(Settings!$C$27&amp;"|"&amp;ROWS($X$2:$X247),'Per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IFERROR(MATCH(Settings!$C$27&amp;"|"&amp;ROWS($X$2:$X248),'Per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IFERROR(MATCH(Settings!$C$27&amp;"|"&amp;ROWS($X$2:$X249),'Per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IFERROR(MATCH(Settings!$C$27&amp;"|"&amp;ROWS($X$2:$X250),'Per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IFERROR(MATCH(Settings!$C$27&amp;"|"&amp;ROWS($X$2:$X251),'Per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IFERROR(MATCH(Settings!$C$27&amp;"|"&amp;ROWS($X$2:$X252),'Per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IFERROR(MATCH(Settings!$C$27&amp;"|"&amp;ROWS($X$2:$X253),'Per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IFERROR(MATCH(Settings!$C$27&amp;"|"&amp;ROWS($X$2:$X254),'Per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IFERROR(MATCH(Settings!$C$27&amp;"|"&amp;ROWS($X$2:$X255),'Per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IFERROR(MATCH(Settings!$C$27&amp;"|"&amp;ROWS($X$2:$X256),'Per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IFERROR(MATCH(Settings!$C$27&amp;"|"&amp;ROWS($X$2:$X257),'Per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IFERROR(MATCH(Settings!$C$27&amp;"|"&amp;ROWS($X$2:$X258),'Per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IFERROR(MATCH(Settings!$C$27&amp;"|"&amp;ROWS($X$2:$X259),'Per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IFERROR(MATCH(Settings!$C$27&amp;"|"&amp;ROWS($X$2:$X260),'Per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IFERROR(MATCH(Settings!$C$27&amp;"|"&amp;ROWS($X$2:$X261),'Per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IFERROR(MATCH(Settings!$C$27&amp;"|"&amp;ROWS($X$2:$X262),'Per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IFERROR(MATCH(Settings!$C$27&amp;"|"&amp;ROWS($X$2:$X263),'Per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IFERROR(MATCH(Settings!$C$27&amp;"|"&amp;ROWS($X$2:$X264),'Per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IFERROR(MATCH(Settings!$C$27&amp;"|"&amp;ROWS($X$2:$X265),'Per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IFERROR(MATCH(Settings!$C$27&amp;"|"&amp;ROWS($X$2:$X266),'Per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IFERROR(MATCH(Settings!$C$27&amp;"|"&amp;ROWS($X$2:$X267),'Per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IFERROR(MATCH(Settings!$C$27&amp;"|"&amp;ROWS($X$2:$X268),'Per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IFERROR(MATCH(Settings!$C$27&amp;"|"&amp;ROWS($X$2:$X269),'Per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IFERROR(MATCH(Settings!$C$27&amp;"|"&amp;ROWS($X$2:$X270),'Per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IFERROR(MATCH(Settings!$C$27&amp;"|"&amp;ROWS($X$2:$X271),'Per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IFERROR(MATCH(Settings!$C$27&amp;"|"&amp;ROWS($X$2:$X272),'Per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IFERROR(MATCH(Settings!$C$27&amp;"|"&amp;ROWS($X$2:$X273),'Per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IFERROR(MATCH(Settings!$C$27&amp;"|"&amp;ROWS($X$2:$X274),'Per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IFERROR(MATCH(Settings!$C$27&amp;"|"&amp;ROWS($X$2:$X275),'Per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IFERROR(MATCH(Settings!$C$27&amp;"|"&amp;ROWS($X$2:$X276),'Per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IFERROR(MATCH(Settings!$C$27&amp;"|"&amp;ROWS($X$2:$X277),'Per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IFERROR(MATCH(Settings!$C$27&amp;"|"&amp;ROWS($X$2:$X278),'Per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IFERROR(MATCH(Settings!$C$27&amp;"|"&amp;ROWS($X$2:$X279),'Per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IFERROR(MATCH(Settings!$C$27&amp;"|"&amp;ROWS($X$2:$X280),'Per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IFERROR(MATCH(Settings!$C$27&amp;"|"&amp;ROWS($X$2:$X281),'Per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IFERROR(MATCH(Settings!$C$27&amp;"|"&amp;ROWS($X$2:$X282),'Per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IFERROR(MATCH(Settings!$C$27&amp;"|"&amp;ROWS($X$2:$X283),'Per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IFERROR(MATCH(Settings!$C$27&amp;"|"&amp;ROWS($X$2:$X284),'Per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IFERROR(MATCH(Settings!$C$27&amp;"|"&amp;ROWS($X$2:$X285),'Per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IFERROR(MATCH(Settings!$C$27&amp;"|"&amp;ROWS($X$2:$X286),'Per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IFERROR(MATCH(Settings!$C$27&amp;"|"&amp;ROWS($X$2:$X287),'Per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IFERROR(MATCH(Settings!$C$27&amp;"|"&amp;ROWS($X$2:$X288),'Per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IFERROR(MATCH(Settings!$C$27&amp;"|"&amp;ROWS($X$2:$X289),'Per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IFERROR(MATCH(Settings!$C$27&amp;"|"&amp;ROWS($X$2:$X290),'Per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IFERROR(MATCH(Settings!$C$27&amp;"|"&amp;ROWS($X$2:$X291),'Per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IFERROR(MATCH(Settings!$C$27&amp;"|"&amp;ROWS($X$2:$X292),'Per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IFERROR(MATCH(Settings!$C$27&amp;"|"&amp;ROWS($X$2:$X293),'Per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IFERROR(MATCH(Settings!$C$27&amp;"|"&amp;ROWS($X$2:$X294),'Per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IFERROR(MATCH(Settings!$C$27&amp;"|"&amp;ROWS($X$2:$X295),'Per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IFERROR(MATCH(Settings!$C$27&amp;"|"&amp;ROWS($X$2:$X296),'Per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IFERROR(MATCH(Settings!$C$27&amp;"|"&amp;ROWS($X$2:$X297),'Per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IFERROR(MATCH(Settings!$C$27&amp;"|"&amp;ROWS($X$2:$X298),'Per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IFERROR(MATCH(Settings!$C$27&amp;"|"&amp;ROWS($X$2:$X299),'Per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IFERROR(MATCH(Settings!$C$27&amp;"|"&amp;ROWS($X$2:$X300),'Per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IFERROR(MATCH(Settings!$C$27&amp;"|"&amp;ROWS($X$2:$X301),'Per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IFERROR(MATCH(Settings!$C$27&amp;"|"&amp;ROWS($X$2:$X302),'Per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IFERROR(MATCH(Settings!$C$27&amp;"|"&amp;ROWS($X$2:$X303),'Per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IFERROR(MATCH(Settings!$C$27&amp;"|"&amp;ROWS($X$2:$X304),'Per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IFERROR(MATCH(Settings!$C$27&amp;"|"&amp;ROWS($X$2:$X305),'Per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IFERROR(MATCH(Settings!$C$27&amp;"|"&amp;ROWS($X$2:$X306),'Per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IFERROR(MATCH(Settings!$C$27&amp;"|"&amp;ROWS($X$2:$X307),'Per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IFERROR(MATCH(Settings!$C$27&amp;"|"&amp;ROWS($X$2:$X308),'Per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IFERROR(MATCH(Settings!$C$27&amp;"|"&amp;ROWS($X$2:$X309),'Per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IFERROR(MATCH(Settings!$C$27&amp;"|"&amp;ROWS($X$2:$X310),'Per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IFERROR(MATCH(Settings!$C$27&amp;"|"&amp;ROWS($X$2:$X311),'Per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IFERROR(MATCH(Settings!$C$27&amp;"|"&amp;ROWS($X$2:$X312),'Per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IFERROR(MATCH(Settings!$C$27&amp;"|"&amp;ROWS($X$2:$X313),'Per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IFERROR(MATCH(Settings!$C$27&amp;"|"&amp;ROWS($X$2:$X314),'Per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IFERROR(MATCH(Settings!$C$27&amp;"|"&amp;ROWS($X$2:$X315),'Per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IFERROR(MATCH(Settings!$C$27&amp;"|"&amp;ROWS($X$2:$X316),'Per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IFERROR(MATCH(Settings!$C$27&amp;"|"&amp;ROWS($X$2:$X317),'Per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IFERROR(MATCH(Settings!$C$27&amp;"|"&amp;ROWS($X$2:$X318),'Per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IFERROR(MATCH(Settings!$C$27&amp;"|"&amp;ROWS($X$2:$X319),'Per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IFERROR(MATCH(Settings!$C$27&amp;"|"&amp;ROWS($X$2:$X320),'Per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IFERROR(MATCH(Settings!$C$27&amp;"|"&amp;ROWS($X$2:$X321),'Per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IFERROR(MATCH(Settings!$C$27&amp;"|"&amp;ROWS($X$2:$X322),'Per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IFERROR(MATCH(Settings!$C$27&amp;"|"&amp;ROWS($X$2:$X323),'Per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IFERROR(MATCH(Settings!$C$27&amp;"|"&amp;ROWS($X$2:$X324),'Per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IFERROR(MATCH(Settings!$C$27&amp;"|"&amp;ROWS($X$2:$X325),'Per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IFERROR(MATCH(Settings!$C$27&amp;"|"&amp;ROWS($X$2:$X326),'Per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IFERROR(MATCH(Settings!$C$27&amp;"|"&amp;ROWS($X$2:$X327),'Per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IFERROR(MATCH(Settings!$C$27&amp;"|"&amp;ROWS($X$2:$X328),'Per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IFERROR(MATCH(Settings!$C$27&amp;"|"&amp;ROWS($X$2:$X329),'Per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IFERROR(MATCH(Settings!$C$27&amp;"|"&amp;ROWS($X$2:$X330),'Per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IFERROR(MATCH(Settings!$C$27&amp;"|"&amp;ROWS($X$2:$X331),'Per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IFERROR(MATCH(Settings!$C$27&amp;"|"&amp;ROWS($X$2:$X332),'Per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IFERROR(MATCH(Settings!$C$27&amp;"|"&amp;ROWS($X$2:$X333),'Per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IFERROR(MATCH(Settings!$C$27&amp;"|"&amp;ROWS($X$2:$X334),'Per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IFERROR(MATCH(Settings!$C$27&amp;"|"&amp;ROWS($X$2:$X335),'Per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IFERROR(MATCH(Settings!$C$27&amp;"|"&amp;ROWS($X$2:$X336),'Per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IFERROR(MATCH(Settings!$C$27&amp;"|"&amp;ROWS($X$2:$X337),'Per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IFERROR(MATCH(Settings!$C$27&amp;"|"&amp;ROWS($X$2:$X338),'Per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IFERROR(MATCH(Settings!$C$27&amp;"|"&amp;ROWS($X$2:$X339),'Per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IFERROR(MATCH(Settings!$C$27&amp;"|"&amp;ROWS($X$2:$X340),'Per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IFERROR(MATCH(Settings!$C$27&amp;"|"&amp;ROWS($X$2:$X341),'Per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IFERROR(MATCH(Settings!$C$27&amp;"|"&amp;ROWS($X$2:$X342),'Per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IFERROR(MATCH(Settings!$C$27&amp;"|"&amp;ROWS($X$2:$X343),'Per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IFERROR(MATCH(Settings!$C$27&amp;"|"&amp;ROWS($X$2:$X344),'Per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IFERROR(MATCH(Settings!$C$27&amp;"|"&amp;ROWS($X$2:$X345),'Per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IFERROR(MATCH(Settings!$C$27&amp;"|"&amp;ROWS($X$2:$X346),'Per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IFERROR(MATCH(Settings!$C$27&amp;"|"&amp;ROWS($X$2:$X347),'Per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IFERROR(MATCH(Settings!$C$27&amp;"|"&amp;ROWS($X$2:$X348),'Per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IFERROR(MATCH(Settings!$C$27&amp;"|"&amp;ROWS($X$2:$X349),'Per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IFERROR(MATCH(Settings!$C$27&amp;"|"&amp;ROWS($X$2:$X350),'Per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IFERROR(MATCH(Settings!$C$27&amp;"|"&amp;ROWS($X$2:$X351),'Per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IFERROR(MATCH(Settings!$C$27&amp;"|"&amp;ROWS($X$2:$X352),'Per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IFERROR(MATCH(Settings!$C$27&amp;"|"&amp;ROWS($X$2:$X353),'Per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IFERROR(MATCH(Settings!$C$27&amp;"|"&amp;ROWS($X$2:$X354),'Per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IFERROR(MATCH(Settings!$C$27&amp;"|"&amp;ROWS($X$2:$X355),'Per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IFERROR(MATCH(Settings!$C$27&amp;"|"&amp;ROWS($X$2:$X356),'Per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IFERROR(MATCH(Settings!$C$27&amp;"|"&amp;ROWS($X$2:$X357),'Per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IFERROR(MATCH(Settings!$C$27&amp;"|"&amp;ROWS($X$2:$X358),'Per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IFERROR(MATCH(Settings!$C$27&amp;"|"&amp;ROWS($X$2:$X359),'Per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IFERROR(MATCH(Settings!$C$27&amp;"|"&amp;ROWS($X$2:$X360),'Per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IFERROR(MATCH(Settings!$C$27&amp;"|"&amp;ROWS($X$2:$X361),'Per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IFERROR(MATCH(Settings!$C$27&amp;"|"&amp;ROWS($X$2:$X362),'Per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IFERROR(MATCH(Settings!$C$27&amp;"|"&amp;ROWS($X$2:$X363),'Per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IFERROR(MATCH(Settings!$C$27&amp;"|"&amp;ROWS($X$2:$X364),'Per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IFERROR(MATCH(Settings!$C$27&amp;"|"&amp;ROWS($X$2:$X365),'Per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IFERROR(MATCH(Settings!$C$27&amp;"|"&amp;ROWS($X$2:$X366),'Per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IFERROR(MATCH(Settings!$C$27&amp;"|"&amp;ROWS($X$2:$X367),'Per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IFERROR(MATCH(Settings!$C$27&amp;"|"&amp;ROWS($X$2:$X368),'Per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IFERROR(MATCH(Settings!$C$27&amp;"|"&amp;ROWS($X$2:$X369),'Per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IFERROR(MATCH(Settings!$C$27&amp;"|"&amp;ROWS($X$2:$X370),'Per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IFERROR(MATCH(Settings!$C$27&amp;"|"&amp;ROWS($X$2:$X371),'Per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IFERROR(MATCH(Settings!$C$27&amp;"|"&amp;ROWS($X$2:$X372),'Per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IFERROR(MATCH(Settings!$C$27&amp;"|"&amp;ROWS($X$2:$X373),'Per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IFERROR(MATCH(Settings!$C$27&amp;"|"&amp;ROWS($X$2:$X374),'Per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IFERROR(MATCH(Settings!$C$27&amp;"|"&amp;ROWS($X$2:$X375),'Per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IFERROR(MATCH(Settings!$C$27&amp;"|"&amp;ROWS($X$2:$X376),'Per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IFERROR(MATCH(Settings!$C$27&amp;"|"&amp;ROWS($X$2:$X377),'Per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IFERROR(MATCH(Settings!$C$27&amp;"|"&amp;ROWS($X$2:$X378),'Per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IFERROR(MATCH(Settings!$C$27&amp;"|"&amp;ROWS($X$2:$X379),'Per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IFERROR(MATCH(Settings!$C$27&amp;"|"&amp;ROWS($X$2:$X380),'Per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IFERROR(MATCH(Settings!$C$27&amp;"|"&amp;ROWS($X$2:$X381),'Per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IFERROR(MATCH(Settings!$C$27&amp;"|"&amp;ROWS($X$2:$X382),'Per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IFERROR(MATCH(Settings!$C$27&amp;"|"&amp;ROWS($X$2:$X383),'Per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IFERROR(MATCH(Settings!$C$27&amp;"|"&amp;ROWS($X$2:$X384),'Per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IFERROR(MATCH(Settings!$C$27&amp;"|"&amp;ROWS($X$2:$X385),'Per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IFERROR(MATCH(Settings!$C$27&amp;"|"&amp;ROWS($X$2:$X386),'Per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IFERROR(MATCH(Settings!$C$27&amp;"|"&amp;ROWS($X$2:$X387),'Per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IFERROR(MATCH(Settings!$C$27&amp;"|"&amp;ROWS($X$2:$X388),'Per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IFERROR(MATCH(Settings!$C$27&amp;"|"&amp;ROWS($X$2:$X389),'Per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IFERROR(MATCH(Settings!$C$27&amp;"|"&amp;ROWS($X$2:$X390),'Per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IFERROR(MATCH(Settings!$C$27&amp;"|"&amp;ROWS($X$2:$X391),'Per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IFERROR(MATCH(Settings!$C$27&amp;"|"&amp;ROWS($X$2:$X392),'Per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IFERROR(MATCH(Settings!$C$27&amp;"|"&amp;ROWS($X$2:$X393),'Per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IFERROR(MATCH(Settings!$C$27&amp;"|"&amp;ROWS($X$2:$X394),'Per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IFERROR(MATCH(Settings!$C$27&amp;"|"&amp;ROWS($X$2:$X395),'Per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IFERROR(MATCH(Settings!$C$27&amp;"|"&amp;ROWS($X$2:$X396),'Per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IFERROR(MATCH(Settings!$C$27&amp;"|"&amp;ROWS($X$2:$X397),'Per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IFERROR(MATCH(Settings!$C$27&amp;"|"&amp;ROWS($X$2:$X398),'Per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IFERROR(MATCH(Settings!$C$27&amp;"|"&amp;ROWS($X$2:$X399),'Per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IFERROR(MATCH(Settings!$C$27&amp;"|"&amp;ROWS($X$2:$X400),'Per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IFERROR(MATCH(Settings!$C$27&amp;"|"&amp;ROWS($X$2:$X401),'Per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IFERROR(MATCH(Settings!$C$28&amp;"|"&amp;ROWS($X$2:$X2),'Per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IFERROR(MATCH(Settings!$C$28&amp;"|"&amp;ROWS($X$2:$X3),'Per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IFERROR(MATCH(Settings!$C$28&amp;"|"&amp;ROWS($X$2:$X4),'Per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IFERROR(MATCH(Settings!$C$28&amp;"|"&amp;ROWS($X$2:$X5),'Per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IFERROR(MATCH(Settings!$C$28&amp;"|"&amp;ROWS($X$2:$X6),'Per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IFERROR(MATCH(Settings!$C$28&amp;"|"&amp;ROWS($X$2:$X7),'Per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IFERROR(MATCH(Settings!$C$28&amp;"|"&amp;ROWS($X$2:$X8),'Per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IFERROR(MATCH(Settings!$C$28&amp;"|"&amp;ROWS($X$2:$X9),'Per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IFERROR(MATCH(Settings!$C$28&amp;"|"&amp;ROWS($X$2:$X10),'Per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IFERROR(MATCH(Settings!$C$28&amp;"|"&amp;ROWS($X$2:$X11),'Per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IFERROR(MATCH(Settings!$C$28&amp;"|"&amp;ROWS($X$2:$X12),'Per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IFERROR(MATCH(Settings!$C$28&amp;"|"&amp;ROWS($X$2:$X13),'Per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IFERROR(MATCH(Settings!$C$28&amp;"|"&amp;ROWS($X$2:$X14),'Per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IFERROR(MATCH(Settings!$C$28&amp;"|"&amp;ROWS($X$2:$X15),'Per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IFERROR(MATCH(Settings!$C$28&amp;"|"&amp;ROWS($X$2:$X16),'Per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IFERROR(MATCH(Settings!$C$28&amp;"|"&amp;ROWS($X$2:$X17),'Per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IFERROR(MATCH(Settings!$C$28&amp;"|"&amp;ROWS($X$2:$X18),'Per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IFERROR(MATCH(Settings!$C$28&amp;"|"&amp;ROWS($X$2:$X19),'Per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IFERROR(MATCH(Settings!$C$28&amp;"|"&amp;ROWS($X$2:$X20),'Per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IFERROR(MATCH(Settings!$C$28&amp;"|"&amp;ROWS($X$2:$X21),'Per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IFERROR(MATCH(Settings!$C$28&amp;"|"&amp;ROWS($X$2:$X22),'Per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IFERROR(MATCH(Settings!$C$28&amp;"|"&amp;ROWS($X$2:$X23),'Per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IFERROR(MATCH(Settings!$C$28&amp;"|"&amp;ROWS($X$2:$X24),'Per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IFERROR(MATCH(Settings!$C$28&amp;"|"&amp;ROWS($X$2:$X25),'Per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IFERROR(MATCH(Settings!$C$28&amp;"|"&amp;ROWS($X$2:$X26),'Per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IFERROR(MATCH(Settings!$C$28&amp;"|"&amp;ROWS($X$2:$X27),'Per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IFERROR(MATCH(Settings!$C$28&amp;"|"&amp;ROWS($X$2:$X28),'Per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IFERROR(MATCH(Settings!$C$28&amp;"|"&amp;ROWS($X$2:$X29),'Per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IFERROR(MATCH(Settings!$C$28&amp;"|"&amp;ROWS($X$2:$X30),'Per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IFERROR(MATCH(Settings!$C$28&amp;"|"&amp;ROWS($X$2:$X31),'Per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IFERROR(MATCH(Settings!$C$28&amp;"|"&amp;ROWS($X$2:$X32),'Per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IFERROR(MATCH(Settings!$C$28&amp;"|"&amp;ROWS($X$2:$X33),'Per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IFERROR(MATCH(Settings!$C$28&amp;"|"&amp;ROWS($X$2:$X34),'Per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IFERROR(MATCH(Settings!$C$28&amp;"|"&amp;ROWS($X$2:$X35),'Per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IFERROR(MATCH(Settings!$C$28&amp;"|"&amp;ROWS($X$2:$X36),'Per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IFERROR(MATCH(Settings!$C$28&amp;"|"&amp;ROWS($X$2:$X37),'Per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IFERROR(MATCH(Settings!$C$28&amp;"|"&amp;ROWS($X$2:$X38),'Per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IFERROR(MATCH(Settings!$C$28&amp;"|"&amp;ROWS($X$2:$X39),'Per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IFERROR(MATCH(Settings!$C$28&amp;"|"&amp;ROWS($X$2:$X40),'Per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IFERROR(MATCH(Settings!$C$28&amp;"|"&amp;ROWS($X$2:$X41),'Per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IFERROR(MATCH(Settings!$C$28&amp;"|"&amp;ROWS($X$2:$X42),'Per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IFERROR(MATCH(Settings!$C$28&amp;"|"&amp;ROWS($X$2:$X43),'Per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IFERROR(MATCH(Settings!$C$28&amp;"|"&amp;ROWS($X$2:$X44),'Per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IFERROR(MATCH(Settings!$C$28&amp;"|"&amp;ROWS($X$2:$X45),'Per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IFERROR(MATCH(Settings!$C$28&amp;"|"&amp;ROWS($X$2:$X46),'Per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IFERROR(MATCH(Settings!$C$28&amp;"|"&amp;ROWS($X$2:$X47),'Per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IFERROR(MATCH(Settings!$C$28&amp;"|"&amp;ROWS($X$2:$X48),'Per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IFERROR(MATCH(Settings!$C$28&amp;"|"&amp;ROWS($X$2:$X49),'Per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IFERROR(MATCH(Settings!$C$28&amp;"|"&amp;ROWS($X$2:$X50),'Per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IFERROR(MATCH(Settings!$C$28&amp;"|"&amp;ROWS($X$2:$X51),'Per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IFERROR(MATCH(Settings!$C$28&amp;"|"&amp;ROWS($X$2:$X52),'Per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IFERROR(MATCH(Settings!$C$28&amp;"|"&amp;ROWS($X$2:$X53),'Per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IFERROR(MATCH(Settings!$C$28&amp;"|"&amp;ROWS($X$2:$X54),'Per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IFERROR(MATCH(Settings!$C$28&amp;"|"&amp;ROWS($X$2:$X55),'Per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IFERROR(MATCH(Settings!$C$28&amp;"|"&amp;ROWS($X$2:$X56),'Per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IFERROR(MATCH(Settings!$C$28&amp;"|"&amp;ROWS($X$2:$X57),'Per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IFERROR(MATCH(Settings!$C$28&amp;"|"&amp;ROWS($X$2:$X58),'Per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IFERROR(MATCH(Settings!$C$28&amp;"|"&amp;ROWS($X$2:$X59),'Per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IFERROR(MATCH(Settings!$C$28&amp;"|"&amp;ROWS($X$2:$X60),'Per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IFERROR(MATCH(Settings!$C$28&amp;"|"&amp;ROWS($X$2:$X61),'Per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IFERROR(MATCH(Settings!$C$28&amp;"|"&amp;ROWS($X$2:$X62),'Per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IFERROR(MATCH(Settings!$C$28&amp;"|"&amp;ROWS($X$2:$X63),'Per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IFERROR(MATCH(Settings!$C$28&amp;"|"&amp;ROWS($X$2:$X64),'Per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IFERROR(MATCH(Settings!$C$28&amp;"|"&amp;ROWS($X$2:$X65),'Per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IFERROR(MATCH(Settings!$C$28&amp;"|"&amp;ROWS($X$2:$X66),'Per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IFERROR(MATCH(Settings!$C$28&amp;"|"&amp;ROWS($X$2:$X67),'Per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IFERROR(MATCH(Settings!$C$28&amp;"|"&amp;ROWS($X$2:$X68),'Per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IFERROR(MATCH(Settings!$C$28&amp;"|"&amp;ROWS($X$2:$X69),'Per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IFERROR(MATCH(Settings!$C$28&amp;"|"&amp;ROWS($X$2:$X70),'Per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IFERROR(MATCH(Settings!$C$28&amp;"|"&amp;ROWS($X$2:$X71),'Per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IFERROR(MATCH(Settings!$C$28&amp;"|"&amp;ROWS($X$2:$X72),'Per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IFERROR(MATCH(Settings!$C$28&amp;"|"&amp;ROWS($X$2:$X73),'Per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IFERROR(MATCH(Settings!$C$28&amp;"|"&amp;ROWS($X$2:$X74),'Per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IFERROR(MATCH(Settings!$C$28&amp;"|"&amp;ROWS($X$2:$X75),'Per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IFERROR(MATCH(Settings!$C$28&amp;"|"&amp;ROWS($X$2:$X76),'Per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IFERROR(MATCH(Settings!$C$28&amp;"|"&amp;ROWS($X$2:$X77),'Per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IFERROR(MATCH(Settings!$C$28&amp;"|"&amp;ROWS($X$2:$X78),'Per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IFERROR(MATCH(Settings!$C$28&amp;"|"&amp;ROWS($X$2:$X79),'Per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IFERROR(MATCH(Settings!$C$28&amp;"|"&amp;ROWS($X$2:$X80),'Per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IFERROR(MATCH(Settings!$C$28&amp;"|"&amp;ROWS($X$2:$X81),'Per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IFERROR(MATCH(Settings!$C$28&amp;"|"&amp;ROWS($X$2:$X82),'Per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IFERROR(MATCH(Settings!$C$28&amp;"|"&amp;ROWS($X$2:$X83),'Per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IFERROR(MATCH(Settings!$C$28&amp;"|"&amp;ROWS($X$2:$X84),'Per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IFERROR(MATCH(Settings!$C$28&amp;"|"&amp;ROWS($X$2:$X85),'Per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IFERROR(MATCH(Settings!$C$28&amp;"|"&amp;ROWS($X$2:$X86),'Per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IFERROR(MATCH(Settings!$C$28&amp;"|"&amp;ROWS($X$2:$X87),'Per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IFERROR(MATCH(Settings!$C$28&amp;"|"&amp;ROWS($X$2:$X88),'Per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IFERROR(MATCH(Settings!$C$28&amp;"|"&amp;ROWS($X$2:$X89),'Per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IFERROR(MATCH(Settings!$C$28&amp;"|"&amp;ROWS($X$2:$X90),'Per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IFERROR(MATCH(Settings!$C$28&amp;"|"&amp;ROWS($X$2:$X91),'Per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IFERROR(MATCH(Settings!$C$28&amp;"|"&amp;ROWS($X$2:$X92),'Per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IFERROR(MATCH(Settings!$C$28&amp;"|"&amp;ROWS($X$2:$X93),'Per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IFERROR(MATCH(Settings!$C$28&amp;"|"&amp;ROWS($X$2:$X94),'Per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IFERROR(MATCH(Settings!$C$28&amp;"|"&amp;ROWS($X$2:$X95),'Per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IFERROR(MATCH(Settings!$C$28&amp;"|"&amp;ROWS($X$2:$X96),'Per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IFERROR(MATCH(Settings!$C$28&amp;"|"&amp;ROWS($X$2:$X97),'Per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IFERROR(MATCH(Settings!$C$28&amp;"|"&amp;ROWS($X$2:$X98),'Per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IFERROR(MATCH(Settings!$C$28&amp;"|"&amp;ROWS($X$2:$X99),'Per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IFERROR(MATCH(Settings!$C$28&amp;"|"&amp;ROWS($X$2:$X100),'Per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IFERROR(MATCH(Settings!$C$28&amp;"|"&amp;ROWS($X$2:$X101),'Per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IFERROR(MATCH(Settings!$C$28&amp;"|"&amp;ROWS($X$2:$X102),'Per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IFERROR(MATCH(Settings!$C$28&amp;"|"&amp;ROWS($X$2:$X103),'Per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IFERROR(MATCH(Settings!$C$28&amp;"|"&amp;ROWS($X$2:$X104),'Per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IFERROR(MATCH(Settings!$C$28&amp;"|"&amp;ROWS($X$2:$X105),'Per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IFERROR(MATCH(Settings!$C$28&amp;"|"&amp;ROWS($X$2:$X106),'Per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IFERROR(MATCH(Settings!$C$28&amp;"|"&amp;ROWS($X$2:$X107),'Per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IFERROR(MATCH(Settings!$C$28&amp;"|"&amp;ROWS($X$2:$X108),'Per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IFERROR(MATCH(Settings!$C$28&amp;"|"&amp;ROWS($X$2:$X109),'Per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IFERROR(MATCH(Settings!$C$28&amp;"|"&amp;ROWS($X$2:$X110),'Per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IFERROR(MATCH(Settings!$C$28&amp;"|"&amp;ROWS($X$2:$X111),'Per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IFERROR(MATCH(Settings!$C$28&amp;"|"&amp;ROWS($X$2:$X112),'Per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IFERROR(MATCH(Settings!$C$28&amp;"|"&amp;ROWS($X$2:$X113),'Per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IFERROR(MATCH(Settings!$C$28&amp;"|"&amp;ROWS($X$2:$X114),'Per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IFERROR(MATCH(Settings!$C$28&amp;"|"&amp;ROWS($X$2:$X115),'Per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IFERROR(MATCH(Settings!$C$28&amp;"|"&amp;ROWS($X$2:$X116),'Per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IFERROR(MATCH(Settings!$C$28&amp;"|"&amp;ROWS($X$2:$X117),'Per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IFERROR(MATCH(Settings!$C$28&amp;"|"&amp;ROWS($X$2:$X118),'Per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IFERROR(MATCH(Settings!$C$28&amp;"|"&amp;ROWS($X$2:$X119),'Per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IFERROR(MATCH(Settings!$C$28&amp;"|"&amp;ROWS($X$2:$X120),'Per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IFERROR(MATCH(Settings!$C$28&amp;"|"&amp;ROWS($X$2:$X121),'Per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IFERROR(MATCH(Settings!$C$28&amp;"|"&amp;ROWS($X$2:$X122),'Per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IFERROR(MATCH(Settings!$C$28&amp;"|"&amp;ROWS($X$2:$X123),'Per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IFERROR(MATCH(Settings!$C$28&amp;"|"&amp;ROWS($X$2:$X124),'Per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IFERROR(MATCH(Settings!$C$28&amp;"|"&amp;ROWS($X$2:$X125),'Per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IFERROR(MATCH(Settings!$C$28&amp;"|"&amp;ROWS($X$2:$X126),'Per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IFERROR(MATCH(Settings!$C$28&amp;"|"&amp;ROWS($X$2:$X127),'Per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IFERROR(MATCH(Settings!$C$28&amp;"|"&amp;ROWS($X$2:$X128),'Per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IFERROR(MATCH(Settings!$C$28&amp;"|"&amp;ROWS($X$2:$X129),'Per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IFERROR(MATCH(Settings!$C$28&amp;"|"&amp;ROWS($X$2:$X130),'Per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IFERROR(MATCH(Settings!$C$28&amp;"|"&amp;ROWS($X$2:$X131),'Per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IFERROR(MATCH(Settings!$C$28&amp;"|"&amp;ROWS($X$2:$X132),'Per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IFERROR(MATCH(Settings!$C$28&amp;"|"&amp;ROWS($X$2:$X133),'Per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IFERROR(MATCH(Settings!$C$28&amp;"|"&amp;ROWS($X$2:$X134),'Per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IFERROR(MATCH(Settings!$C$28&amp;"|"&amp;ROWS($X$2:$X135),'Per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IFERROR(MATCH(Settings!$C$28&amp;"|"&amp;ROWS($X$2:$X136),'Per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IFERROR(MATCH(Settings!$C$28&amp;"|"&amp;ROWS($X$2:$X137),'Per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IFERROR(MATCH(Settings!$C$28&amp;"|"&amp;ROWS($X$2:$X138),'Per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IFERROR(MATCH(Settings!$C$28&amp;"|"&amp;ROWS($X$2:$X139),'Per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IFERROR(MATCH(Settings!$C$28&amp;"|"&amp;ROWS($X$2:$X140),'Per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IFERROR(MATCH(Settings!$C$28&amp;"|"&amp;ROWS($X$2:$X141),'Per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IFERROR(MATCH(Settings!$C$28&amp;"|"&amp;ROWS($X$2:$X142),'Per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IFERROR(MATCH(Settings!$C$28&amp;"|"&amp;ROWS($X$2:$X143),'Per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IFERROR(MATCH(Settings!$C$28&amp;"|"&amp;ROWS($X$2:$X144),'Per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IFERROR(MATCH(Settings!$C$28&amp;"|"&amp;ROWS($X$2:$X145),'Per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IFERROR(MATCH(Settings!$C$28&amp;"|"&amp;ROWS($X$2:$X146),'Per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IFERROR(MATCH(Settings!$C$28&amp;"|"&amp;ROWS($X$2:$X147),'Per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IFERROR(MATCH(Settings!$C$28&amp;"|"&amp;ROWS($X$2:$X148),'Per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IFERROR(MATCH(Settings!$C$28&amp;"|"&amp;ROWS($X$2:$X149),'Per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IFERROR(MATCH(Settings!$C$28&amp;"|"&amp;ROWS($X$2:$X150),'Per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IFERROR(MATCH(Settings!$C$28&amp;"|"&amp;ROWS($X$2:$X151),'Per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IFERROR(MATCH(Settings!$C$28&amp;"|"&amp;ROWS($X$2:$X152),'Per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IFERROR(MATCH(Settings!$C$28&amp;"|"&amp;ROWS($X$2:$X153),'Per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IFERROR(MATCH(Settings!$C$28&amp;"|"&amp;ROWS($X$2:$X154),'Per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IFERROR(MATCH(Settings!$C$28&amp;"|"&amp;ROWS($X$2:$X155),'Per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IFERROR(MATCH(Settings!$C$28&amp;"|"&amp;ROWS($X$2:$X156),'Per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IFERROR(MATCH(Settings!$C$28&amp;"|"&amp;ROWS($X$2:$X157),'Per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IFERROR(MATCH(Settings!$C$28&amp;"|"&amp;ROWS($X$2:$X158),'Per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IFERROR(MATCH(Settings!$C$28&amp;"|"&amp;ROWS($X$2:$X159),'Per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IFERROR(MATCH(Settings!$C$28&amp;"|"&amp;ROWS($X$2:$X160),'Per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IFERROR(MATCH(Settings!$C$28&amp;"|"&amp;ROWS($X$2:$X161),'Per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IFERROR(MATCH(Settings!$C$28&amp;"|"&amp;ROWS($X$2:$X162),'Per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IFERROR(MATCH(Settings!$C$28&amp;"|"&amp;ROWS($X$2:$X163),'Per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IFERROR(MATCH(Settings!$C$28&amp;"|"&amp;ROWS($X$2:$X164),'Per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IFERROR(MATCH(Settings!$C$28&amp;"|"&amp;ROWS($X$2:$X165),'Per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IFERROR(MATCH(Settings!$C$28&amp;"|"&amp;ROWS($X$2:$X166),'Per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IFERROR(MATCH(Settings!$C$28&amp;"|"&amp;ROWS($X$2:$X167),'Per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IFERROR(MATCH(Settings!$C$28&amp;"|"&amp;ROWS($X$2:$X168),'Per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IFERROR(MATCH(Settings!$C$28&amp;"|"&amp;ROWS($X$2:$X169),'Per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IFERROR(MATCH(Settings!$C$28&amp;"|"&amp;ROWS($X$2:$X170),'Per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IFERROR(MATCH(Settings!$C$28&amp;"|"&amp;ROWS($X$2:$X171),'Per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IFERROR(MATCH(Settings!$C$28&amp;"|"&amp;ROWS($X$2:$X172),'Per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IFERROR(MATCH(Settings!$C$28&amp;"|"&amp;ROWS($X$2:$X173),'Per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IFERROR(MATCH(Settings!$C$28&amp;"|"&amp;ROWS($X$2:$X174),'Per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IFERROR(MATCH(Settings!$C$28&amp;"|"&amp;ROWS($X$2:$X175),'Per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IFERROR(MATCH(Settings!$C$28&amp;"|"&amp;ROWS($X$2:$X176),'Per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IFERROR(MATCH(Settings!$C$28&amp;"|"&amp;ROWS($X$2:$X177),'Per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IFERROR(MATCH(Settings!$C$28&amp;"|"&amp;ROWS($X$2:$X178),'Per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IFERROR(MATCH(Settings!$C$28&amp;"|"&amp;ROWS($X$2:$X179),'Per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IFERROR(MATCH(Settings!$C$28&amp;"|"&amp;ROWS($X$2:$X180),'Per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IFERROR(MATCH(Settings!$C$28&amp;"|"&amp;ROWS($X$2:$X181),'Per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IFERROR(MATCH(Settings!$C$28&amp;"|"&amp;ROWS($X$2:$X182),'Per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IFERROR(MATCH(Settings!$C$28&amp;"|"&amp;ROWS($X$2:$X183),'Per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IFERROR(MATCH(Settings!$C$28&amp;"|"&amp;ROWS($X$2:$X184),'Per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IFERROR(MATCH(Settings!$C$28&amp;"|"&amp;ROWS($X$2:$X185),'Per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IFERROR(MATCH(Settings!$C$28&amp;"|"&amp;ROWS($X$2:$X186),'Per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IFERROR(MATCH(Settings!$C$28&amp;"|"&amp;ROWS($X$2:$X187),'Per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IFERROR(MATCH(Settings!$C$28&amp;"|"&amp;ROWS($X$2:$X188),'Per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IFERROR(MATCH(Settings!$C$28&amp;"|"&amp;ROWS($X$2:$X189),'Per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IFERROR(MATCH(Settings!$C$28&amp;"|"&amp;ROWS($X$2:$X190),'Per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IFERROR(MATCH(Settings!$C$28&amp;"|"&amp;ROWS($X$2:$X191),'Per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IFERROR(MATCH(Settings!$C$28&amp;"|"&amp;ROWS($X$2:$X192),'Per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IFERROR(MATCH(Settings!$C$28&amp;"|"&amp;ROWS($X$2:$X193),'Per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IFERROR(MATCH(Settings!$C$28&amp;"|"&amp;ROWS($X$2:$X194),'Per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IFERROR(MATCH(Settings!$C$28&amp;"|"&amp;ROWS($X$2:$X195),'Per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IFERROR(MATCH(Settings!$C$28&amp;"|"&amp;ROWS($X$2:$X196),'Per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IFERROR(MATCH(Settings!$C$28&amp;"|"&amp;ROWS($X$2:$X197),'Per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IFERROR(MATCH(Settings!$C$28&amp;"|"&amp;ROWS($X$2:$X198),'Per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IFERROR(MATCH(Settings!$C$28&amp;"|"&amp;ROWS($X$2:$X199),'Per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IFERROR(MATCH(Settings!$C$28&amp;"|"&amp;ROWS($X$2:$X200),'Per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IFERROR(MATCH(Settings!$C$28&amp;"|"&amp;ROWS($X$2:$X201),'Per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IFERROR(MATCH(Settings!$C$28&amp;"|"&amp;ROWS($X$2:$X202),'Per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IFERROR(MATCH(Settings!$C$28&amp;"|"&amp;ROWS($X$2:$X203),'Per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IFERROR(MATCH(Settings!$C$28&amp;"|"&amp;ROWS($X$2:$X204),'Per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IFERROR(MATCH(Settings!$C$28&amp;"|"&amp;ROWS($X$2:$X205),'Per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IFERROR(MATCH(Settings!$C$28&amp;"|"&amp;ROWS($X$2:$X206),'Per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IFERROR(MATCH(Settings!$C$28&amp;"|"&amp;ROWS($X$2:$X207),'Per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IFERROR(MATCH(Settings!$C$28&amp;"|"&amp;ROWS($X$2:$X208),'Per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IFERROR(MATCH(Settings!$C$28&amp;"|"&amp;ROWS($X$2:$X209),'Per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IFERROR(MATCH(Settings!$C$28&amp;"|"&amp;ROWS($X$2:$X210),'Per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IFERROR(MATCH(Settings!$C$28&amp;"|"&amp;ROWS($X$2:$X211),'Per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IFERROR(MATCH(Settings!$C$28&amp;"|"&amp;ROWS($X$2:$X212),'Per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IFERROR(MATCH(Settings!$C$28&amp;"|"&amp;ROWS($X$2:$X213),'Per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IFERROR(MATCH(Settings!$C$28&amp;"|"&amp;ROWS($X$2:$X214),'Per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IFERROR(MATCH(Settings!$C$28&amp;"|"&amp;ROWS($X$2:$X215),'Per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IFERROR(MATCH(Settings!$C$28&amp;"|"&amp;ROWS($X$2:$X216),'Per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IFERROR(MATCH(Settings!$C$28&amp;"|"&amp;ROWS($X$2:$X217),'Per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IFERROR(MATCH(Settings!$C$28&amp;"|"&amp;ROWS($X$2:$X218),'Per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IFERROR(MATCH(Settings!$C$28&amp;"|"&amp;ROWS($X$2:$X219),'Per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IFERROR(MATCH(Settings!$C$28&amp;"|"&amp;ROWS($X$2:$X220),'Per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IFERROR(MATCH(Settings!$C$28&amp;"|"&amp;ROWS($X$2:$X221),'Per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IFERROR(MATCH(Settings!$C$28&amp;"|"&amp;ROWS($X$2:$X222),'Per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IFERROR(MATCH(Settings!$C$28&amp;"|"&amp;ROWS($X$2:$X223),'Per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IFERROR(MATCH(Settings!$C$28&amp;"|"&amp;ROWS($X$2:$X224),'Per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IFERROR(MATCH(Settings!$C$28&amp;"|"&amp;ROWS($X$2:$X225),'Per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IFERROR(MATCH(Settings!$C$28&amp;"|"&amp;ROWS($X$2:$X226),'Per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IFERROR(MATCH(Settings!$C$28&amp;"|"&amp;ROWS($X$2:$X227),'Per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IFERROR(MATCH(Settings!$C$28&amp;"|"&amp;ROWS($X$2:$X228),'Per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IFERROR(MATCH(Settings!$C$28&amp;"|"&amp;ROWS($X$2:$X229),'Per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IFERROR(MATCH(Settings!$C$28&amp;"|"&amp;ROWS($X$2:$X230),'Per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IFERROR(MATCH(Settings!$C$28&amp;"|"&amp;ROWS($X$2:$X231),'Per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IFERROR(MATCH(Settings!$C$28&amp;"|"&amp;ROWS($X$2:$X232),'Per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IFERROR(MATCH(Settings!$C$28&amp;"|"&amp;ROWS($X$2:$X233),'Per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IFERROR(MATCH(Settings!$C$28&amp;"|"&amp;ROWS($X$2:$X234),'Per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IFERROR(MATCH(Settings!$C$28&amp;"|"&amp;ROWS($X$2:$X235),'Per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IFERROR(MATCH(Settings!$C$28&amp;"|"&amp;ROWS($X$2:$X236),'Per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IFERROR(MATCH(Settings!$C$28&amp;"|"&amp;ROWS($X$2:$X237),'Per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IFERROR(MATCH(Settings!$C$28&amp;"|"&amp;ROWS($X$2:$X238),'Per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IFERROR(MATCH(Settings!$C$28&amp;"|"&amp;ROWS($X$2:$X239),'Per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IFERROR(MATCH(Settings!$C$28&amp;"|"&amp;ROWS($X$2:$X240),'Per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IFERROR(MATCH(Settings!$C$28&amp;"|"&amp;ROWS($X$2:$X241),'Per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IFERROR(MATCH(Settings!$C$28&amp;"|"&amp;ROWS($X$2:$X242),'Per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IFERROR(MATCH(Settings!$C$28&amp;"|"&amp;ROWS($X$2:$X243),'Per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IFERROR(MATCH(Settings!$C$28&amp;"|"&amp;ROWS($X$2:$X244),'Per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IFERROR(MATCH(Settings!$C$28&amp;"|"&amp;ROWS($X$2:$X245),'Per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IFERROR(MATCH(Settings!$C$28&amp;"|"&amp;ROWS($X$2:$X246),'Per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IFERROR(MATCH(Settings!$C$28&amp;"|"&amp;ROWS($X$2:$X247),'Per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IFERROR(MATCH(Settings!$C$28&amp;"|"&amp;ROWS($X$2:$X248),'Per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IFERROR(MATCH(Settings!$C$28&amp;"|"&amp;ROWS($X$2:$X249),'Per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IFERROR(MATCH(Settings!$C$28&amp;"|"&amp;ROWS($X$2:$X250),'Per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IFERROR(MATCH(Settings!$C$28&amp;"|"&amp;ROWS($X$2:$X251),'Per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IFERROR(MATCH(Settings!$C$28&amp;"|"&amp;ROWS($X$2:$X252),'Per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IFERROR(MATCH(Settings!$C$28&amp;"|"&amp;ROWS($X$2:$X253),'Per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IFERROR(MATCH(Settings!$C$28&amp;"|"&amp;ROWS($X$2:$X254),'Per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IFERROR(MATCH(Settings!$C$28&amp;"|"&amp;ROWS($X$2:$X255),'Per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IFERROR(MATCH(Settings!$C$28&amp;"|"&amp;ROWS($X$2:$X256),'Per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IFERROR(MATCH(Settings!$C$28&amp;"|"&amp;ROWS($X$2:$X257),'Per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IFERROR(MATCH(Settings!$C$28&amp;"|"&amp;ROWS($X$2:$X258),'Per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IFERROR(MATCH(Settings!$C$28&amp;"|"&amp;ROWS($X$2:$X259),'Per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IFERROR(MATCH(Settings!$C$28&amp;"|"&amp;ROWS($X$2:$X260),'Per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IFERROR(MATCH(Settings!$C$28&amp;"|"&amp;ROWS($X$2:$X261),'Per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IFERROR(MATCH(Settings!$C$28&amp;"|"&amp;ROWS($X$2:$X262),'Per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IFERROR(MATCH(Settings!$C$28&amp;"|"&amp;ROWS($X$2:$X263),'Per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IFERROR(MATCH(Settings!$C$28&amp;"|"&amp;ROWS($X$2:$X264),'Per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IFERROR(MATCH(Settings!$C$28&amp;"|"&amp;ROWS($X$2:$X265),'Per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IFERROR(MATCH(Settings!$C$28&amp;"|"&amp;ROWS($X$2:$X266),'Per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IFERROR(MATCH(Settings!$C$28&amp;"|"&amp;ROWS($X$2:$X267),'Per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IFERROR(MATCH(Settings!$C$28&amp;"|"&amp;ROWS($X$2:$X268),'Per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IFERROR(MATCH(Settings!$C$28&amp;"|"&amp;ROWS($X$2:$X269),'Per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IFERROR(MATCH(Settings!$C$28&amp;"|"&amp;ROWS($X$2:$X270),'Per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IFERROR(MATCH(Settings!$C$28&amp;"|"&amp;ROWS($X$2:$X271),'Per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IFERROR(MATCH(Settings!$C$28&amp;"|"&amp;ROWS($X$2:$X272),'Per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IFERROR(MATCH(Settings!$C$28&amp;"|"&amp;ROWS($X$2:$X273),'Per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IFERROR(MATCH(Settings!$C$28&amp;"|"&amp;ROWS($X$2:$X274),'Per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IFERROR(MATCH(Settings!$C$28&amp;"|"&amp;ROWS($X$2:$X275),'Per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IFERROR(MATCH(Settings!$C$28&amp;"|"&amp;ROWS($X$2:$X276),'Per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IFERROR(MATCH(Settings!$C$28&amp;"|"&amp;ROWS($X$2:$X277),'Per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IFERROR(MATCH(Settings!$C$28&amp;"|"&amp;ROWS($X$2:$X278),'Per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IFERROR(MATCH(Settings!$C$28&amp;"|"&amp;ROWS($X$2:$X279),'Per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IFERROR(MATCH(Settings!$C$28&amp;"|"&amp;ROWS($X$2:$X280),'Per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IFERROR(MATCH(Settings!$C$28&amp;"|"&amp;ROWS($X$2:$X281),'Per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IFERROR(MATCH(Settings!$C$28&amp;"|"&amp;ROWS($X$2:$X282),'Per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IFERROR(MATCH(Settings!$C$28&amp;"|"&amp;ROWS($X$2:$X283),'Per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IFERROR(MATCH(Settings!$C$28&amp;"|"&amp;ROWS($X$2:$X284),'Per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IFERROR(MATCH(Settings!$C$28&amp;"|"&amp;ROWS($X$2:$X285),'Per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IFERROR(MATCH(Settings!$C$28&amp;"|"&amp;ROWS($X$2:$X286),'Per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IFERROR(MATCH(Settings!$C$28&amp;"|"&amp;ROWS($X$2:$X287),'Per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IFERROR(MATCH(Settings!$C$28&amp;"|"&amp;ROWS($X$2:$X288),'Per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IFERROR(MATCH(Settings!$C$28&amp;"|"&amp;ROWS($X$2:$X289),'Per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IFERROR(MATCH(Settings!$C$28&amp;"|"&amp;ROWS($X$2:$X290),'Per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IFERROR(MATCH(Settings!$C$28&amp;"|"&amp;ROWS($X$2:$X291),'Per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IFERROR(MATCH(Settings!$C$28&amp;"|"&amp;ROWS($X$2:$X292),'Per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IFERROR(MATCH(Settings!$C$28&amp;"|"&amp;ROWS($X$2:$X293),'Per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IFERROR(MATCH(Settings!$C$28&amp;"|"&amp;ROWS($X$2:$X294),'Per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IFERROR(MATCH(Settings!$C$28&amp;"|"&amp;ROWS($X$2:$X295),'Per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IFERROR(MATCH(Settings!$C$28&amp;"|"&amp;ROWS($X$2:$X296),'Per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IFERROR(MATCH(Settings!$C$28&amp;"|"&amp;ROWS($X$2:$X297),'Per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IFERROR(MATCH(Settings!$C$28&amp;"|"&amp;ROWS($X$2:$X298),'Per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IFERROR(MATCH(Settings!$C$28&amp;"|"&amp;ROWS($X$2:$X299),'Per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IFERROR(MATCH(Settings!$C$28&amp;"|"&amp;ROWS($X$2:$X300),'Per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IFERROR(MATCH(Settings!$C$28&amp;"|"&amp;ROWS($X$2:$X301),'Per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IFERROR(MATCH(Settings!$C$28&amp;"|"&amp;ROWS($X$2:$X302),'Per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IFERROR(MATCH(Settings!$C$28&amp;"|"&amp;ROWS($X$2:$X303),'Per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IFERROR(MATCH(Settings!$C$28&amp;"|"&amp;ROWS($X$2:$X304),'Per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IFERROR(MATCH(Settings!$C$28&amp;"|"&amp;ROWS($X$2:$X305),'Per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IFERROR(MATCH(Settings!$C$28&amp;"|"&amp;ROWS($X$2:$X306),'Per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IFERROR(MATCH(Settings!$C$28&amp;"|"&amp;ROWS($X$2:$X307),'Per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IFERROR(MATCH(Settings!$C$28&amp;"|"&amp;ROWS($X$2:$X308),'Per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IFERROR(MATCH(Settings!$C$28&amp;"|"&amp;ROWS($X$2:$X309),'Per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IFERROR(MATCH(Settings!$C$28&amp;"|"&amp;ROWS($X$2:$X310),'Per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IFERROR(MATCH(Settings!$C$28&amp;"|"&amp;ROWS($X$2:$X311),'Per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IFERROR(MATCH(Settings!$C$28&amp;"|"&amp;ROWS($X$2:$X312),'Per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IFERROR(MATCH(Settings!$C$28&amp;"|"&amp;ROWS($X$2:$X313),'Per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IFERROR(MATCH(Settings!$C$28&amp;"|"&amp;ROWS($X$2:$X314),'Per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IFERROR(MATCH(Settings!$C$28&amp;"|"&amp;ROWS($X$2:$X315),'Per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IFERROR(MATCH(Settings!$C$28&amp;"|"&amp;ROWS($X$2:$X316),'Per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IFERROR(MATCH(Settings!$C$28&amp;"|"&amp;ROWS($X$2:$X317),'Per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IFERROR(MATCH(Settings!$C$28&amp;"|"&amp;ROWS($X$2:$X318),'Per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IFERROR(MATCH(Settings!$C$28&amp;"|"&amp;ROWS($X$2:$X319),'Per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IFERROR(MATCH(Settings!$C$28&amp;"|"&amp;ROWS($X$2:$X320),'Per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IFERROR(MATCH(Settings!$C$28&amp;"|"&amp;ROWS($X$2:$X321),'Per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IFERROR(MATCH(Settings!$C$28&amp;"|"&amp;ROWS($X$2:$X322),'Per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IFERROR(MATCH(Settings!$C$28&amp;"|"&amp;ROWS($X$2:$X323),'Per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IFERROR(MATCH(Settings!$C$28&amp;"|"&amp;ROWS($X$2:$X324),'Per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IFERROR(MATCH(Settings!$C$28&amp;"|"&amp;ROWS($X$2:$X325),'Per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IFERROR(MATCH(Settings!$C$28&amp;"|"&amp;ROWS($X$2:$X326),'Per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IFERROR(MATCH(Settings!$C$28&amp;"|"&amp;ROWS($X$2:$X327),'Per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IFERROR(MATCH(Settings!$C$28&amp;"|"&amp;ROWS($X$2:$X328),'Per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IFERROR(MATCH(Settings!$C$28&amp;"|"&amp;ROWS($X$2:$X329),'Per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IFERROR(MATCH(Settings!$C$28&amp;"|"&amp;ROWS($X$2:$X330),'Per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IFERROR(MATCH(Settings!$C$28&amp;"|"&amp;ROWS($X$2:$X331),'Per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IFERROR(MATCH(Settings!$C$28&amp;"|"&amp;ROWS($X$2:$X332),'Per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IFERROR(MATCH(Settings!$C$28&amp;"|"&amp;ROWS($X$2:$X333),'Per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IFERROR(MATCH(Settings!$C$28&amp;"|"&amp;ROWS($X$2:$X334),'Per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IFERROR(MATCH(Settings!$C$28&amp;"|"&amp;ROWS($X$2:$X335),'Per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IFERROR(MATCH(Settings!$C$28&amp;"|"&amp;ROWS($X$2:$X336),'Per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IFERROR(MATCH(Settings!$C$28&amp;"|"&amp;ROWS($X$2:$X337),'Per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IFERROR(MATCH(Settings!$C$28&amp;"|"&amp;ROWS($X$2:$X338),'Per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IFERROR(MATCH(Settings!$C$28&amp;"|"&amp;ROWS($X$2:$X339),'Per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IFERROR(MATCH(Settings!$C$28&amp;"|"&amp;ROWS($X$2:$X340),'Per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IFERROR(MATCH(Settings!$C$28&amp;"|"&amp;ROWS($X$2:$X341),'Per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IFERROR(MATCH(Settings!$C$28&amp;"|"&amp;ROWS($X$2:$X342),'Per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IFERROR(MATCH(Settings!$C$28&amp;"|"&amp;ROWS($X$2:$X343),'Per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IFERROR(MATCH(Settings!$C$28&amp;"|"&amp;ROWS($X$2:$X344),'Per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IFERROR(MATCH(Settings!$C$28&amp;"|"&amp;ROWS($X$2:$X345),'Per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IFERROR(MATCH(Settings!$C$28&amp;"|"&amp;ROWS($X$2:$X346),'Per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IFERROR(MATCH(Settings!$C$28&amp;"|"&amp;ROWS($X$2:$X347),'Per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IFERROR(MATCH(Settings!$C$28&amp;"|"&amp;ROWS($X$2:$X348),'Per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IFERROR(MATCH(Settings!$C$28&amp;"|"&amp;ROWS($X$2:$X349),'Per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IFERROR(MATCH(Settings!$C$28&amp;"|"&amp;ROWS($X$2:$X350),'Per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IFERROR(MATCH(Settings!$C$28&amp;"|"&amp;ROWS($X$2:$X351),'Per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IFERROR(MATCH(Settings!$C$28&amp;"|"&amp;ROWS($X$2:$X352),'Per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IFERROR(MATCH(Settings!$C$28&amp;"|"&amp;ROWS($X$2:$X353),'Per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IFERROR(MATCH(Settings!$C$28&amp;"|"&amp;ROWS($X$2:$X354),'Per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IFERROR(MATCH(Settings!$C$28&amp;"|"&amp;ROWS($X$2:$X355),'Per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IFERROR(MATCH(Settings!$C$28&amp;"|"&amp;ROWS($X$2:$X356),'Per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IFERROR(MATCH(Settings!$C$28&amp;"|"&amp;ROWS($X$2:$X357),'Per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IFERROR(MATCH(Settings!$C$28&amp;"|"&amp;ROWS($X$2:$X358),'Per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IFERROR(MATCH(Settings!$C$28&amp;"|"&amp;ROWS($X$2:$X359),'Per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IFERROR(MATCH(Settings!$C$28&amp;"|"&amp;ROWS($X$2:$X360),'Per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IFERROR(MATCH(Settings!$C$28&amp;"|"&amp;ROWS($X$2:$X361),'Per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IFERROR(MATCH(Settings!$C$28&amp;"|"&amp;ROWS($X$2:$X362),'Per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IFERROR(MATCH(Settings!$C$28&amp;"|"&amp;ROWS($X$2:$X363),'Per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IFERROR(MATCH(Settings!$C$28&amp;"|"&amp;ROWS($X$2:$X364),'Per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IFERROR(MATCH(Settings!$C$28&amp;"|"&amp;ROWS($X$2:$X365),'Per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IFERROR(MATCH(Settings!$C$28&amp;"|"&amp;ROWS($X$2:$X366),'Per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IFERROR(MATCH(Settings!$C$28&amp;"|"&amp;ROWS($X$2:$X367),'Per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IFERROR(MATCH(Settings!$C$28&amp;"|"&amp;ROWS($X$2:$X368),'Per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IFERROR(MATCH(Settings!$C$28&amp;"|"&amp;ROWS($X$2:$X369),'Per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IFERROR(MATCH(Settings!$C$28&amp;"|"&amp;ROWS($X$2:$X370),'Per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IFERROR(MATCH(Settings!$C$28&amp;"|"&amp;ROWS($X$2:$X371),'Per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IFERROR(MATCH(Settings!$C$28&amp;"|"&amp;ROWS($X$2:$X372),'Per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IFERROR(MATCH(Settings!$C$28&amp;"|"&amp;ROWS($X$2:$X373),'Per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IFERROR(MATCH(Settings!$C$28&amp;"|"&amp;ROWS($X$2:$X374),'Per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IFERROR(MATCH(Settings!$C$28&amp;"|"&amp;ROWS($X$2:$X375),'Per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IFERROR(MATCH(Settings!$C$28&amp;"|"&amp;ROWS($X$2:$X376),'Per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IFERROR(MATCH(Settings!$C$28&amp;"|"&amp;ROWS($X$2:$X377),'Per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IFERROR(MATCH(Settings!$C$28&amp;"|"&amp;ROWS($X$2:$X378),'Per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IFERROR(MATCH(Settings!$C$28&amp;"|"&amp;ROWS($X$2:$X379),'Per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IFERROR(MATCH(Settings!$C$28&amp;"|"&amp;ROWS($X$2:$X380),'Per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IFERROR(MATCH(Settings!$C$28&amp;"|"&amp;ROWS($X$2:$X381),'Per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IFERROR(MATCH(Settings!$C$28&amp;"|"&amp;ROWS($X$2:$X382),'Per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IFERROR(MATCH(Settings!$C$28&amp;"|"&amp;ROWS($X$2:$X383),'Per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IFERROR(MATCH(Settings!$C$28&amp;"|"&amp;ROWS($X$2:$X384),'Per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IFERROR(MATCH(Settings!$C$28&amp;"|"&amp;ROWS($X$2:$X385),'Per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IFERROR(MATCH(Settings!$C$28&amp;"|"&amp;ROWS($X$2:$X386),'Per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IFERROR(MATCH(Settings!$C$28&amp;"|"&amp;ROWS($X$2:$X387),'Per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IFERROR(MATCH(Settings!$C$28&amp;"|"&amp;ROWS($X$2:$X388),'Per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IFERROR(MATCH(Settings!$C$28&amp;"|"&amp;ROWS($X$2:$X389),'Per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IFERROR(MATCH(Settings!$C$28&amp;"|"&amp;ROWS($X$2:$X390),'Per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IFERROR(MATCH(Settings!$C$28&amp;"|"&amp;ROWS($X$2:$X391),'Per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IFERROR(MATCH(Settings!$C$28&amp;"|"&amp;ROWS($X$2:$X392),'Per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IFERROR(MATCH(Settings!$C$28&amp;"|"&amp;ROWS($X$2:$X393),'Per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IFERROR(MATCH(Settings!$C$28&amp;"|"&amp;ROWS($X$2:$X394),'Per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IFERROR(MATCH(Settings!$C$28&amp;"|"&amp;ROWS($X$2:$X395),'Per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IFERROR(MATCH(Settings!$C$28&amp;"|"&amp;ROWS($X$2:$X396),'Per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IFERROR(MATCH(Settings!$C$28&amp;"|"&amp;ROWS($X$2:$X397),'Per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IFERROR(MATCH(Settings!$C$28&amp;"|"&amp;ROWS($X$2:$X398),'Per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IFERROR(MATCH(Settings!$C$28&amp;"|"&amp;ROWS($X$2:$X399),'Per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IFERROR(MATCH(Settings!$C$28&amp;"|"&amp;ROWS($X$2:$X400),'Per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IFERROR(MATCH(Settings!$C$28&amp;"|"&amp;ROWS($X$2:$X401),'Per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IFERROR(MATCH(Settings!$C$29&amp;"|"&amp;ROWS($X$2:$X2),'Per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IFERROR(MATCH(Settings!$C$29&amp;"|"&amp;ROWS($X$2:$X3),'Per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IFERROR(MATCH(Settings!$C$29&amp;"|"&amp;ROWS($X$2:$X4),'Per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IFERROR(MATCH(Settings!$C$29&amp;"|"&amp;ROWS($X$2:$X5),'Per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IFERROR(MATCH(Settings!$C$29&amp;"|"&amp;ROWS($X$2:$X6),'Per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IFERROR(MATCH(Settings!$C$29&amp;"|"&amp;ROWS($X$2:$X7),'Per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IFERROR(MATCH(Settings!$C$29&amp;"|"&amp;ROWS($X$2:$X8),'Per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IFERROR(MATCH(Settings!$C$29&amp;"|"&amp;ROWS($X$2:$X9),'Per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IFERROR(MATCH(Settings!$C$29&amp;"|"&amp;ROWS($X$2:$X10),'Per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IFERROR(MATCH(Settings!$C$29&amp;"|"&amp;ROWS($X$2:$X11),'Per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IFERROR(MATCH(Settings!$C$29&amp;"|"&amp;ROWS($X$2:$X12),'Per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IFERROR(MATCH(Settings!$C$29&amp;"|"&amp;ROWS($X$2:$X13),'Per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IFERROR(MATCH(Settings!$C$29&amp;"|"&amp;ROWS($X$2:$X14),'Per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IFERROR(MATCH(Settings!$C$29&amp;"|"&amp;ROWS($X$2:$X15),'Per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IFERROR(MATCH(Settings!$C$29&amp;"|"&amp;ROWS($X$2:$X16),'Per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IFERROR(MATCH(Settings!$C$29&amp;"|"&amp;ROWS($X$2:$X17),'Per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IFERROR(MATCH(Settings!$C$29&amp;"|"&amp;ROWS($X$2:$X18),'Per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IFERROR(MATCH(Settings!$C$29&amp;"|"&amp;ROWS($X$2:$X19),'Per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IFERROR(MATCH(Settings!$C$29&amp;"|"&amp;ROWS($X$2:$X20),'Per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IFERROR(MATCH(Settings!$C$29&amp;"|"&amp;ROWS($X$2:$X21),'Per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IFERROR(MATCH(Settings!$C$29&amp;"|"&amp;ROWS($X$2:$X22),'Per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IFERROR(MATCH(Settings!$C$29&amp;"|"&amp;ROWS($X$2:$X23),'Per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IFERROR(MATCH(Settings!$C$29&amp;"|"&amp;ROWS($X$2:$X24),'Per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IFERROR(MATCH(Settings!$C$29&amp;"|"&amp;ROWS($X$2:$X25),'Per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IFERROR(MATCH(Settings!$C$29&amp;"|"&amp;ROWS($X$2:$X26),'Per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IFERROR(MATCH(Settings!$C$29&amp;"|"&amp;ROWS($X$2:$X27),'Per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IFERROR(MATCH(Settings!$C$29&amp;"|"&amp;ROWS($X$2:$X28),'Per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IFERROR(MATCH(Settings!$C$29&amp;"|"&amp;ROWS($X$2:$X29),'Per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IFERROR(MATCH(Settings!$C$29&amp;"|"&amp;ROWS($X$2:$X30),'Per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IFERROR(MATCH(Settings!$C$29&amp;"|"&amp;ROWS($X$2:$X31),'Per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IFERROR(MATCH(Settings!$C$29&amp;"|"&amp;ROWS($X$2:$X32),'Per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IFERROR(MATCH(Settings!$C$29&amp;"|"&amp;ROWS($X$2:$X33),'Per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IFERROR(MATCH(Settings!$C$29&amp;"|"&amp;ROWS($X$2:$X34),'Per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IFERROR(MATCH(Settings!$C$29&amp;"|"&amp;ROWS($X$2:$X35),'Per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IFERROR(MATCH(Settings!$C$29&amp;"|"&amp;ROWS($X$2:$X36),'Per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IFERROR(MATCH(Settings!$C$29&amp;"|"&amp;ROWS($X$2:$X37),'Per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IFERROR(MATCH(Settings!$C$29&amp;"|"&amp;ROWS($X$2:$X38),'Per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IFERROR(MATCH(Settings!$C$29&amp;"|"&amp;ROWS($X$2:$X39),'Per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IFERROR(MATCH(Settings!$C$29&amp;"|"&amp;ROWS($X$2:$X40),'Per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IFERROR(MATCH(Settings!$C$29&amp;"|"&amp;ROWS($X$2:$X41),'Per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IFERROR(MATCH(Settings!$C$29&amp;"|"&amp;ROWS($X$2:$X42),'Per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IFERROR(MATCH(Settings!$C$29&amp;"|"&amp;ROWS($X$2:$X43),'Per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IFERROR(MATCH(Settings!$C$29&amp;"|"&amp;ROWS($X$2:$X44),'Per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IFERROR(MATCH(Settings!$C$29&amp;"|"&amp;ROWS($X$2:$X45),'Per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IFERROR(MATCH(Settings!$C$29&amp;"|"&amp;ROWS($X$2:$X46),'Per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IFERROR(MATCH(Settings!$C$29&amp;"|"&amp;ROWS($X$2:$X47),'Per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IFERROR(MATCH(Settings!$C$29&amp;"|"&amp;ROWS($X$2:$X48),'Per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IFERROR(MATCH(Settings!$C$29&amp;"|"&amp;ROWS($X$2:$X49),'Per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IFERROR(MATCH(Settings!$C$29&amp;"|"&amp;ROWS($X$2:$X50),'Per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IFERROR(MATCH(Settings!$C$29&amp;"|"&amp;ROWS($X$2:$X51),'Per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IFERROR(MATCH(Settings!$C$29&amp;"|"&amp;ROWS($X$2:$X52),'Per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IFERROR(MATCH(Settings!$C$29&amp;"|"&amp;ROWS($X$2:$X53),'Per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IFERROR(MATCH(Settings!$C$29&amp;"|"&amp;ROWS($X$2:$X54),'Per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IFERROR(MATCH(Settings!$C$29&amp;"|"&amp;ROWS($X$2:$X55),'Per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IFERROR(MATCH(Settings!$C$29&amp;"|"&amp;ROWS($X$2:$X56),'Per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IFERROR(MATCH(Settings!$C$29&amp;"|"&amp;ROWS($X$2:$X57),'Per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IFERROR(MATCH(Settings!$C$29&amp;"|"&amp;ROWS($X$2:$X58),'Per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IFERROR(MATCH(Settings!$C$29&amp;"|"&amp;ROWS($X$2:$X59),'Per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IFERROR(MATCH(Settings!$C$29&amp;"|"&amp;ROWS($X$2:$X60),'Per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IFERROR(MATCH(Settings!$C$29&amp;"|"&amp;ROWS($X$2:$X61),'Per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IFERROR(MATCH(Settings!$C$29&amp;"|"&amp;ROWS($X$2:$X62),'Per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IFERROR(MATCH(Settings!$C$29&amp;"|"&amp;ROWS($X$2:$X63),'Per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IFERROR(MATCH(Settings!$C$29&amp;"|"&amp;ROWS($X$2:$X64),'Per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IFERROR(MATCH(Settings!$C$29&amp;"|"&amp;ROWS($X$2:$X65),'Per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IFERROR(MATCH(Settings!$C$29&amp;"|"&amp;ROWS($X$2:$X66),'Per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IFERROR(MATCH(Settings!$C$29&amp;"|"&amp;ROWS($X$2:$X67),'Per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IFERROR(MATCH(Settings!$C$29&amp;"|"&amp;ROWS($X$2:$X68),'Per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IFERROR(MATCH(Settings!$C$29&amp;"|"&amp;ROWS($X$2:$X69),'Per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IFERROR(MATCH(Settings!$C$29&amp;"|"&amp;ROWS($X$2:$X70),'Per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IFERROR(MATCH(Settings!$C$29&amp;"|"&amp;ROWS($X$2:$X71),'Per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IFERROR(MATCH(Settings!$C$29&amp;"|"&amp;ROWS($X$2:$X72),'Per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IFERROR(MATCH(Settings!$C$29&amp;"|"&amp;ROWS($X$2:$X73),'Per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IFERROR(MATCH(Settings!$C$29&amp;"|"&amp;ROWS($X$2:$X74),'Per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IFERROR(MATCH(Settings!$C$29&amp;"|"&amp;ROWS($X$2:$X75),'Per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IFERROR(MATCH(Settings!$C$29&amp;"|"&amp;ROWS($X$2:$X76),'Per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IFERROR(MATCH(Settings!$C$29&amp;"|"&amp;ROWS($X$2:$X77),'Per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IFERROR(MATCH(Settings!$C$29&amp;"|"&amp;ROWS($X$2:$X78),'Per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IFERROR(MATCH(Settings!$C$29&amp;"|"&amp;ROWS($X$2:$X79),'Per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IFERROR(MATCH(Settings!$C$29&amp;"|"&amp;ROWS($X$2:$X80),'Per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IFERROR(MATCH(Settings!$C$29&amp;"|"&amp;ROWS($X$2:$X81),'Per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IFERROR(MATCH(Settings!$C$29&amp;"|"&amp;ROWS($X$2:$X82),'Per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IFERROR(MATCH(Settings!$C$29&amp;"|"&amp;ROWS($X$2:$X83),'Per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IFERROR(MATCH(Settings!$C$29&amp;"|"&amp;ROWS($X$2:$X84),'Per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IFERROR(MATCH(Settings!$C$29&amp;"|"&amp;ROWS($X$2:$X85),'Per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IFERROR(MATCH(Settings!$C$29&amp;"|"&amp;ROWS($X$2:$X86),'Per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IFERROR(MATCH(Settings!$C$29&amp;"|"&amp;ROWS($X$2:$X87),'Per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IFERROR(MATCH(Settings!$C$29&amp;"|"&amp;ROWS($X$2:$X88),'Per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IFERROR(MATCH(Settings!$C$29&amp;"|"&amp;ROWS($X$2:$X89),'Per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IFERROR(MATCH(Settings!$C$29&amp;"|"&amp;ROWS($X$2:$X90),'Per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IFERROR(MATCH(Settings!$C$29&amp;"|"&amp;ROWS($X$2:$X91),'Per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IFERROR(MATCH(Settings!$C$29&amp;"|"&amp;ROWS($X$2:$X92),'Per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IFERROR(MATCH(Settings!$C$29&amp;"|"&amp;ROWS($X$2:$X93),'Per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IFERROR(MATCH(Settings!$C$29&amp;"|"&amp;ROWS($X$2:$X94),'Per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IFERROR(MATCH(Settings!$C$29&amp;"|"&amp;ROWS($X$2:$X95),'Per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IFERROR(MATCH(Settings!$C$29&amp;"|"&amp;ROWS($X$2:$X96),'Per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IFERROR(MATCH(Settings!$C$29&amp;"|"&amp;ROWS($X$2:$X97),'Per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IFERROR(MATCH(Settings!$C$29&amp;"|"&amp;ROWS($X$2:$X98),'Per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IFERROR(MATCH(Settings!$C$29&amp;"|"&amp;ROWS($X$2:$X99),'Per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IFERROR(MATCH(Settings!$C$29&amp;"|"&amp;ROWS($X$2:$X100),'Per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IFERROR(MATCH(Settings!$C$29&amp;"|"&amp;ROWS($X$2:$X101),'Per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IFERROR(MATCH(Settings!$C$29&amp;"|"&amp;ROWS($X$2:$X102),'Per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IFERROR(MATCH(Settings!$C$29&amp;"|"&amp;ROWS($X$2:$X103),'Per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IFERROR(MATCH(Settings!$C$29&amp;"|"&amp;ROWS($X$2:$X104),'Per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IFERROR(MATCH(Settings!$C$29&amp;"|"&amp;ROWS($X$2:$X105),'Per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IFERROR(MATCH(Settings!$C$29&amp;"|"&amp;ROWS($X$2:$X106),'Per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IFERROR(MATCH(Settings!$C$29&amp;"|"&amp;ROWS($X$2:$X107),'Per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IFERROR(MATCH(Settings!$C$29&amp;"|"&amp;ROWS($X$2:$X108),'Per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IFERROR(MATCH(Settings!$C$29&amp;"|"&amp;ROWS($X$2:$X109),'Per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IFERROR(MATCH(Settings!$C$29&amp;"|"&amp;ROWS($X$2:$X110),'Per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IFERROR(MATCH(Settings!$C$29&amp;"|"&amp;ROWS($X$2:$X111),'Per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IFERROR(MATCH(Settings!$C$29&amp;"|"&amp;ROWS($X$2:$X112),'Per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IFERROR(MATCH(Settings!$C$29&amp;"|"&amp;ROWS($X$2:$X113),'Per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IFERROR(MATCH(Settings!$C$29&amp;"|"&amp;ROWS($X$2:$X114),'Per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IFERROR(MATCH(Settings!$C$29&amp;"|"&amp;ROWS($X$2:$X115),'Per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IFERROR(MATCH(Settings!$C$29&amp;"|"&amp;ROWS($X$2:$X116),'Per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IFERROR(MATCH(Settings!$C$29&amp;"|"&amp;ROWS($X$2:$X117),'Per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IFERROR(MATCH(Settings!$C$29&amp;"|"&amp;ROWS($X$2:$X118),'Per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IFERROR(MATCH(Settings!$C$29&amp;"|"&amp;ROWS($X$2:$X119),'Per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IFERROR(MATCH(Settings!$C$29&amp;"|"&amp;ROWS($X$2:$X120),'Per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IFERROR(MATCH(Settings!$C$29&amp;"|"&amp;ROWS($X$2:$X121),'Per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IFERROR(MATCH(Settings!$C$29&amp;"|"&amp;ROWS($X$2:$X122),'Per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IFERROR(MATCH(Settings!$C$29&amp;"|"&amp;ROWS($X$2:$X123),'Per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IFERROR(MATCH(Settings!$C$29&amp;"|"&amp;ROWS($X$2:$X124),'Per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IFERROR(MATCH(Settings!$C$29&amp;"|"&amp;ROWS($X$2:$X125),'Per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IFERROR(MATCH(Settings!$C$29&amp;"|"&amp;ROWS($X$2:$X126),'Per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IFERROR(MATCH(Settings!$C$29&amp;"|"&amp;ROWS($X$2:$X127),'Per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IFERROR(MATCH(Settings!$C$29&amp;"|"&amp;ROWS($X$2:$X128),'Per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IFERROR(MATCH(Settings!$C$29&amp;"|"&amp;ROWS($X$2:$X129),'Per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IFERROR(MATCH(Settings!$C$29&amp;"|"&amp;ROWS($X$2:$X130),'Per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IFERROR(MATCH(Settings!$C$29&amp;"|"&amp;ROWS($X$2:$X131),'Per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IFERROR(MATCH(Settings!$C$29&amp;"|"&amp;ROWS($X$2:$X132),'Per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IFERROR(MATCH(Settings!$C$29&amp;"|"&amp;ROWS($X$2:$X133),'Per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IFERROR(MATCH(Settings!$C$29&amp;"|"&amp;ROWS($X$2:$X134),'Per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IFERROR(MATCH(Settings!$C$29&amp;"|"&amp;ROWS($X$2:$X135),'Per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IFERROR(MATCH(Settings!$C$29&amp;"|"&amp;ROWS($X$2:$X136),'Per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IFERROR(MATCH(Settings!$C$29&amp;"|"&amp;ROWS($X$2:$X137),'Per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IFERROR(MATCH(Settings!$C$29&amp;"|"&amp;ROWS($X$2:$X138),'Per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IFERROR(MATCH(Settings!$C$29&amp;"|"&amp;ROWS($X$2:$X139),'Per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IFERROR(MATCH(Settings!$C$29&amp;"|"&amp;ROWS($X$2:$X140),'Per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IFERROR(MATCH(Settings!$C$29&amp;"|"&amp;ROWS($X$2:$X141),'Per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IFERROR(MATCH(Settings!$C$29&amp;"|"&amp;ROWS($X$2:$X142),'Per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IFERROR(MATCH(Settings!$C$29&amp;"|"&amp;ROWS($X$2:$X143),'Per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IFERROR(MATCH(Settings!$C$29&amp;"|"&amp;ROWS($X$2:$X144),'Per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IFERROR(MATCH(Settings!$C$29&amp;"|"&amp;ROWS($X$2:$X145),'Per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IFERROR(MATCH(Settings!$C$29&amp;"|"&amp;ROWS($X$2:$X146),'Per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IFERROR(MATCH(Settings!$C$29&amp;"|"&amp;ROWS($X$2:$X147),'Per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IFERROR(MATCH(Settings!$C$29&amp;"|"&amp;ROWS($X$2:$X148),'Per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IFERROR(MATCH(Settings!$C$29&amp;"|"&amp;ROWS($X$2:$X149),'Per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IFERROR(MATCH(Settings!$C$29&amp;"|"&amp;ROWS($X$2:$X150),'Per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IFERROR(MATCH(Settings!$C$29&amp;"|"&amp;ROWS($X$2:$X151),'Per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IFERROR(MATCH(Settings!$C$29&amp;"|"&amp;ROWS($X$2:$X152),'Per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IFERROR(MATCH(Settings!$C$29&amp;"|"&amp;ROWS($X$2:$X153),'Per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IFERROR(MATCH(Settings!$C$29&amp;"|"&amp;ROWS($X$2:$X154),'Per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IFERROR(MATCH(Settings!$C$29&amp;"|"&amp;ROWS($X$2:$X155),'Per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IFERROR(MATCH(Settings!$C$29&amp;"|"&amp;ROWS($X$2:$X156),'Per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IFERROR(MATCH(Settings!$C$29&amp;"|"&amp;ROWS($X$2:$X157),'Per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IFERROR(MATCH(Settings!$C$29&amp;"|"&amp;ROWS($X$2:$X158),'Per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IFERROR(MATCH(Settings!$C$29&amp;"|"&amp;ROWS($X$2:$X159),'Per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IFERROR(MATCH(Settings!$C$29&amp;"|"&amp;ROWS($X$2:$X160),'Per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IFERROR(MATCH(Settings!$C$29&amp;"|"&amp;ROWS($X$2:$X161),'Per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IFERROR(MATCH(Settings!$C$29&amp;"|"&amp;ROWS($X$2:$X162),'Per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IFERROR(MATCH(Settings!$C$29&amp;"|"&amp;ROWS($X$2:$X163),'Per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IFERROR(MATCH(Settings!$C$29&amp;"|"&amp;ROWS($X$2:$X164),'Per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IFERROR(MATCH(Settings!$C$29&amp;"|"&amp;ROWS($X$2:$X165),'Per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IFERROR(MATCH(Settings!$C$29&amp;"|"&amp;ROWS($X$2:$X166),'Per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IFERROR(MATCH(Settings!$C$29&amp;"|"&amp;ROWS($X$2:$X167),'Per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IFERROR(MATCH(Settings!$C$29&amp;"|"&amp;ROWS($X$2:$X168),'Per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IFERROR(MATCH(Settings!$C$29&amp;"|"&amp;ROWS($X$2:$X169),'Per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IFERROR(MATCH(Settings!$C$29&amp;"|"&amp;ROWS($X$2:$X170),'Per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IFERROR(MATCH(Settings!$C$29&amp;"|"&amp;ROWS($X$2:$X171),'Per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IFERROR(MATCH(Settings!$C$29&amp;"|"&amp;ROWS($X$2:$X172),'Per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IFERROR(MATCH(Settings!$C$29&amp;"|"&amp;ROWS($X$2:$X173),'Per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IFERROR(MATCH(Settings!$C$29&amp;"|"&amp;ROWS($X$2:$X174),'Per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IFERROR(MATCH(Settings!$C$29&amp;"|"&amp;ROWS($X$2:$X175),'Per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IFERROR(MATCH(Settings!$C$29&amp;"|"&amp;ROWS($X$2:$X176),'Per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IFERROR(MATCH(Settings!$C$29&amp;"|"&amp;ROWS($X$2:$X177),'Per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IFERROR(MATCH(Settings!$C$29&amp;"|"&amp;ROWS($X$2:$X178),'Per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IFERROR(MATCH(Settings!$C$29&amp;"|"&amp;ROWS($X$2:$X179),'Per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IFERROR(MATCH(Settings!$C$29&amp;"|"&amp;ROWS($X$2:$X180),'Per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IFERROR(MATCH(Settings!$C$29&amp;"|"&amp;ROWS($X$2:$X181),'Per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IFERROR(MATCH(Settings!$C$29&amp;"|"&amp;ROWS($X$2:$X182),'Per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IFERROR(MATCH(Settings!$C$29&amp;"|"&amp;ROWS($X$2:$X183),'Per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IFERROR(MATCH(Settings!$C$29&amp;"|"&amp;ROWS($X$2:$X184),'Per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IFERROR(MATCH(Settings!$C$29&amp;"|"&amp;ROWS($X$2:$X185),'Per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IFERROR(MATCH(Settings!$C$29&amp;"|"&amp;ROWS($X$2:$X186),'Per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IFERROR(MATCH(Settings!$C$29&amp;"|"&amp;ROWS($X$2:$X187),'Per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IFERROR(MATCH(Settings!$C$29&amp;"|"&amp;ROWS($X$2:$X188),'Per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IFERROR(MATCH(Settings!$C$29&amp;"|"&amp;ROWS($X$2:$X189),'Per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IFERROR(MATCH(Settings!$C$29&amp;"|"&amp;ROWS($X$2:$X190),'Per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IFERROR(MATCH(Settings!$C$29&amp;"|"&amp;ROWS($X$2:$X191),'Per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IFERROR(MATCH(Settings!$C$29&amp;"|"&amp;ROWS($X$2:$X192),'Per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IFERROR(MATCH(Settings!$C$29&amp;"|"&amp;ROWS($X$2:$X193),'Per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IFERROR(MATCH(Settings!$C$29&amp;"|"&amp;ROWS($X$2:$X194),'Per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IFERROR(MATCH(Settings!$C$29&amp;"|"&amp;ROWS($X$2:$X195),'Per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IFERROR(MATCH(Settings!$C$29&amp;"|"&amp;ROWS($X$2:$X196),'Per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IFERROR(MATCH(Settings!$C$29&amp;"|"&amp;ROWS($X$2:$X197),'Per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IFERROR(MATCH(Settings!$C$29&amp;"|"&amp;ROWS($X$2:$X198),'Per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IFERROR(MATCH(Settings!$C$29&amp;"|"&amp;ROWS($X$2:$X199),'Per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IFERROR(MATCH(Settings!$C$29&amp;"|"&amp;ROWS($X$2:$X200),'Per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IFERROR(MATCH(Settings!$C$29&amp;"|"&amp;ROWS($X$2:$X201),'Per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IFERROR(MATCH(Settings!$C$29&amp;"|"&amp;ROWS($X$2:$X202),'Per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IFERROR(MATCH(Settings!$C$29&amp;"|"&amp;ROWS($X$2:$X203),'Per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IFERROR(MATCH(Settings!$C$29&amp;"|"&amp;ROWS($X$2:$X204),'Per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IFERROR(MATCH(Settings!$C$29&amp;"|"&amp;ROWS($X$2:$X205),'Per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IFERROR(MATCH(Settings!$C$29&amp;"|"&amp;ROWS($X$2:$X206),'Per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IFERROR(MATCH(Settings!$C$29&amp;"|"&amp;ROWS($X$2:$X207),'Per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IFERROR(MATCH(Settings!$C$29&amp;"|"&amp;ROWS($X$2:$X208),'Per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IFERROR(MATCH(Settings!$C$29&amp;"|"&amp;ROWS($X$2:$X209),'Per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IFERROR(MATCH(Settings!$C$29&amp;"|"&amp;ROWS($X$2:$X210),'Per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IFERROR(MATCH(Settings!$C$29&amp;"|"&amp;ROWS($X$2:$X211),'Per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IFERROR(MATCH(Settings!$C$29&amp;"|"&amp;ROWS($X$2:$X212),'Per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IFERROR(MATCH(Settings!$C$29&amp;"|"&amp;ROWS($X$2:$X213),'Per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IFERROR(MATCH(Settings!$C$29&amp;"|"&amp;ROWS($X$2:$X214),'Per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IFERROR(MATCH(Settings!$C$29&amp;"|"&amp;ROWS($X$2:$X215),'Per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IFERROR(MATCH(Settings!$C$29&amp;"|"&amp;ROWS($X$2:$X216),'Per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IFERROR(MATCH(Settings!$C$29&amp;"|"&amp;ROWS($X$2:$X217),'Per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IFERROR(MATCH(Settings!$C$29&amp;"|"&amp;ROWS($X$2:$X218),'Per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IFERROR(MATCH(Settings!$C$29&amp;"|"&amp;ROWS($X$2:$X219),'Per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IFERROR(MATCH(Settings!$C$29&amp;"|"&amp;ROWS($X$2:$X220),'Per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IFERROR(MATCH(Settings!$C$29&amp;"|"&amp;ROWS($X$2:$X221),'Per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IFERROR(MATCH(Settings!$C$29&amp;"|"&amp;ROWS($X$2:$X222),'Per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IFERROR(MATCH(Settings!$C$29&amp;"|"&amp;ROWS($X$2:$X223),'Per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IFERROR(MATCH(Settings!$C$29&amp;"|"&amp;ROWS($X$2:$X224),'Per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IFERROR(MATCH(Settings!$C$29&amp;"|"&amp;ROWS($X$2:$X225),'Per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IFERROR(MATCH(Settings!$C$29&amp;"|"&amp;ROWS($X$2:$X226),'Per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IFERROR(MATCH(Settings!$C$29&amp;"|"&amp;ROWS($X$2:$X227),'Per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IFERROR(MATCH(Settings!$C$29&amp;"|"&amp;ROWS($X$2:$X228),'Per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IFERROR(MATCH(Settings!$C$29&amp;"|"&amp;ROWS($X$2:$X229),'Per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IFERROR(MATCH(Settings!$C$29&amp;"|"&amp;ROWS($X$2:$X230),'Per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IFERROR(MATCH(Settings!$C$29&amp;"|"&amp;ROWS($X$2:$X231),'Per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IFERROR(MATCH(Settings!$C$29&amp;"|"&amp;ROWS($X$2:$X232),'Per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IFERROR(MATCH(Settings!$C$29&amp;"|"&amp;ROWS($X$2:$X233),'Per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IFERROR(MATCH(Settings!$C$29&amp;"|"&amp;ROWS($X$2:$X234),'Per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IFERROR(MATCH(Settings!$C$29&amp;"|"&amp;ROWS($X$2:$X235),'Per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IFERROR(MATCH(Settings!$C$29&amp;"|"&amp;ROWS($X$2:$X236),'Per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IFERROR(MATCH(Settings!$C$29&amp;"|"&amp;ROWS($X$2:$X237),'Per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IFERROR(MATCH(Settings!$C$29&amp;"|"&amp;ROWS($X$2:$X238),'Per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IFERROR(MATCH(Settings!$C$29&amp;"|"&amp;ROWS($X$2:$X239),'Per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IFERROR(MATCH(Settings!$C$29&amp;"|"&amp;ROWS($X$2:$X240),'Per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IFERROR(MATCH(Settings!$C$29&amp;"|"&amp;ROWS($X$2:$X241),'Per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IFERROR(MATCH(Settings!$C$29&amp;"|"&amp;ROWS($X$2:$X242),'Per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IFERROR(MATCH(Settings!$C$29&amp;"|"&amp;ROWS($X$2:$X243),'Per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IFERROR(MATCH(Settings!$C$29&amp;"|"&amp;ROWS($X$2:$X244),'Per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IFERROR(MATCH(Settings!$C$29&amp;"|"&amp;ROWS($X$2:$X245),'Per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IFERROR(MATCH(Settings!$C$29&amp;"|"&amp;ROWS($X$2:$X246),'Per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IFERROR(MATCH(Settings!$C$29&amp;"|"&amp;ROWS($X$2:$X247),'Per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IFERROR(MATCH(Settings!$C$29&amp;"|"&amp;ROWS($X$2:$X248),'Per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IFERROR(MATCH(Settings!$C$29&amp;"|"&amp;ROWS($X$2:$X249),'Per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IFERROR(MATCH(Settings!$C$29&amp;"|"&amp;ROWS($X$2:$X250),'Per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IFERROR(MATCH(Settings!$C$29&amp;"|"&amp;ROWS($X$2:$X251),'Per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IFERROR(MATCH(Settings!$C$29&amp;"|"&amp;ROWS($X$2:$X252),'Per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IFERROR(MATCH(Settings!$C$29&amp;"|"&amp;ROWS($X$2:$X253),'Per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IFERROR(MATCH(Settings!$C$29&amp;"|"&amp;ROWS($X$2:$X254),'Per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IFERROR(MATCH(Settings!$C$29&amp;"|"&amp;ROWS($X$2:$X255),'Per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IFERROR(MATCH(Settings!$C$29&amp;"|"&amp;ROWS($X$2:$X256),'Per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IFERROR(MATCH(Settings!$C$29&amp;"|"&amp;ROWS($X$2:$X257),'Per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IFERROR(MATCH(Settings!$C$29&amp;"|"&amp;ROWS($X$2:$X258),'Per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IFERROR(MATCH(Settings!$C$29&amp;"|"&amp;ROWS($X$2:$X259),'Per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IFERROR(MATCH(Settings!$C$29&amp;"|"&amp;ROWS($X$2:$X260),'Per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IFERROR(MATCH(Settings!$C$29&amp;"|"&amp;ROWS($X$2:$X261),'Per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IFERROR(MATCH(Settings!$C$29&amp;"|"&amp;ROWS($X$2:$X262),'Per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IFERROR(MATCH(Settings!$C$29&amp;"|"&amp;ROWS($X$2:$X263),'Per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IFERROR(MATCH(Settings!$C$29&amp;"|"&amp;ROWS($X$2:$X264),'Per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IFERROR(MATCH(Settings!$C$29&amp;"|"&amp;ROWS($X$2:$X265),'Per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IFERROR(MATCH(Settings!$C$29&amp;"|"&amp;ROWS($X$2:$X266),'Per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IFERROR(MATCH(Settings!$C$29&amp;"|"&amp;ROWS($X$2:$X267),'Per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IFERROR(MATCH(Settings!$C$29&amp;"|"&amp;ROWS($X$2:$X268),'Per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IFERROR(MATCH(Settings!$C$29&amp;"|"&amp;ROWS($X$2:$X269),'Per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IFERROR(MATCH(Settings!$C$29&amp;"|"&amp;ROWS($X$2:$X270),'Per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IFERROR(MATCH(Settings!$C$29&amp;"|"&amp;ROWS($X$2:$X271),'Per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IFERROR(MATCH(Settings!$C$29&amp;"|"&amp;ROWS($X$2:$X272),'Per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IFERROR(MATCH(Settings!$C$29&amp;"|"&amp;ROWS($X$2:$X273),'Per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IFERROR(MATCH(Settings!$C$29&amp;"|"&amp;ROWS($X$2:$X274),'Per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IFERROR(MATCH(Settings!$C$29&amp;"|"&amp;ROWS($X$2:$X275),'Per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IFERROR(MATCH(Settings!$C$29&amp;"|"&amp;ROWS($X$2:$X276),'Per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IFERROR(MATCH(Settings!$C$29&amp;"|"&amp;ROWS($X$2:$X277),'Per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IFERROR(MATCH(Settings!$C$29&amp;"|"&amp;ROWS($X$2:$X278),'Per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IFERROR(MATCH(Settings!$C$29&amp;"|"&amp;ROWS($X$2:$X279),'Per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IFERROR(MATCH(Settings!$C$29&amp;"|"&amp;ROWS($X$2:$X280),'Per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IFERROR(MATCH(Settings!$C$29&amp;"|"&amp;ROWS($X$2:$X281),'Per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IFERROR(MATCH(Settings!$C$29&amp;"|"&amp;ROWS($X$2:$X282),'Per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IFERROR(MATCH(Settings!$C$29&amp;"|"&amp;ROWS($X$2:$X283),'Per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IFERROR(MATCH(Settings!$C$29&amp;"|"&amp;ROWS($X$2:$X284),'Per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IFERROR(MATCH(Settings!$C$29&amp;"|"&amp;ROWS($X$2:$X285),'Per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IFERROR(MATCH(Settings!$C$29&amp;"|"&amp;ROWS($X$2:$X286),'Per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IFERROR(MATCH(Settings!$C$29&amp;"|"&amp;ROWS($X$2:$X287),'Per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IFERROR(MATCH(Settings!$C$29&amp;"|"&amp;ROWS($X$2:$X288),'Per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IFERROR(MATCH(Settings!$C$29&amp;"|"&amp;ROWS($X$2:$X289),'Per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IFERROR(MATCH(Settings!$C$29&amp;"|"&amp;ROWS($X$2:$X290),'Per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IFERROR(MATCH(Settings!$C$29&amp;"|"&amp;ROWS($X$2:$X291),'Per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IFERROR(MATCH(Settings!$C$29&amp;"|"&amp;ROWS($X$2:$X292),'Per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IFERROR(MATCH(Settings!$C$29&amp;"|"&amp;ROWS($X$2:$X293),'Per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IFERROR(MATCH(Settings!$C$29&amp;"|"&amp;ROWS($X$2:$X294),'Per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IFERROR(MATCH(Settings!$C$29&amp;"|"&amp;ROWS($X$2:$X295),'Per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IFERROR(MATCH(Settings!$C$29&amp;"|"&amp;ROWS($X$2:$X296),'Per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IFERROR(MATCH(Settings!$C$29&amp;"|"&amp;ROWS($X$2:$X297),'Per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IFERROR(MATCH(Settings!$C$29&amp;"|"&amp;ROWS($X$2:$X298),'Per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IFERROR(MATCH(Settings!$C$29&amp;"|"&amp;ROWS($X$2:$X299),'Per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IFERROR(MATCH(Settings!$C$29&amp;"|"&amp;ROWS($X$2:$X300),'Per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IFERROR(MATCH(Settings!$C$29&amp;"|"&amp;ROWS($X$2:$X301),'Per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IFERROR(MATCH(Settings!$C$29&amp;"|"&amp;ROWS($X$2:$X302),'Per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IFERROR(MATCH(Settings!$C$29&amp;"|"&amp;ROWS($X$2:$X303),'Per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IFERROR(MATCH(Settings!$C$29&amp;"|"&amp;ROWS($X$2:$X304),'Per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IFERROR(MATCH(Settings!$C$29&amp;"|"&amp;ROWS($X$2:$X305),'Per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IFERROR(MATCH(Settings!$C$29&amp;"|"&amp;ROWS($X$2:$X306),'Per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IFERROR(MATCH(Settings!$C$29&amp;"|"&amp;ROWS($X$2:$X307),'Per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IFERROR(MATCH(Settings!$C$29&amp;"|"&amp;ROWS($X$2:$X308),'Per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IFERROR(MATCH(Settings!$C$29&amp;"|"&amp;ROWS($X$2:$X309),'Per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IFERROR(MATCH(Settings!$C$29&amp;"|"&amp;ROWS($X$2:$X310),'Per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IFERROR(MATCH(Settings!$C$29&amp;"|"&amp;ROWS($X$2:$X311),'Per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IFERROR(MATCH(Settings!$C$29&amp;"|"&amp;ROWS($X$2:$X312),'Per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IFERROR(MATCH(Settings!$C$29&amp;"|"&amp;ROWS($X$2:$X313),'Per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IFERROR(MATCH(Settings!$C$29&amp;"|"&amp;ROWS($X$2:$X314),'Per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IFERROR(MATCH(Settings!$C$29&amp;"|"&amp;ROWS($X$2:$X315),'Per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IFERROR(MATCH(Settings!$C$29&amp;"|"&amp;ROWS($X$2:$X316),'Per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IFERROR(MATCH(Settings!$C$29&amp;"|"&amp;ROWS($X$2:$X317),'Per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IFERROR(MATCH(Settings!$C$29&amp;"|"&amp;ROWS($X$2:$X318),'Per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IFERROR(MATCH(Settings!$C$29&amp;"|"&amp;ROWS($X$2:$X319),'Per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IFERROR(MATCH(Settings!$C$29&amp;"|"&amp;ROWS($X$2:$X320),'Per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IFERROR(MATCH(Settings!$C$29&amp;"|"&amp;ROWS($X$2:$X321),'Per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IFERROR(MATCH(Settings!$C$29&amp;"|"&amp;ROWS($X$2:$X322),'Per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IFERROR(MATCH(Settings!$C$29&amp;"|"&amp;ROWS($X$2:$X323),'Per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IFERROR(MATCH(Settings!$C$29&amp;"|"&amp;ROWS($X$2:$X324),'Per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IFERROR(MATCH(Settings!$C$29&amp;"|"&amp;ROWS($X$2:$X325),'Per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IFERROR(MATCH(Settings!$C$29&amp;"|"&amp;ROWS($X$2:$X326),'Per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IFERROR(MATCH(Settings!$C$29&amp;"|"&amp;ROWS($X$2:$X327),'Per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IFERROR(MATCH(Settings!$C$29&amp;"|"&amp;ROWS($X$2:$X328),'Per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IFERROR(MATCH(Settings!$C$29&amp;"|"&amp;ROWS($X$2:$X329),'Per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IFERROR(MATCH(Settings!$C$29&amp;"|"&amp;ROWS($X$2:$X330),'Per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IFERROR(MATCH(Settings!$C$29&amp;"|"&amp;ROWS($X$2:$X331),'Per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IFERROR(MATCH(Settings!$C$29&amp;"|"&amp;ROWS($X$2:$X332),'Per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IFERROR(MATCH(Settings!$C$29&amp;"|"&amp;ROWS($X$2:$X333),'Per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IFERROR(MATCH(Settings!$C$29&amp;"|"&amp;ROWS($X$2:$X334),'Per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IFERROR(MATCH(Settings!$C$29&amp;"|"&amp;ROWS($X$2:$X335),'Per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IFERROR(MATCH(Settings!$C$29&amp;"|"&amp;ROWS($X$2:$X336),'Per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IFERROR(MATCH(Settings!$C$29&amp;"|"&amp;ROWS($X$2:$X337),'Per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IFERROR(MATCH(Settings!$C$29&amp;"|"&amp;ROWS($X$2:$X338),'Per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IFERROR(MATCH(Settings!$C$29&amp;"|"&amp;ROWS($X$2:$X339),'Per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IFERROR(MATCH(Settings!$C$29&amp;"|"&amp;ROWS($X$2:$X340),'Per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IFERROR(MATCH(Settings!$C$29&amp;"|"&amp;ROWS($X$2:$X341),'Per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IFERROR(MATCH(Settings!$C$29&amp;"|"&amp;ROWS($X$2:$X342),'Per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IFERROR(MATCH(Settings!$C$29&amp;"|"&amp;ROWS($X$2:$X343),'Per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IFERROR(MATCH(Settings!$C$29&amp;"|"&amp;ROWS($X$2:$X344),'Per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IFERROR(MATCH(Settings!$C$29&amp;"|"&amp;ROWS($X$2:$X345),'Per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IFERROR(MATCH(Settings!$C$29&amp;"|"&amp;ROWS($X$2:$X346),'Per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IFERROR(MATCH(Settings!$C$29&amp;"|"&amp;ROWS($X$2:$X347),'Per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IFERROR(MATCH(Settings!$C$29&amp;"|"&amp;ROWS($X$2:$X348),'Per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IFERROR(MATCH(Settings!$C$29&amp;"|"&amp;ROWS($X$2:$X349),'Per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IFERROR(MATCH(Settings!$C$29&amp;"|"&amp;ROWS($X$2:$X350),'Per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IFERROR(MATCH(Settings!$C$29&amp;"|"&amp;ROWS($X$2:$X351),'Per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IFERROR(MATCH(Settings!$C$29&amp;"|"&amp;ROWS($X$2:$X352),'Per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IFERROR(MATCH(Settings!$C$29&amp;"|"&amp;ROWS($X$2:$X353),'Per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IFERROR(MATCH(Settings!$C$29&amp;"|"&amp;ROWS($X$2:$X354),'Per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IFERROR(MATCH(Settings!$C$29&amp;"|"&amp;ROWS($X$2:$X355),'Per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IFERROR(MATCH(Settings!$C$29&amp;"|"&amp;ROWS($X$2:$X356),'Per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IFERROR(MATCH(Settings!$C$29&amp;"|"&amp;ROWS($X$2:$X357),'Per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IFERROR(MATCH(Settings!$C$29&amp;"|"&amp;ROWS($X$2:$X358),'Per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IFERROR(MATCH(Settings!$C$29&amp;"|"&amp;ROWS($X$2:$X359),'Per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IFERROR(MATCH(Settings!$C$29&amp;"|"&amp;ROWS($X$2:$X360),'Per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IFERROR(MATCH(Settings!$C$29&amp;"|"&amp;ROWS($X$2:$X361),'Per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IFERROR(MATCH(Settings!$C$29&amp;"|"&amp;ROWS($X$2:$X362),'Per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IFERROR(MATCH(Settings!$C$29&amp;"|"&amp;ROWS($X$2:$X363),'Per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IFERROR(MATCH(Settings!$C$29&amp;"|"&amp;ROWS($X$2:$X364),'Per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IFERROR(MATCH(Settings!$C$29&amp;"|"&amp;ROWS($X$2:$X365),'Per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IFERROR(MATCH(Settings!$C$29&amp;"|"&amp;ROWS($X$2:$X366),'Per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IFERROR(MATCH(Settings!$C$29&amp;"|"&amp;ROWS($X$2:$X367),'Per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IFERROR(MATCH(Settings!$C$29&amp;"|"&amp;ROWS($X$2:$X368),'Per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IFERROR(MATCH(Settings!$C$29&amp;"|"&amp;ROWS($X$2:$X369),'Per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IFERROR(MATCH(Settings!$C$29&amp;"|"&amp;ROWS($X$2:$X370),'Per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IFERROR(MATCH(Settings!$C$29&amp;"|"&amp;ROWS($X$2:$X371),'Per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IFERROR(MATCH(Settings!$C$29&amp;"|"&amp;ROWS($X$2:$X372),'Per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IFERROR(MATCH(Settings!$C$29&amp;"|"&amp;ROWS($X$2:$X373),'Per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IFERROR(MATCH(Settings!$C$29&amp;"|"&amp;ROWS($X$2:$X374),'Per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IFERROR(MATCH(Settings!$C$29&amp;"|"&amp;ROWS($X$2:$X375),'Per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IFERROR(MATCH(Settings!$C$29&amp;"|"&amp;ROWS($X$2:$X376),'Per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IFERROR(MATCH(Settings!$C$29&amp;"|"&amp;ROWS($X$2:$X377),'Per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IFERROR(MATCH(Settings!$C$29&amp;"|"&amp;ROWS($X$2:$X378),'Per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IFERROR(MATCH(Settings!$C$29&amp;"|"&amp;ROWS($X$2:$X379),'Per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IFERROR(MATCH(Settings!$C$29&amp;"|"&amp;ROWS($X$2:$X380),'Per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IFERROR(MATCH(Settings!$C$29&amp;"|"&amp;ROWS($X$2:$X381),'Per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IFERROR(MATCH(Settings!$C$29&amp;"|"&amp;ROWS($X$2:$X382),'Per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IFERROR(MATCH(Settings!$C$29&amp;"|"&amp;ROWS($X$2:$X383),'Per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IFERROR(MATCH(Settings!$C$29&amp;"|"&amp;ROWS($X$2:$X384),'Per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IFERROR(MATCH(Settings!$C$29&amp;"|"&amp;ROWS($X$2:$X385),'Per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IFERROR(MATCH(Settings!$C$29&amp;"|"&amp;ROWS($X$2:$X386),'Per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IFERROR(MATCH(Settings!$C$29&amp;"|"&amp;ROWS($X$2:$X387),'Per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IFERROR(MATCH(Settings!$C$29&amp;"|"&amp;ROWS($X$2:$X388),'Per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IFERROR(MATCH(Settings!$C$29&amp;"|"&amp;ROWS($X$2:$X389),'Per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IFERROR(MATCH(Settings!$C$29&amp;"|"&amp;ROWS($X$2:$X390),'Per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IFERROR(MATCH(Settings!$C$29&amp;"|"&amp;ROWS($X$2:$X391),'Per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IFERROR(MATCH(Settings!$C$29&amp;"|"&amp;ROWS($X$2:$X392),'Per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IFERROR(MATCH(Settings!$C$29&amp;"|"&amp;ROWS($X$2:$X393),'Per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IFERROR(MATCH(Settings!$C$29&amp;"|"&amp;ROWS($X$2:$X394),'Per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IFERROR(MATCH(Settings!$C$29&amp;"|"&amp;ROWS($X$2:$X395),'Per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IFERROR(MATCH(Settings!$C$29&amp;"|"&amp;ROWS($X$2:$X396),'Per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IFERROR(MATCH(Settings!$C$29&amp;"|"&amp;ROWS($X$2:$X397),'Per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IFERROR(MATCH(Settings!$C$29&amp;"|"&amp;ROWS($X$2:$X398),'Per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IFERROR(MATCH(Settings!$C$29&amp;"|"&amp;ROWS($X$2:$X399),'Per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IFERROR(MATCH(Settings!$C$29&amp;"|"&amp;ROWS($X$2:$X400),'Per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IFERROR(MATCH(Settings!$C$29&amp;"|"&amp;ROWS($X$2:$X401),'Per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IFERROR(MATCH(Settings!$C$30&amp;"|"&amp;ROWS($X$2:$X2),'Per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IFERROR(MATCH(Settings!$C$30&amp;"|"&amp;ROWS($X$2:$X3),'Per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IFERROR(MATCH(Settings!$C$30&amp;"|"&amp;ROWS($X$2:$X4),'Per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IFERROR(MATCH(Settings!$C$30&amp;"|"&amp;ROWS($X$2:$X5),'Per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IFERROR(MATCH(Settings!$C$30&amp;"|"&amp;ROWS($X$2:$X6),'Per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IFERROR(MATCH(Settings!$C$30&amp;"|"&amp;ROWS($X$2:$X7),'Per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IFERROR(MATCH(Settings!$C$30&amp;"|"&amp;ROWS($X$2:$X8),'Per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IFERROR(MATCH(Settings!$C$30&amp;"|"&amp;ROWS($X$2:$X9),'Per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IFERROR(MATCH(Settings!$C$30&amp;"|"&amp;ROWS($X$2:$X10),'Per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IFERROR(MATCH(Settings!$C$30&amp;"|"&amp;ROWS($X$2:$X11),'Per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IFERROR(MATCH(Settings!$C$30&amp;"|"&amp;ROWS($X$2:$X12),'Per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IFERROR(MATCH(Settings!$C$30&amp;"|"&amp;ROWS($X$2:$X13),'Per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IFERROR(MATCH(Settings!$C$30&amp;"|"&amp;ROWS($X$2:$X14),'Per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IFERROR(MATCH(Settings!$C$30&amp;"|"&amp;ROWS($X$2:$X15),'Per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IFERROR(MATCH(Settings!$C$30&amp;"|"&amp;ROWS($X$2:$X16),'Per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IFERROR(MATCH(Settings!$C$30&amp;"|"&amp;ROWS($X$2:$X17),'Per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IFERROR(MATCH(Settings!$C$30&amp;"|"&amp;ROWS($X$2:$X18),'Per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IFERROR(MATCH(Settings!$C$30&amp;"|"&amp;ROWS($X$2:$X19),'Per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IFERROR(MATCH(Settings!$C$30&amp;"|"&amp;ROWS($X$2:$X20),'Per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IFERROR(MATCH(Settings!$C$30&amp;"|"&amp;ROWS($X$2:$X21),'Per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IFERROR(MATCH(Settings!$C$30&amp;"|"&amp;ROWS($X$2:$X22),'Per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IFERROR(MATCH(Settings!$C$30&amp;"|"&amp;ROWS($X$2:$X23),'Per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IFERROR(MATCH(Settings!$C$30&amp;"|"&amp;ROWS($X$2:$X24),'Per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IFERROR(MATCH(Settings!$C$30&amp;"|"&amp;ROWS($X$2:$X25),'Per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IFERROR(MATCH(Settings!$C$30&amp;"|"&amp;ROWS($X$2:$X26),'Per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IFERROR(MATCH(Settings!$C$30&amp;"|"&amp;ROWS($X$2:$X27),'Per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IFERROR(MATCH(Settings!$C$30&amp;"|"&amp;ROWS($X$2:$X28),'Per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IFERROR(MATCH(Settings!$C$30&amp;"|"&amp;ROWS($X$2:$X29),'Per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IFERROR(MATCH(Settings!$C$30&amp;"|"&amp;ROWS($X$2:$X30),'Per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IFERROR(MATCH(Settings!$C$30&amp;"|"&amp;ROWS($X$2:$X31),'Per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IFERROR(MATCH(Settings!$C$30&amp;"|"&amp;ROWS($X$2:$X32),'Per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IFERROR(MATCH(Settings!$C$30&amp;"|"&amp;ROWS($X$2:$X33),'Per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IFERROR(MATCH(Settings!$C$30&amp;"|"&amp;ROWS($X$2:$X34),'Per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IFERROR(MATCH(Settings!$C$30&amp;"|"&amp;ROWS($X$2:$X35),'Per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IFERROR(MATCH(Settings!$C$30&amp;"|"&amp;ROWS($X$2:$X36),'Per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IFERROR(MATCH(Settings!$C$30&amp;"|"&amp;ROWS($X$2:$X37),'Per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IFERROR(MATCH(Settings!$C$30&amp;"|"&amp;ROWS($X$2:$X38),'Per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IFERROR(MATCH(Settings!$C$30&amp;"|"&amp;ROWS($X$2:$X39),'Per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IFERROR(MATCH(Settings!$C$30&amp;"|"&amp;ROWS($X$2:$X40),'Per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IFERROR(MATCH(Settings!$C$30&amp;"|"&amp;ROWS($X$2:$X41),'Per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IFERROR(MATCH(Settings!$C$30&amp;"|"&amp;ROWS($X$2:$X42),'Per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IFERROR(MATCH(Settings!$C$30&amp;"|"&amp;ROWS($X$2:$X43),'Per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IFERROR(MATCH(Settings!$C$30&amp;"|"&amp;ROWS($X$2:$X44),'Per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IFERROR(MATCH(Settings!$C$30&amp;"|"&amp;ROWS($X$2:$X45),'Per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IFERROR(MATCH(Settings!$C$30&amp;"|"&amp;ROWS($X$2:$X46),'Per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IFERROR(MATCH(Settings!$C$30&amp;"|"&amp;ROWS($X$2:$X47),'Per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IFERROR(MATCH(Settings!$C$30&amp;"|"&amp;ROWS($X$2:$X48),'Per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IFERROR(MATCH(Settings!$C$30&amp;"|"&amp;ROWS($X$2:$X49),'Per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IFERROR(MATCH(Settings!$C$30&amp;"|"&amp;ROWS($X$2:$X50),'Per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IFERROR(MATCH(Settings!$C$30&amp;"|"&amp;ROWS($X$2:$X51),'Per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IFERROR(MATCH(Settings!$C$30&amp;"|"&amp;ROWS($X$2:$X52),'Per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IFERROR(MATCH(Settings!$C$30&amp;"|"&amp;ROWS($X$2:$X53),'Per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IFERROR(MATCH(Settings!$C$30&amp;"|"&amp;ROWS($X$2:$X54),'Per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IFERROR(MATCH(Settings!$C$30&amp;"|"&amp;ROWS($X$2:$X55),'Per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IFERROR(MATCH(Settings!$C$30&amp;"|"&amp;ROWS($X$2:$X56),'Per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IFERROR(MATCH(Settings!$C$30&amp;"|"&amp;ROWS($X$2:$X57),'Per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IFERROR(MATCH(Settings!$C$30&amp;"|"&amp;ROWS($X$2:$X58),'Per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IFERROR(MATCH(Settings!$C$30&amp;"|"&amp;ROWS($X$2:$X59),'Per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IFERROR(MATCH(Settings!$C$30&amp;"|"&amp;ROWS($X$2:$X60),'Per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IFERROR(MATCH(Settings!$C$30&amp;"|"&amp;ROWS($X$2:$X61),'Per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IFERROR(MATCH(Settings!$C$30&amp;"|"&amp;ROWS($X$2:$X62),'Per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IFERROR(MATCH(Settings!$C$30&amp;"|"&amp;ROWS($X$2:$X63),'Per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IFERROR(MATCH(Settings!$C$30&amp;"|"&amp;ROWS($X$2:$X64),'Per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IFERROR(MATCH(Settings!$C$30&amp;"|"&amp;ROWS($X$2:$X65),'Per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IFERROR(MATCH(Settings!$C$30&amp;"|"&amp;ROWS($X$2:$X66),'Per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IFERROR(MATCH(Settings!$C$30&amp;"|"&amp;ROWS($X$2:$X67),'Per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IFERROR(MATCH(Settings!$C$30&amp;"|"&amp;ROWS($X$2:$X68),'Per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IFERROR(MATCH(Settings!$C$30&amp;"|"&amp;ROWS($X$2:$X69),'Per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IFERROR(MATCH(Settings!$C$30&amp;"|"&amp;ROWS($X$2:$X70),'Per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IFERROR(MATCH(Settings!$C$30&amp;"|"&amp;ROWS($X$2:$X71),'Per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IFERROR(MATCH(Settings!$C$30&amp;"|"&amp;ROWS($X$2:$X72),'Per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IFERROR(MATCH(Settings!$C$30&amp;"|"&amp;ROWS($X$2:$X73),'Per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IFERROR(MATCH(Settings!$C$30&amp;"|"&amp;ROWS($X$2:$X74),'Per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IFERROR(MATCH(Settings!$C$30&amp;"|"&amp;ROWS($X$2:$X75),'Per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IFERROR(MATCH(Settings!$C$30&amp;"|"&amp;ROWS($X$2:$X76),'Per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IFERROR(MATCH(Settings!$C$30&amp;"|"&amp;ROWS($X$2:$X77),'Per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IFERROR(MATCH(Settings!$C$30&amp;"|"&amp;ROWS($X$2:$X78),'Per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IFERROR(MATCH(Settings!$C$30&amp;"|"&amp;ROWS($X$2:$X79),'Per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IFERROR(MATCH(Settings!$C$30&amp;"|"&amp;ROWS($X$2:$X80),'Per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IFERROR(MATCH(Settings!$C$30&amp;"|"&amp;ROWS($X$2:$X81),'Per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IFERROR(MATCH(Settings!$C$30&amp;"|"&amp;ROWS($X$2:$X82),'Per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IFERROR(MATCH(Settings!$C$30&amp;"|"&amp;ROWS($X$2:$X83),'Per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IFERROR(MATCH(Settings!$C$30&amp;"|"&amp;ROWS($X$2:$X84),'Per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IFERROR(MATCH(Settings!$C$30&amp;"|"&amp;ROWS($X$2:$X85),'Per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IFERROR(MATCH(Settings!$C$30&amp;"|"&amp;ROWS($X$2:$X86),'Per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IFERROR(MATCH(Settings!$C$30&amp;"|"&amp;ROWS($X$2:$X87),'Per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IFERROR(MATCH(Settings!$C$30&amp;"|"&amp;ROWS($X$2:$X88),'Per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IFERROR(MATCH(Settings!$C$30&amp;"|"&amp;ROWS($X$2:$X89),'Per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IFERROR(MATCH(Settings!$C$30&amp;"|"&amp;ROWS($X$2:$X90),'Per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IFERROR(MATCH(Settings!$C$30&amp;"|"&amp;ROWS($X$2:$X91),'Per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IFERROR(MATCH(Settings!$C$30&amp;"|"&amp;ROWS($X$2:$X92),'Per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IFERROR(MATCH(Settings!$C$30&amp;"|"&amp;ROWS($X$2:$X93),'Per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IFERROR(MATCH(Settings!$C$30&amp;"|"&amp;ROWS($X$2:$X94),'Per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IFERROR(MATCH(Settings!$C$30&amp;"|"&amp;ROWS($X$2:$X95),'Per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IFERROR(MATCH(Settings!$C$30&amp;"|"&amp;ROWS($X$2:$X96),'Per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IFERROR(MATCH(Settings!$C$30&amp;"|"&amp;ROWS($X$2:$X97),'Per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IFERROR(MATCH(Settings!$C$30&amp;"|"&amp;ROWS($X$2:$X98),'Per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IFERROR(MATCH(Settings!$C$30&amp;"|"&amp;ROWS($X$2:$X99),'Per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IFERROR(MATCH(Settings!$C$30&amp;"|"&amp;ROWS($X$2:$X100),'Per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IFERROR(MATCH(Settings!$C$30&amp;"|"&amp;ROWS($X$2:$X101),'Per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IFERROR(MATCH(Settings!$C$30&amp;"|"&amp;ROWS($X$2:$X102),'Per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IFERROR(MATCH(Settings!$C$30&amp;"|"&amp;ROWS($X$2:$X103),'Per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IFERROR(MATCH(Settings!$C$30&amp;"|"&amp;ROWS($X$2:$X104),'Per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IFERROR(MATCH(Settings!$C$30&amp;"|"&amp;ROWS($X$2:$X105),'Per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IFERROR(MATCH(Settings!$C$30&amp;"|"&amp;ROWS($X$2:$X106),'Per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IFERROR(MATCH(Settings!$C$30&amp;"|"&amp;ROWS($X$2:$X107),'Per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IFERROR(MATCH(Settings!$C$30&amp;"|"&amp;ROWS($X$2:$X108),'Per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IFERROR(MATCH(Settings!$C$30&amp;"|"&amp;ROWS($X$2:$X109),'Per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IFERROR(MATCH(Settings!$C$30&amp;"|"&amp;ROWS($X$2:$X110),'Per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IFERROR(MATCH(Settings!$C$30&amp;"|"&amp;ROWS($X$2:$X111),'Per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IFERROR(MATCH(Settings!$C$30&amp;"|"&amp;ROWS($X$2:$X112),'Per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IFERROR(MATCH(Settings!$C$30&amp;"|"&amp;ROWS($X$2:$X113),'Per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IFERROR(MATCH(Settings!$C$30&amp;"|"&amp;ROWS($X$2:$X114),'Per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IFERROR(MATCH(Settings!$C$30&amp;"|"&amp;ROWS($X$2:$X115),'Per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IFERROR(MATCH(Settings!$C$30&amp;"|"&amp;ROWS($X$2:$X116),'Per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IFERROR(MATCH(Settings!$C$30&amp;"|"&amp;ROWS($X$2:$X117),'Per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IFERROR(MATCH(Settings!$C$30&amp;"|"&amp;ROWS($X$2:$X118),'Per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IFERROR(MATCH(Settings!$C$30&amp;"|"&amp;ROWS($X$2:$X119),'Per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IFERROR(MATCH(Settings!$C$30&amp;"|"&amp;ROWS($X$2:$X120),'Per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IFERROR(MATCH(Settings!$C$30&amp;"|"&amp;ROWS($X$2:$X121),'Per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IFERROR(MATCH(Settings!$C$30&amp;"|"&amp;ROWS($X$2:$X122),'Per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IFERROR(MATCH(Settings!$C$30&amp;"|"&amp;ROWS($X$2:$X123),'Per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IFERROR(MATCH(Settings!$C$30&amp;"|"&amp;ROWS($X$2:$X124),'Per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IFERROR(MATCH(Settings!$C$30&amp;"|"&amp;ROWS($X$2:$X125),'Per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IFERROR(MATCH(Settings!$C$30&amp;"|"&amp;ROWS($X$2:$X126),'Per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IFERROR(MATCH(Settings!$C$30&amp;"|"&amp;ROWS($X$2:$X127),'Per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IFERROR(MATCH(Settings!$C$30&amp;"|"&amp;ROWS($X$2:$X128),'Per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IFERROR(MATCH(Settings!$C$30&amp;"|"&amp;ROWS($X$2:$X129),'Per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IFERROR(MATCH(Settings!$C$30&amp;"|"&amp;ROWS($X$2:$X130),'Per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IFERROR(MATCH(Settings!$C$30&amp;"|"&amp;ROWS($X$2:$X131),'Per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IFERROR(MATCH(Settings!$C$30&amp;"|"&amp;ROWS($X$2:$X132),'Per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IFERROR(MATCH(Settings!$C$30&amp;"|"&amp;ROWS($X$2:$X133),'Per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IFERROR(MATCH(Settings!$C$30&amp;"|"&amp;ROWS($X$2:$X134),'Per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IFERROR(MATCH(Settings!$C$30&amp;"|"&amp;ROWS($X$2:$X135),'Per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IFERROR(MATCH(Settings!$C$30&amp;"|"&amp;ROWS($X$2:$X136),'Per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IFERROR(MATCH(Settings!$C$30&amp;"|"&amp;ROWS($X$2:$X137),'Per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IFERROR(MATCH(Settings!$C$30&amp;"|"&amp;ROWS($X$2:$X138),'Per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IFERROR(MATCH(Settings!$C$30&amp;"|"&amp;ROWS($X$2:$X139),'Per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IFERROR(MATCH(Settings!$C$30&amp;"|"&amp;ROWS($X$2:$X140),'Per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IFERROR(MATCH(Settings!$C$30&amp;"|"&amp;ROWS($X$2:$X141),'Per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IFERROR(MATCH(Settings!$C$30&amp;"|"&amp;ROWS($X$2:$X142),'Per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IFERROR(MATCH(Settings!$C$30&amp;"|"&amp;ROWS($X$2:$X143),'Per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IFERROR(MATCH(Settings!$C$30&amp;"|"&amp;ROWS($X$2:$X144),'Per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IFERROR(MATCH(Settings!$C$30&amp;"|"&amp;ROWS($X$2:$X145),'Per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IFERROR(MATCH(Settings!$C$30&amp;"|"&amp;ROWS($X$2:$X146),'Per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IFERROR(MATCH(Settings!$C$30&amp;"|"&amp;ROWS($X$2:$X147),'Per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IFERROR(MATCH(Settings!$C$30&amp;"|"&amp;ROWS($X$2:$X148),'Per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IFERROR(MATCH(Settings!$C$30&amp;"|"&amp;ROWS($X$2:$X149),'Per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IFERROR(MATCH(Settings!$C$30&amp;"|"&amp;ROWS($X$2:$X150),'Per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IFERROR(MATCH(Settings!$C$30&amp;"|"&amp;ROWS($X$2:$X151),'Per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IFERROR(MATCH(Settings!$C$30&amp;"|"&amp;ROWS($X$2:$X152),'Per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IFERROR(MATCH(Settings!$C$30&amp;"|"&amp;ROWS($X$2:$X153),'Per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IFERROR(MATCH(Settings!$C$30&amp;"|"&amp;ROWS($X$2:$X154),'Per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IFERROR(MATCH(Settings!$C$30&amp;"|"&amp;ROWS($X$2:$X155),'Per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IFERROR(MATCH(Settings!$C$30&amp;"|"&amp;ROWS($X$2:$X156),'Per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IFERROR(MATCH(Settings!$C$30&amp;"|"&amp;ROWS($X$2:$X157),'Per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IFERROR(MATCH(Settings!$C$30&amp;"|"&amp;ROWS($X$2:$X158),'Per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IFERROR(MATCH(Settings!$C$30&amp;"|"&amp;ROWS($X$2:$X159),'Per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IFERROR(MATCH(Settings!$C$30&amp;"|"&amp;ROWS($X$2:$X160),'Per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IFERROR(MATCH(Settings!$C$30&amp;"|"&amp;ROWS($X$2:$X161),'Per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IFERROR(MATCH(Settings!$C$30&amp;"|"&amp;ROWS($X$2:$X162),'Per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IFERROR(MATCH(Settings!$C$30&amp;"|"&amp;ROWS($X$2:$X163),'Per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IFERROR(MATCH(Settings!$C$30&amp;"|"&amp;ROWS($X$2:$X164),'Per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IFERROR(MATCH(Settings!$C$30&amp;"|"&amp;ROWS($X$2:$X165),'Per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IFERROR(MATCH(Settings!$C$30&amp;"|"&amp;ROWS($X$2:$X166),'Per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IFERROR(MATCH(Settings!$C$30&amp;"|"&amp;ROWS($X$2:$X167),'Per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IFERROR(MATCH(Settings!$C$30&amp;"|"&amp;ROWS($X$2:$X168),'Per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IFERROR(MATCH(Settings!$C$30&amp;"|"&amp;ROWS($X$2:$X169),'Per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IFERROR(MATCH(Settings!$C$30&amp;"|"&amp;ROWS($X$2:$X170),'Per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IFERROR(MATCH(Settings!$C$30&amp;"|"&amp;ROWS($X$2:$X171),'Per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IFERROR(MATCH(Settings!$C$30&amp;"|"&amp;ROWS($X$2:$X172),'Per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IFERROR(MATCH(Settings!$C$30&amp;"|"&amp;ROWS($X$2:$X173),'Per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IFERROR(MATCH(Settings!$C$30&amp;"|"&amp;ROWS($X$2:$X174),'Per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IFERROR(MATCH(Settings!$C$30&amp;"|"&amp;ROWS($X$2:$X175),'Per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IFERROR(MATCH(Settings!$C$30&amp;"|"&amp;ROWS($X$2:$X176),'Per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IFERROR(MATCH(Settings!$C$30&amp;"|"&amp;ROWS($X$2:$X177),'Per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IFERROR(MATCH(Settings!$C$30&amp;"|"&amp;ROWS($X$2:$X178),'Per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IFERROR(MATCH(Settings!$C$30&amp;"|"&amp;ROWS($X$2:$X179),'Per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IFERROR(MATCH(Settings!$C$30&amp;"|"&amp;ROWS($X$2:$X180),'Per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IFERROR(MATCH(Settings!$C$30&amp;"|"&amp;ROWS($X$2:$X181),'Per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IFERROR(MATCH(Settings!$C$30&amp;"|"&amp;ROWS($X$2:$X182),'Per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IFERROR(MATCH(Settings!$C$30&amp;"|"&amp;ROWS($X$2:$X183),'Per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IFERROR(MATCH(Settings!$C$30&amp;"|"&amp;ROWS($X$2:$X184),'Per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IFERROR(MATCH(Settings!$C$30&amp;"|"&amp;ROWS($X$2:$X185),'Per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IFERROR(MATCH(Settings!$C$30&amp;"|"&amp;ROWS($X$2:$X186),'Per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IFERROR(MATCH(Settings!$C$30&amp;"|"&amp;ROWS($X$2:$X187),'Per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IFERROR(MATCH(Settings!$C$30&amp;"|"&amp;ROWS($X$2:$X188),'Per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IFERROR(MATCH(Settings!$C$30&amp;"|"&amp;ROWS($X$2:$X189),'Per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IFERROR(MATCH(Settings!$C$30&amp;"|"&amp;ROWS($X$2:$X190),'Per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IFERROR(MATCH(Settings!$C$30&amp;"|"&amp;ROWS($X$2:$X191),'Per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IFERROR(MATCH(Settings!$C$30&amp;"|"&amp;ROWS($X$2:$X192),'Per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IFERROR(MATCH(Settings!$C$30&amp;"|"&amp;ROWS($X$2:$X193),'Per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IFERROR(MATCH(Settings!$C$30&amp;"|"&amp;ROWS($X$2:$X194),'Per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IFERROR(MATCH(Settings!$C$30&amp;"|"&amp;ROWS($X$2:$X195),'Per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IFERROR(MATCH(Settings!$C$30&amp;"|"&amp;ROWS($X$2:$X196),'Per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IFERROR(MATCH(Settings!$C$30&amp;"|"&amp;ROWS($X$2:$X197),'Per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IFERROR(MATCH(Settings!$C$30&amp;"|"&amp;ROWS($X$2:$X198),'Per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IFERROR(MATCH(Settings!$C$30&amp;"|"&amp;ROWS($X$2:$X199),'Per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IFERROR(MATCH(Settings!$C$30&amp;"|"&amp;ROWS($X$2:$X200),'Per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IFERROR(MATCH(Settings!$C$30&amp;"|"&amp;ROWS($X$2:$X201),'Per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IFERROR(MATCH(Settings!$C$30&amp;"|"&amp;ROWS($X$2:$X202),'Per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IFERROR(MATCH(Settings!$C$30&amp;"|"&amp;ROWS($X$2:$X203),'Per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IFERROR(MATCH(Settings!$C$30&amp;"|"&amp;ROWS($X$2:$X204),'Per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IFERROR(MATCH(Settings!$C$30&amp;"|"&amp;ROWS($X$2:$X205),'Per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IFERROR(MATCH(Settings!$C$30&amp;"|"&amp;ROWS($X$2:$X206),'Per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IFERROR(MATCH(Settings!$C$30&amp;"|"&amp;ROWS($X$2:$X207),'Per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IFERROR(MATCH(Settings!$C$30&amp;"|"&amp;ROWS($X$2:$X208),'Per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IFERROR(MATCH(Settings!$C$30&amp;"|"&amp;ROWS($X$2:$X209),'Per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IFERROR(MATCH(Settings!$C$30&amp;"|"&amp;ROWS($X$2:$X210),'Per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IFERROR(MATCH(Settings!$C$30&amp;"|"&amp;ROWS($X$2:$X211),'Per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IFERROR(MATCH(Settings!$C$30&amp;"|"&amp;ROWS($X$2:$X212),'Per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IFERROR(MATCH(Settings!$C$30&amp;"|"&amp;ROWS($X$2:$X213),'Per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IFERROR(MATCH(Settings!$C$30&amp;"|"&amp;ROWS($X$2:$X214),'Per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IFERROR(MATCH(Settings!$C$30&amp;"|"&amp;ROWS($X$2:$X215),'Per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IFERROR(MATCH(Settings!$C$30&amp;"|"&amp;ROWS($X$2:$X216),'Per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IFERROR(MATCH(Settings!$C$30&amp;"|"&amp;ROWS($X$2:$X217),'Per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IFERROR(MATCH(Settings!$C$30&amp;"|"&amp;ROWS($X$2:$X218),'Per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IFERROR(MATCH(Settings!$C$30&amp;"|"&amp;ROWS($X$2:$X219),'Per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IFERROR(MATCH(Settings!$C$30&amp;"|"&amp;ROWS($X$2:$X220),'Per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IFERROR(MATCH(Settings!$C$30&amp;"|"&amp;ROWS($X$2:$X221),'Per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IFERROR(MATCH(Settings!$C$30&amp;"|"&amp;ROWS($X$2:$X222),'Per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IFERROR(MATCH(Settings!$C$30&amp;"|"&amp;ROWS($X$2:$X223),'Per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IFERROR(MATCH(Settings!$C$30&amp;"|"&amp;ROWS($X$2:$X224),'Per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IFERROR(MATCH(Settings!$C$30&amp;"|"&amp;ROWS($X$2:$X225),'Per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IFERROR(MATCH(Settings!$C$30&amp;"|"&amp;ROWS($X$2:$X226),'Per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IFERROR(MATCH(Settings!$C$30&amp;"|"&amp;ROWS($X$2:$X227),'Per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IFERROR(MATCH(Settings!$C$30&amp;"|"&amp;ROWS($X$2:$X228),'Per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IFERROR(MATCH(Settings!$C$30&amp;"|"&amp;ROWS($X$2:$X229),'Per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IFERROR(MATCH(Settings!$C$30&amp;"|"&amp;ROWS($X$2:$X230),'Per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IFERROR(MATCH(Settings!$C$30&amp;"|"&amp;ROWS($X$2:$X231),'Per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IFERROR(MATCH(Settings!$C$30&amp;"|"&amp;ROWS($X$2:$X232),'Per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IFERROR(MATCH(Settings!$C$30&amp;"|"&amp;ROWS($X$2:$X233),'Per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IFERROR(MATCH(Settings!$C$30&amp;"|"&amp;ROWS($X$2:$X234),'Per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IFERROR(MATCH(Settings!$C$30&amp;"|"&amp;ROWS($X$2:$X235),'Per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IFERROR(MATCH(Settings!$C$30&amp;"|"&amp;ROWS($X$2:$X236),'Per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IFERROR(MATCH(Settings!$C$30&amp;"|"&amp;ROWS($X$2:$X237),'Per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IFERROR(MATCH(Settings!$C$30&amp;"|"&amp;ROWS($X$2:$X238),'Per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IFERROR(MATCH(Settings!$C$30&amp;"|"&amp;ROWS($X$2:$X239),'Per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IFERROR(MATCH(Settings!$C$30&amp;"|"&amp;ROWS($X$2:$X240),'Per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IFERROR(MATCH(Settings!$C$30&amp;"|"&amp;ROWS($X$2:$X241),'Per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IFERROR(MATCH(Settings!$C$30&amp;"|"&amp;ROWS($X$2:$X242),'Per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IFERROR(MATCH(Settings!$C$30&amp;"|"&amp;ROWS($X$2:$X243),'Per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IFERROR(MATCH(Settings!$C$30&amp;"|"&amp;ROWS($X$2:$X244),'Per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IFERROR(MATCH(Settings!$C$30&amp;"|"&amp;ROWS($X$2:$X245),'Per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IFERROR(MATCH(Settings!$C$30&amp;"|"&amp;ROWS($X$2:$X246),'Per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IFERROR(MATCH(Settings!$C$30&amp;"|"&amp;ROWS($X$2:$X247),'Per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IFERROR(MATCH(Settings!$C$30&amp;"|"&amp;ROWS($X$2:$X248),'Per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IFERROR(MATCH(Settings!$C$30&amp;"|"&amp;ROWS($X$2:$X249),'Per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IFERROR(MATCH(Settings!$C$30&amp;"|"&amp;ROWS($X$2:$X250),'Per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IFERROR(MATCH(Settings!$C$30&amp;"|"&amp;ROWS($X$2:$X251),'Per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IFERROR(MATCH(Settings!$C$30&amp;"|"&amp;ROWS($X$2:$X252),'Per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IFERROR(MATCH(Settings!$C$30&amp;"|"&amp;ROWS($X$2:$X253),'Per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IFERROR(MATCH(Settings!$C$30&amp;"|"&amp;ROWS($X$2:$X254),'Per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IFERROR(MATCH(Settings!$C$30&amp;"|"&amp;ROWS($X$2:$X255),'Per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IFERROR(MATCH(Settings!$C$30&amp;"|"&amp;ROWS($X$2:$X256),'Per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IFERROR(MATCH(Settings!$C$30&amp;"|"&amp;ROWS($X$2:$X257),'Per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IFERROR(MATCH(Settings!$C$30&amp;"|"&amp;ROWS($X$2:$X258),'Per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IFERROR(MATCH(Settings!$C$30&amp;"|"&amp;ROWS($X$2:$X259),'Per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IFERROR(MATCH(Settings!$C$30&amp;"|"&amp;ROWS($X$2:$X260),'Per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IFERROR(MATCH(Settings!$C$30&amp;"|"&amp;ROWS($X$2:$X261),'Per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IFERROR(MATCH(Settings!$C$30&amp;"|"&amp;ROWS($X$2:$X262),'Per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IFERROR(MATCH(Settings!$C$30&amp;"|"&amp;ROWS($X$2:$X263),'Per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IFERROR(MATCH(Settings!$C$30&amp;"|"&amp;ROWS($X$2:$X264),'Per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IFERROR(MATCH(Settings!$C$30&amp;"|"&amp;ROWS($X$2:$X265),'Per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IFERROR(MATCH(Settings!$C$30&amp;"|"&amp;ROWS($X$2:$X266),'Per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IFERROR(MATCH(Settings!$C$30&amp;"|"&amp;ROWS($X$2:$X267),'Per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IFERROR(MATCH(Settings!$C$30&amp;"|"&amp;ROWS($X$2:$X268),'Per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IFERROR(MATCH(Settings!$C$30&amp;"|"&amp;ROWS($X$2:$X269),'Per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IFERROR(MATCH(Settings!$C$30&amp;"|"&amp;ROWS($X$2:$X270),'Per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IFERROR(MATCH(Settings!$C$30&amp;"|"&amp;ROWS($X$2:$X271),'Per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IFERROR(MATCH(Settings!$C$30&amp;"|"&amp;ROWS($X$2:$X272),'Per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IFERROR(MATCH(Settings!$C$30&amp;"|"&amp;ROWS($X$2:$X273),'Per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IFERROR(MATCH(Settings!$C$30&amp;"|"&amp;ROWS($X$2:$X274),'Per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IFERROR(MATCH(Settings!$C$30&amp;"|"&amp;ROWS($X$2:$X275),'Per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IFERROR(MATCH(Settings!$C$30&amp;"|"&amp;ROWS($X$2:$X276),'Per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IFERROR(MATCH(Settings!$C$30&amp;"|"&amp;ROWS($X$2:$X277),'Per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IFERROR(MATCH(Settings!$C$30&amp;"|"&amp;ROWS($X$2:$X278),'Per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IFERROR(MATCH(Settings!$C$30&amp;"|"&amp;ROWS($X$2:$X279),'Per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IFERROR(MATCH(Settings!$C$30&amp;"|"&amp;ROWS($X$2:$X280),'Per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IFERROR(MATCH(Settings!$C$30&amp;"|"&amp;ROWS($X$2:$X281),'Per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IFERROR(MATCH(Settings!$C$30&amp;"|"&amp;ROWS($X$2:$X282),'Per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IFERROR(MATCH(Settings!$C$30&amp;"|"&amp;ROWS($X$2:$X283),'Per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IFERROR(MATCH(Settings!$C$30&amp;"|"&amp;ROWS($X$2:$X284),'Per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IFERROR(MATCH(Settings!$C$30&amp;"|"&amp;ROWS($X$2:$X285),'Per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IFERROR(MATCH(Settings!$C$30&amp;"|"&amp;ROWS($X$2:$X286),'Per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IFERROR(MATCH(Settings!$C$30&amp;"|"&amp;ROWS($X$2:$X287),'Per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IFERROR(MATCH(Settings!$C$30&amp;"|"&amp;ROWS($X$2:$X288),'Per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IFERROR(MATCH(Settings!$C$30&amp;"|"&amp;ROWS($X$2:$X289),'Per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IFERROR(MATCH(Settings!$C$30&amp;"|"&amp;ROWS($X$2:$X290),'Per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IFERROR(MATCH(Settings!$C$30&amp;"|"&amp;ROWS($X$2:$X291),'Per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IFERROR(MATCH(Settings!$C$30&amp;"|"&amp;ROWS($X$2:$X292),'Per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IFERROR(MATCH(Settings!$C$30&amp;"|"&amp;ROWS($X$2:$X293),'Per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IFERROR(MATCH(Settings!$C$30&amp;"|"&amp;ROWS($X$2:$X294),'Per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IFERROR(MATCH(Settings!$C$30&amp;"|"&amp;ROWS($X$2:$X295),'Per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IFERROR(MATCH(Settings!$C$30&amp;"|"&amp;ROWS($X$2:$X296),'Per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IFERROR(MATCH(Settings!$C$30&amp;"|"&amp;ROWS($X$2:$X297),'Per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IFERROR(MATCH(Settings!$C$30&amp;"|"&amp;ROWS($X$2:$X298),'Per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IFERROR(MATCH(Settings!$C$30&amp;"|"&amp;ROWS($X$2:$X299),'Per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IFERROR(MATCH(Settings!$C$30&amp;"|"&amp;ROWS($X$2:$X300),'Per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IFERROR(MATCH(Settings!$C$30&amp;"|"&amp;ROWS($X$2:$X301),'Per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IFERROR(MATCH(Settings!$C$30&amp;"|"&amp;ROWS($X$2:$X302),'Per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IFERROR(MATCH(Settings!$C$30&amp;"|"&amp;ROWS($X$2:$X303),'Per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IFERROR(MATCH(Settings!$C$30&amp;"|"&amp;ROWS($X$2:$X304),'Per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IFERROR(MATCH(Settings!$C$30&amp;"|"&amp;ROWS($X$2:$X305),'Per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IFERROR(MATCH(Settings!$C$30&amp;"|"&amp;ROWS($X$2:$X306),'Per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IFERROR(MATCH(Settings!$C$30&amp;"|"&amp;ROWS($X$2:$X307),'Per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IFERROR(MATCH(Settings!$C$30&amp;"|"&amp;ROWS($X$2:$X308),'Per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IFERROR(MATCH(Settings!$C$30&amp;"|"&amp;ROWS($X$2:$X309),'Per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IFERROR(MATCH(Settings!$C$30&amp;"|"&amp;ROWS($X$2:$X310),'Per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IFERROR(MATCH(Settings!$C$30&amp;"|"&amp;ROWS($X$2:$X311),'Per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IFERROR(MATCH(Settings!$C$30&amp;"|"&amp;ROWS($X$2:$X312),'Per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IFERROR(MATCH(Settings!$C$30&amp;"|"&amp;ROWS($X$2:$X313),'Per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IFERROR(MATCH(Settings!$C$30&amp;"|"&amp;ROWS($X$2:$X314),'Per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IFERROR(MATCH(Settings!$C$30&amp;"|"&amp;ROWS($X$2:$X315),'Per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IFERROR(MATCH(Settings!$C$30&amp;"|"&amp;ROWS($X$2:$X316),'Per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IFERROR(MATCH(Settings!$C$30&amp;"|"&amp;ROWS($X$2:$X317),'Per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IFERROR(MATCH(Settings!$C$30&amp;"|"&amp;ROWS($X$2:$X318),'Per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IFERROR(MATCH(Settings!$C$30&amp;"|"&amp;ROWS($X$2:$X319),'Per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IFERROR(MATCH(Settings!$C$30&amp;"|"&amp;ROWS($X$2:$X320),'Per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IFERROR(MATCH(Settings!$C$30&amp;"|"&amp;ROWS($X$2:$X321),'Per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IFERROR(MATCH(Settings!$C$30&amp;"|"&amp;ROWS($X$2:$X322),'Per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IFERROR(MATCH(Settings!$C$30&amp;"|"&amp;ROWS($X$2:$X323),'Per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IFERROR(MATCH(Settings!$C$30&amp;"|"&amp;ROWS($X$2:$X324),'Per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IFERROR(MATCH(Settings!$C$30&amp;"|"&amp;ROWS($X$2:$X325),'Per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IFERROR(MATCH(Settings!$C$30&amp;"|"&amp;ROWS($X$2:$X326),'Per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IFERROR(MATCH(Settings!$C$30&amp;"|"&amp;ROWS($X$2:$X327),'Per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IFERROR(MATCH(Settings!$C$30&amp;"|"&amp;ROWS($X$2:$X328),'Per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IFERROR(MATCH(Settings!$C$30&amp;"|"&amp;ROWS($X$2:$X329),'Per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IFERROR(MATCH(Settings!$C$30&amp;"|"&amp;ROWS($X$2:$X330),'Per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IFERROR(MATCH(Settings!$C$30&amp;"|"&amp;ROWS($X$2:$X331),'Per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IFERROR(MATCH(Settings!$C$30&amp;"|"&amp;ROWS($X$2:$X332),'Per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IFERROR(MATCH(Settings!$C$30&amp;"|"&amp;ROWS($X$2:$X333),'Per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IFERROR(MATCH(Settings!$C$30&amp;"|"&amp;ROWS($X$2:$X334),'Per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IFERROR(MATCH(Settings!$C$30&amp;"|"&amp;ROWS($X$2:$X335),'Per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IFERROR(MATCH(Settings!$C$30&amp;"|"&amp;ROWS($X$2:$X336),'Per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IFERROR(MATCH(Settings!$C$30&amp;"|"&amp;ROWS($X$2:$X337),'Per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IFERROR(MATCH(Settings!$C$30&amp;"|"&amp;ROWS($X$2:$X338),'Per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IFERROR(MATCH(Settings!$C$30&amp;"|"&amp;ROWS($X$2:$X339),'Per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IFERROR(MATCH(Settings!$C$30&amp;"|"&amp;ROWS($X$2:$X340),'Per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IFERROR(MATCH(Settings!$C$30&amp;"|"&amp;ROWS($X$2:$X341),'Per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IFERROR(MATCH(Settings!$C$30&amp;"|"&amp;ROWS($X$2:$X342),'Per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IFERROR(MATCH(Settings!$C$30&amp;"|"&amp;ROWS($X$2:$X343),'Per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IFERROR(MATCH(Settings!$C$30&amp;"|"&amp;ROWS($X$2:$X344),'Per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IFERROR(MATCH(Settings!$C$30&amp;"|"&amp;ROWS($X$2:$X345),'Per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IFERROR(MATCH(Settings!$C$30&amp;"|"&amp;ROWS($X$2:$X346),'Per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IFERROR(MATCH(Settings!$C$30&amp;"|"&amp;ROWS($X$2:$X347),'Per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IFERROR(MATCH(Settings!$C$30&amp;"|"&amp;ROWS($X$2:$X348),'Per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IFERROR(MATCH(Settings!$C$30&amp;"|"&amp;ROWS($X$2:$X349),'Per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IFERROR(MATCH(Settings!$C$30&amp;"|"&amp;ROWS($X$2:$X350),'Per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IFERROR(MATCH(Settings!$C$30&amp;"|"&amp;ROWS($X$2:$X351),'Per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IFERROR(MATCH(Settings!$C$30&amp;"|"&amp;ROWS($X$2:$X352),'Per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IFERROR(MATCH(Settings!$C$30&amp;"|"&amp;ROWS($X$2:$X353),'Per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IFERROR(MATCH(Settings!$C$30&amp;"|"&amp;ROWS($X$2:$X354),'Per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IFERROR(MATCH(Settings!$C$30&amp;"|"&amp;ROWS($X$2:$X355),'Per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IFERROR(MATCH(Settings!$C$30&amp;"|"&amp;ROWS($X$2:$X356),'Per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IFERROR(MATCH(Settings!$C$30&amp;"|"&amp;ROWS($X$2:$X357),'Per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IFERROR(MATCH(Settings!$C$30&amp;"|"&amp;ROWS($X$2:$X358),'Per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IFERROR(MATCH(Settings!$C$30&amp;"|"&amp;ROWS($X$2:$X359),'Per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IFERROR(MATCH(Settings!$C$30&amp;"|"&amp;ROWS($X$2:$X360),'Per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IFERROR(MATCH(Settings!$C$30&amp;"|"&amp;ROWS($X$2:$X361),'Per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IFERROR(MATCH(Settings!$C$30&amp;"|"&amp;ROWS($X$2:$X362),'Per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IFERROR(MATCH(Settings!$C$30&amp;"|"&amp;ROWS($X$2:$X363),'Per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IFERROR(MATCH(Settings!$C$30&amp;"|"&amp;ROWS($X$2:$X364),'Per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IFERROR(MATCH(Settings!$C$30&amp;"|"&amp;ROWS($X$2:$X365),'Per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IFERROR(MATCH(Settings!$C$30&amp;"|"&amp;ROWS($X$2:$X366),'Per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IFERROR(MATCH(Settings!$C$30&amp;"|"&amp;ROWS($X$2:$X367),'Per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IFERROR(MATCH(Settings!$C$30&amp;"|"&amp;ROWS($X$2:$X368),'Per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IFERROR(MATCH(Settings!$C$30&amp;"|"&amp;ROWS($X$2:$X369),'Per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IFERROR(MATCH(Settings!$C$30&amp;"|"&amp;ROWS($X$2:$X370),'Per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IFERROR(MATCH(Settings!$C$30&amp;"|"&amp;ROWS($X$2:$X371),'Per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IFERROR(MATCH(Settings!$C$30&amp;"|"&amp;ROWS($X$2:$X372),'Per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IFERROR(MATCH(Settings!$C$30&amp;"|"&amp;ROWS($X$2:$X373),'Per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IFERROR(MATCH(Settings!$C$30&amp;"|"&amp;ROWS($X$2:$X374),'Per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IFERROR(MATCH(Settings!$C$30&amp;"|"&amp;ROWS($X$2:$X375),'Per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IFERROR(MATCH(Settings!$C$30&amp;"|"&amp;ROWS($X$2:$X376),'Per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IFERROR(MATCH(Settings!$C$30&amp;"|"&amp;ROWS($X$2:$X377),'Per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IFERROR(MATCH(Settings!$C$30&amp;"|"&amp;ROWS($X$2:$X378),'Per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IFERROR(MATCH(Settings!$C$30&amp;"|"&amp;ROWS($X$2:$X379),'Per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IFERROR(MATCH(Settings!$C$30&amp;"|"&amp;ROWS($X$2:$X380),'Per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IFERROR(MATCH(Settings!$C$30&amp;"|"&amp;ROWS($X$2:$X381),'Per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IFERROR(MATCH(Settings!$C$30&amp;"|"&amp;ROWS($X$2:$X382),'Per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IFERROR(MATCH(Settings!$C$30&amp;"|"&amp;ROWS($X$2:$X383),'Per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IFERROR(MATCH(Settings!$C$30&amp;"|"&amp;ROWS($X$2:$X384),'Per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IFERROR(MATCH(Settings!$C$30&amp;"|"&amp;ROWS($X$2:$X385),'Per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IFERROR(MATCH(Settings!$C$30&amp;"|"&amp;ROWS($X$2:$X386),'Per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IFERROR(MATCH(Settings!$C$30&amp;"|"&amp;ROWS($X$2:$X387),'Per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IFERROR(MATCH(Settings!$C$30&amp;"|"&amp;ROWS($X$2:$X388),'Per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IFERROR(MATCH(Settings!$C$30&amp;"|"&amp;ROWS($X$2:$X389),'Per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IFERROR(MATCH(Settings!$C$30&amp;"|"&amp;ROWS($X$2:$X390),'Per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IFERROR(MATCH(Settings!$C$30&amp;"|"&amp;ROWS($X$2:$X391),'Per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IFERROR(MATCH(Settings!$C$30&amp;"|"&amp;ROWS($X$2:$X392),'Per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IFERROR(MATCH(Settings!$C$30&amp;"|"&amp;ROWS($X$2:$X393),'Per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IFERROR(MATCH(Settings!$C$30&amp;"|"&amp;ROWS($X$2:$X394),'Per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IFERROR(MATCH(Settings!$C$30&amp;"|"&amp;ROWS($X$2:$X395),'Per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IFERROR(MATCH(Settings!$C$30&amp;"|"&amp;ROWS($X$2:$X396),'Per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IFERROR(MATCH(Settings!$C$30&amp;"|"&amp;ROWS($X$2:$X397),'Per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IFERROR(MATCH(Settings!$C$30&amp;"|"&amp;ROWS($X$2:$X398),'Per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IFERROR(MATCH(Settings!$C$30&amp;"|"&amp;ROWS($X$2:$X399),'Per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IFERROR(MATCH(Settings!$C$30&amp;"|"&amp;ROWS($X$2:$X400),'Per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IFERROR(MATCH(Settings!$C$30&amp;"|"&amp;ROWS($X$2:$X401),'Per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IFERROR(MATCH(Settings!$C$31&amp;"|"&amp;ROWS($X$2:$X2),'Per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IFERROR(MATCH(Settings!$C$31&amp;"|"&amp;ROWS($X$2:$X3),'Per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IFERROR(MATCH(Settings!$C$31&amp;"|"&amp;ROWS($X$2:$X4),'Per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IFERROR(MATCH(Settings!$C$31&amp;"|"&amp;ROWS($X$2:$X5),'Per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IFERROR(MATCH(Settings!$C$31&amp;"|"&amp;ROWS($X$2:$X6),'Per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IFERROR(MATCH(Settings!$C$31&amp;"|"&amp;ROWS($X$2:$X7),'Per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IFERROR(MATCH(Settings!$C$31&amp;"|"&amp;ROWS($X$2:$X8),'Per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IFERROR(MATCH(Settings!$C$31&amp;"|"&amp;ROWS($X$2:$X9),'Per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IFERROR(MATCH(Settings!$C$31&amp;"|"&amp;ROWS($X$2:$X10),'Per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IFERROR(MATCH(Settings!$C$31&amp;"|"&amp;ROWS($X$2:$X11),'Per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IFERROR(MATCH(Settings!$C$31&amp;"|"&amp;ROWS($X$2:$X12),'Per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IFERROR(MATCH(Settings!$C$31&amp;"|"&amp;ROWS($X$2:$X13),'Per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IFERROR(MATCH(Settings!$C$31&amp;"|"&amp;ROWS($X$2:$X14),'Per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IFERROR(MATCH(Settings!$C$31&amp;"|"&amp;ROWS($X$2:$X15),'Per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IFERROR(MATCH(Settings!$C$31&amp;"|"&amp;ROWS($X$2:$X16),'Per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IFERROR(MATCH(Settings!$C$31&amp;"|"&amp;ROWS($X$2:$X17),'Per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IFERROR(MATCH(Settings!$C$31&amp;"|"&amp;ROWS($X$2:$X18),'Per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IFERROR(MATCH(Settings!$C$31&amp;"|"&amp;ROWS($X$2:$X19),'Per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IFERROR(MATCH(Settings!$C$31&amp;"|"&amp;ROWS($X$2:$X20),'Per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IFERROR(MATCH(Settings!$C$31&amp;"|"&amp;ROWS($X$2:$X21),'Per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IFERROR(MATCH(Settings!$C$31&amp;"|"&amp;ROWS($X$2:$X22),'Per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IFERROR(MATCH(Settings!$C$31&amp;"|"&amp;ROWS($X$2:$X23),'Per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IFERROR(MATCH(Settings!$C$31&amp;"|"&amp;ROWS($X$2:$X24),'Per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IFERROR(MATCH(Settings!$C$31&amp;"|"&amp;ROWS($X$2:$X25),'Per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IFERROR(MATCH(Settings!$C$31&amp;"|"&amp;ROWS($X$2:$X26),'Per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IFERROR(MATCH(Settings!$C$31&amp;"|"&amp;ROWS($X$2:$X27),'Per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IFERROR(MATCH(Settings!$C$31&amp;"|"&amp;ROWS($X$2:$X28),'Per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IFERROR(MATCH(Settings!$C$31&amp;"|"&amp;ROWS($X$2:$X29),'Per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IFERROR(MATCH(Settings!$C$31&amp;"|"&amp;ROWS($X$2:$X30),'Per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IFERROR(MATCH(Settings!$C$31&amp;"|"&amp;ROWS($X$2:$X31),'Per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IFERROR(MATCH(Settings!$C$31&amp;"|"&amp;ROWS($X$2:$X32),'Per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IFERROR(MATCH(Settings!$C$31&amp;"|"&amp;ROWS($X$2:$X33),'Per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IFERROR(MATCH(Settings!$C$31&amp;"|"&amp;ROWS($X$2:$X34),'Per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IFERROR(MATCH(Settings!$C$31&amp;"|"&amp;ROWS($X$2:$X35),'Per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IFERROR(MATCH(Settings!$C$31&amp;"|"&amp;ROWS($X$2:$X36),'Per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IFERROR(MATCH(Settings!$C$31&amp;"|"&amp;ROWS($X$2:$X37),'Per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IFERROR(MATCH(Settings!$C$31&amp;"|"&amp;ROWS($X$2:$X38),'Per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IFERROR(MATCH(Settings!$C$31&amp;"|"&amp;ROWS($X$2:$X39),'Per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IFERROR(MATCH(Settings!$C$31&amp;"|"&amp;ROWS($X$2:$X40),'Per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IFERROR(MATCH(Settings!$C$31&amp;"|"&amp;ROWS($X$2:$X41),'Per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IFERROR(MATCH(Settings!$C$31&amp;"|"&amp;ROWS($X$2:$X42),'Per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IFERROR(MATCH(Settings!$C$31&amp;"|"&amp;ROWS($X$2:$X43),'Per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IFERROR(MATCH(Settings!$C$31&amp;"|"&amp;ROWS($X$2:$X44),'Per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IFERROR(MATCH(Settings!$C$31&amp;"|"&amp;ROWS($X$2:$X45),'Per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IFERROR(MATCH(Settings!$C$31&amp;"|"&amp;ROWS($X$2:$X46),'Per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IFERROR(MATCH(Settings!$C$31&amp;"|"&amp;ROWS($X$2:$X47),'Per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IFERROR(MATCH(Settings!$C$31&amp;"|"&amp;ROWS($X$2:$X48),'Per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IFERROR(MATCH(Settings!$C$31&amp;"|"&amp;ROWS($X$2:$X49),'Per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IFERROR(MATCH(Settings!$C$31&amp;"|"&amp;ROWS($X$2:$X50),'Per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IFERROR(MATCH(Settings!$C$31&amp;"|"&amp;ROWS($X$2:$X51),'Per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IFERROR(MATCH(Settings!$C$31&amp;"|"&amp;ROWS($X$2:$X52),'Per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IFERROR(MATCH(Settings!$C$31&amp;"|"&amp;ROWS($X$2:$X53),'Per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IFERROR(MATCH(Settings!$C$31&amp;"|"&amp;ROWS($X$2:$X54),'Per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IFERROR(MATCH(Settings!$C$31&amp;"|"&amp;ROWS($X$2:$X55),'Per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IFERROR(MATCH(Settings!$C$31&amp;"|"&amp;ROWS($X$2:$X56),'Per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IFERROR(MATCH(Settings!$C$31&amp;"|"&amp;ROWS($X$2:$X57),'Per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IFERROR(MATCH(Settings!$C$31&amp;"|"&amp;ROWS($X$2:$X58),'Per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IFERROR(MATCH(Settings!$C$31&amp;"|"&amp;ROWS($X$2:$X59),'Per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IFERROR(MATCH(Settings!$C$31&amp;"|"&amp;ROWS($X$2:$X60),'Per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IFERROR(MATCH(Settings!$C$31&amp;"|"&amp;ROWS($X$2:$X61),'Per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IFERROR(MATCH(Settings!$C$31&amp;"|"&amp;ROWS($X$2:$X62),'Per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IFERROR(MATCH(Settings!$C$31&amp;"|"&amp;ROWS($X$2:$X63),'Per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IFERROR(MATCH(Settings!$C$31&amp;"|"&amp;ROWS($X$2:$X64),'Per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IFERROR(MATCH(Settings!$C$31&amp;"|"&amp;ROWS($X$2:$X65),'Per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IFERROR(MATCH(Settings!$C$31&amp;"|"&amp;ROWS($X$2:$X66),'Per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IFERROR(MATCH(Settings!$C$31&amp;"|"&amp;ROWS($X$2:$X67),'Per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IFERROR(MATCH(Settings!$C$31&amp;"|"&amp;ROWS($X$2:$X68),'Per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IFERROR(MATCH(Settings!$C$31&amp;"|"&amp;ROWS($X$2:$X69),'Per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IFERROR(MATCH(Settings!$C$31&amp;"|"&amp;ROWS($X$2:$X70),'Per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IFERROR(MATCH(Settings!$C$31&amp;"|"&amp;ROWS($X$2:$X71),'Per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IFERROR(MATCH(Settings!$C$31&amp;"|"&amp;ROWS($X$2:$X72),'Per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IFERROR(MATCH(Settings!$C$31&amp;"|"&amp;ROWS($X$2:$X73),'Per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IFERROR(MATCH(Settings!$C$31&amp;"|"&amp;ROWS($X$2:$X74),'Per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IFERROR(MATCH(Settings!$C$31&amp;"|"&amp;ROWS($X$2:$X75),'Per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IFERROR(MATCH(Settings!$C$31&amp;"|"&amp;ROWS($X$2:$X76),'Per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IFERROR(MATCH(Settings!$C$31&amp;"|"&amp;ROWS($X$2:$X77),'Per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IFERROR(MATCH(Settings!$C$31&amp;"|"&amp;ROWS($X$2:$X78),'Per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IFERROR(MATCH(Settings!$C$31&amp;"|"&amp;ROWS($X$2:$X79),'Per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IFERROR(MATCH(Settings!$C$31&amp;"|"&amp;ROWS($X$2:$X80),'Per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IFERROR(MATCH(Settings!$C$31&amp;"|"&amp;ROWS($X$2:$X81),'Per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IFERROR(MATCH(Settings!$C$31&amp;"|"&amp;ROWS($X$2:$X82),'Per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IFERROR(MATCH(Settings!$C$31&amp;"|"&amp;ROWS($X$2:$X83),'Per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IFERROR(MATCH(Settings!$C$31&amp;"|"&amp;ROWS($X$2:$X84),'Per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IFERROR(MATCH(Settings!$C$31&amp;"|"&amp;ROWS($X$2:$X85),'Per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IFERROR(MATCH(Settings!$C$31&amp;"|"&amp;ROWS($X$2:$X86),'Per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IFERROR(MATCH(Settings!$C$31&amp;"|"&amp;ROWS($X$2:$X87),'Per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IFERROR(MATCH(Settings!$C$31&amp;"|"&amp;ROWS($X$2:$X88),'Per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IFERROR(MATCH(Settings!$C$31&amp;"|"&amp;ROWS($X$2:$X89),'Per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IFERROR(MATCH(Settings!$C$31&amp;"|"&amp;ROWS($X$2:$X90),'Per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IFERROR(MATCH(Settings!$C$31&amp;"|"&amp;ROWS($X$2:$X91),'Per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IFERROR(MATCH(Settings!$C$31&amp;"|"&amp;ROWS($X$2:$X92),'Per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IFERROR(MATCH(Settings!$C$31&amp;"|"&amp;ROWS($X$2:$X93),'Per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IFERROR(MATCH(Settings!$C$31&amp;"|"&amp;ROWS($X$2:$X94),'Per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IFERROR(MATCH(Settings!$C$31&amp;"|"&amp;ROWS($X$2:$X95),'Per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IFERROR(MATCH(Settings!$C$31&amp;"|"&amp;ROWS($X$2:$X96),'Per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IFERROR(MATCH(Settings!$C$31&amp;"|"&amp;ROWS($X$2:$X97),'Per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IFERROR(MATCH(Settings!$C$31&amp;"|"&amp;ROWS($X$2:$X98),'Per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IFERROR(MATCH(Settings!$C$31&amp;"|"&amp;ROWS($X$2:$X99),'Per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IFERROR(MATCH(Settings!$C$31&amp;"|"&amp;ROWS($X$2:$X100),'Per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IFERROR(MATCH(Settings!$C$31&amp;"|"&amp;ROWS($X$2:$X101),'Per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IFERROR(MATCH(Settings!$C$31&amp;"|"&amp;ROWS($X$2:$X102),'Per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IFERROR(MATCH(Settings!$C$31&amp;"|"&amp;ROWS($X$2:$X103),'Per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IFERROR(MATCH(Settings!$C$31&amp;"|"&amp;ROWS($X$2:$X104),'Per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IFERROR(MATCH(Settings!$C$31&amp;"|"&amp;ROWS($X$2:$X105),'Per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IFERROR(MATCH(Settings!$C$31&amp;"|"&amp;ROWS($X$2:$X106),'Per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IFERROR(MATCH(Settings!$C$31&amp;"|"&amp;ROWS($X$2:$X107),'Per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IFERROR(MATCH(Settings!$C$31&amp;"|"&amp;ROWS($X$2:$X108),'Per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IFERROR(MATCH(Settings!$C$31&amp;"|"&amp;ROWS($X$2:$X109),'Per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IFERROR(MATCH(Settings!$C$31&amp;"|"&amp;ROWS($X$2:$X110),'Per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IFERROR(MATCH(Settings!$C$31&amp;"|"&amp;ROWS($X$2:$X111),'Per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IFERROR(MATCH(Settings!$C$31&amp;"|"&amp;ROWS($X$2:$X112),'Per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IFERROR(MATCH(Settings!$C$31&amp;"|"&amp;ROWS($X$2:$X113),'Per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IFERROR(MATCH(Settings!$C$31&amp;"|"&amp;ROWS($X$2:$X114),'Per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IFERROR(MATCH(Settings!$C$31&amp;"|"&amp;ROWS($X$2:$X115),'Per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IFERROR(MATCH(Settings!$C$31&amp;"|"&amp;ROWS($X$2:$X116),'Per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IFERROR(MATCH(Settings!$C$31&amp;"|"&amp;ROWS($X$2:$X117),'Per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IFERROR(MATCH(Settings!$C$31&amp;"|"&amp;ROWS($X$2:$X118),'Per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IFERROR(MATCH(Settings!$C$31&amp;"|"&amp;ROWS($X$2:$X119),'Per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IFERROR(MATCH(Settings!$C$31&amp;"|"&amp;ROWS($X$2:$X120),'Per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IFERROR(MATCH(Settings!$C$31&amp;"|"&amp;ROWS($X$2:$X121),'Per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IFERROR(MATCH(Settings!$C$31&amp;"|"&amp;ROWS($X$2:$X122),'Per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IFERROR(MATCH(Settings!$C$31&amp;"|"&amp;ROWS($X$2:$X123),'Per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IFERROR(MATCH(Settings!$C$31&amp;"|"&amp;ROWS($X$2:$X124),'Per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IFERROR(MATCH(Settings!$C$31&amp;"|"&amp;ROWS($X$2:$X125),'Per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IFERROR(MATCH(Settings!$C$31&amp;"|"&amp;ROWS($X$2:$X126),'Per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IFERROR(MATCH(Settings!$C$31&amp;"|"&amp;ROWS($X$2:$X127),'Per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IFERROR(MATCH(Settings!$C$31&amp;"|"&amp;ROWS($X$2:$X128),'Per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IFERROR(MATCH(Settings!$C$31&amp;"|"&amp;ROWS($X$2:$X129),'Per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IFERROR(MATCH(Settings!$C$31&amp;"|"&amp;ROWS($X$2:$X130),'Per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IFERROR(MATCH(Settings!$C$31&amp;"|"&amp;ROWS($X$2:$X131),'Per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IFERROR(MATCH(Settings!$C$31&amp;"|"&amp;ROWS($X$2:$X132),'Per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IFERROR(MATCH(Settings!$C$31&amp;"|"&amp;ROWS($X$2:$X133),'Per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IFERROR(MATCH(Settings!$C$31&amp;"|"&amp;ROWS($X$2:$X134),'Per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IFERROR(MATCH(Settings!$C$31&amp;"|"&amp;ROWS($X$2:$X135),'Per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IFERROR(MATCH(Settings!$C$31&amp;"|"&amp;ROWS($X$2:$X136),'Per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IFERROR(MATCH(Settings!$C$31&amp;"|"&amp;ROWS($X$2:$X137),'Per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IFERROR(MATCH(Settings!$C$31&amp;"|"&amp;ROWS($X$2:$X138),'Per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IFERROR(MATCH(Settings!$C$31&amp;"|"&amp;ROWS($X$2:$X139),'Per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IFERROR(MATCH(Settings!$C$31&amp;"|"&amp;ROWS($X$2:$X140),'Per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IFERROR(MATCH(Settings!$C$31&amp;"|"&amp;ROWS($X$2:$X141),'Per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IFERROR(MATCH(Settings!$C$31&amp;"|"&amp;ROWS($X$2:$X142),'Per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IFERROR(MATCH(Settings!$C$31&amp;"|"&amp;ROWS($X$2:$X143),'Per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IFERROR(MATCH(Settings!$C$31&amp;"|"&amp;ROWS($X$2:$X144),'Per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IFERROR(MATCH(Settings!$C$31&amp;"|"&amp;ROWS($X$2:$X145),'Per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IFERROR(MATCH(Settings!$C$31&amp;"|"&amp;ROWS($X$2:$X146),'Per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IFERROR(MATCH(Settings!$C$31&amp;"|"&amp;ROWS($X$2:$X147),'Per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IFERROR(MATCH(Settings!$C$31&amp;"|"&amp;ROWS($X$2:$X148),'Per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IFERROR(MATCH(Settings!$C$31&amp;"|"&amp;ROWS($X$2:$X149),'Per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IFERROR(MATCH(Settings!$C$31&amp;"|"&amp;ROWS($X$2:$X150),'Per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IFERROR(MATCH(Settings!$C$31&amp;"|"&amp;ROWS($X$2:$X151),'Per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IFERROR(MATCH(Settings!$C$31&amp;"|"&amp;ROWS($X$2:$X152),'Per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IFERROR(MATCH(Settings!$C$31&amp;"|"&amp;ROWS($X$2:$X153),'Per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IFERROR(MATCH(Settings!$C$31&amp;"|"&amp;ROWS($X$2:$X154),'Per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IFERROR(MATCH(Settings!$C$31&amp;"|"&amp;ROWS($X$2:$X155),'Per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IFERROR(MATCH(Settings!$C$31&amp;"|"&amp;ROWS($X$2:$X156),'Per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IFERROR(MATCH(Settings!$C$31&amp;"|"&amp;ROWS($X$2:$X157),'Per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IFERROR(MATCH(Settings!$C$31&amp;"|"&amp;ROWS($X$2:$X158),'Per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IFERROR(MATCH(Settings!$C$31&amp;"|"&amp;ROWS($X$2:$X159),'Per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IFERROR(MATCH(Settings!$C$31&amp;"|"&amp;ROWS($X$2:$X160),'Per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IFERROR(MATCH(Settings!$C$31&amp;"|"&amp;ROWS($X$2:$X161),'Per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IFERROR(MATCH(Settings!$C$31&amp;"|"&amp;ROWS($X$2:$X162),'Per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IFERROR(MATCH(Settings!$C$31&amp;"|"&amp;ROWS($X$2:$X163),'Per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IFERROR(MATCH(Settings!$C$31&amp;"|"&amp;ROWS($X$2:$X164),'Per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IFERROR(MATCH(Settings!$C$31&amp;"|"&amp;ROWS($X$2:$X165),'Per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IFERROR(MATCH(Settings!$C$31&amp;"|"&amp;ROWS($X$2:$X166),'Per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IFERROR(MATCH(Settings!$C$31&amp;"|"&amp;ROWS($X$2:$X167),'Per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IFERROR(MATCH(Settings!$C$31&amp;"|"&amp;ROWS($X$2:$X168),'Per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IFERROR(MATCH(Settings!$C$31&amp;"|"&amp;ROWS($X$2:$X169),'Per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IFERROR(MATCH(Settings!$C$31&amp;"|"&amp;ROWS($X$2:$X170),'Per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IFERROR(MATCH(Settings!$C$31&amp;"|"&amp;ROWS($X$2:$X171),'Per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IFERROR(MATCH(Settings!$C$31&amp;"|"&amp;ROWS($X$2:$X172),'Per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IFERROR(MATCH(Settings!$C$31&amp;"|"&amp;ROWS($X$2:$X173),'Per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IFERROR(MATCH(Settings!$C$31&amp;"|"&amp;ROWS($X$2:$X174),'Per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IFERROR(MATCH(Settings!$C$31&amp;"|"&amp;ROWS($X$2:$X175),'Per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IFERROR(MATCH(Settings!$C$31&amp;"|"&amp;ROWS($X$2:$X176),'Per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IFERROR(MATCH(Settings!$C$31&amp;"|"&amp;ROWS($X$2:$X177),'Per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IFERROR(MATCH(Settings!$C$31&amp;"|"&amp;ROWS($X$2:$X178),'Per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IFERROR(MATCH(Settings!$C$31&amp;"|"&amp;ROWS($X$2:$X179),'Per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IFERROR(MATCH(Settings!$C$31&amp;"|"&amp;ROWS($X$2:$X180),'Per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IFERROR(MATCH(Settings!$C$31&amp;"|"&amp;ROWS($X$2:$X181),'Per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IFERROR(MATCH(Settings!$C$31&amp;"|"&amp;ROWS($X$2:$X182),'Per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IFERROR(MATCH(Settings!$C$31&amp;"|"&amp;ROWS($X$2:$X183),'Per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IFERROR(MATCH(Settings!$C$31&amp;"|"&amp;ROWS($X$2:$X184),'Per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IFERROR(MATCH(Settings!$C$31&amp;"|"&amp;ROWS($X$2:$X185),'Per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IFERROR(MATCH(Settings!$C$31&amp;"|"&amp;ROWS($X$2:$X186),'Per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IFERROR(MATCH(Settings!$C$31&amp;"|"&amp;ROWS($X$2:$X187),'Per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IFERROR(MATCH(Settings!$C$31&amp;"|"&amp;ROWS($X$2:$X188),'Per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IFERROR(MATCH(Settings!$C$31&amp;"|"&amp;ROWS($X$2:$X189),'Per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IFERROR(MATCH(Settings!$C$31&amp;"|"&amp;ROWS($X$2:$X190),'Per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IFERROR(MATCH(Settings!$C$31&amp;"|"&amp;ROWS($X$2:$X191),'Per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IFERROR(MATCH(Settings!$C$31&amp;"|"&amp;ROWS($X$2:$X192),'Per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IFERROR(MATCH(Settings!$C$31&amp;"|"&amp;ROWS($X$2:$X193),'Per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IFERROR(MATCH(Settings!$C$31&amp;"|"&amp;ROWS($X$2:$X194),'Per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IFERROR(MATCH(Settings!$C$31&amp;"|"&amp;ROWS($X$2:$X195),'Per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IFERROR(MATCH(Settings!$C$31&amp;"|"&amp;ROWS($X$2:$X196),'Per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IFERROR(MATCH(Settings!$C$31&amp;"|"&amp;ROWS($X$2:$X197),'Per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IFERROR(MATCH(Settings!$C$31&amp;"|"&amp;ROWS($X$2:$X198),'Per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IFERROR(MATCH(Settings!$C$31&amp;"|"&amp;ROWS($X$2:$X199),'Per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IFERROR(MATCH(Settings!$C$31&amp;"|"&amp;ROWS($X$2:$X200),'Per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IFERROR(MATCH(Settings!$C$31&amp;"|"&amp;ROWS($X$2:$X201),'Per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IFERROR(MATCH(Settings!$C$31&amp;"|"&amp;ROWS($X$2:$X202),'Per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IFERROR(MATCH(Settings!$C$31&amp;"|"&amp;ROWS($X$2:$X203),'Per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IFERROR(MATCH(Settings!$C$31&amp;"|"&amp;ROWS($X$2:$X204),'Per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IFERROR(MATCH(Settings!$C$31&amp;"|"&amp;ROWS($X$2:$X205),'Per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IFERROR(MATCH(Settings!$C$31&amp;"|"&amp;ROWS($X$2:$X206),'Per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IFERROR(MATCH(Settings!$C$31&amp;"|"&amp;ROWS($X$2:$X207),'Per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IFERROR(MATCH(Settings!$C$31&amp;"|"&amp;ROWS($X$2:$X208),'Per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IFERROR(MATCH(Settings!$C$31&amp;"|"&amp;ROWS($X$2:$X209),'Per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IFERROR(MATCH(Settings!$C$31&amp;"|"&amp;ROWS($X$2:$X210),'Per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IFERROR(MATCH(Settings!$C$31&amp;"|"&amp;ROWS($X$2:$X211),'Per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IFERROR(MATCH(Settings!$C$31&amp;"|"&amp;ROWS($X$2:$X212),'Per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IFERROR(MATCH(Settings!$C$31&amp;"|"&amp;ROWS($X$2:$X213),'Per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IFERROR(MATCH(Settings!$C$31&amp;"|"&amp;ROWS($X$2:$X214),'Per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IFERROR(MATCH(Settings!$C$31&amp;"|"&amp;ROWS($X$2:$X215),'Per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IFERROR(MATCH(Settings!$C$31&amp;"|"&amp;ROWS($X$2:$X216),'Per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IFERROR(MATCH(Settings!$C$31&amp;"|"&amp;ROWS($X$2:$X217),'Per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IFERROR(MATCH(Settings!$C$31&amp;"|"&amp;ROWS($X$2:$X218),'Per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IFERROR(MATCH(Settings!$C$31&amp;"|"&amp;ROWS($X$2:$X219),'Per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IFERROR(MATCH(Settings!$C$31&amp;"|"&amp;ROWS($X$2:$X220),'Per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IFERROR(MATCH(Settings!$C$31&amp;"|"&amp;ROWS($X$2:$X221),'Per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IFERROR(MATCH(Settings!$C$31&amp;"|"&amp;ROWS($X$2:$X222),'Per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IFERROR(MATCH(Settings!$C$31&amp;"|"&amp;ROWS($X$2:$X223),'Per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IFERROR(MATCH(Settings!$C$31&amp;"|"&amp;ROWS($X$2:$X224),'Per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IFERROR(MATCH(Settings!$C$31&amp;"|"&amp;ROWS($X$2:$X225),'Per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IFERROR(MATCH(Settings!$C$31&amp;"|"&amp;ROWS($X$2:$X226),'Per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IFERROR(MATCH(Settings!$C$31&amp;"|"&amp;ROWS($X$2:$X227),'Per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IFERROR(MATCH(Settings!$C$31&amp;"|"&amp;ROWS($X$2:$X228),'Per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IFERROR(MATCH(Settings!$C$31&amp;"|"&amp;ROWS($X$2:$X229),'Per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IFERROR(MATCH(Settings!$C$31&amp;"|"&amp;ROWS($X$2:$X230),'Per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IFERROR(MATCH(Settings!$C$31&amp;"|"&amp;ROWS($X$2:$X231),'Per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IFERROR(MATCH(Settings!$C$31&amp;"|"&amp;ROWS($X$2:$X232),'Per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IFERROR(MATCH(Settings!$C$31&amp;"|"&amp;ROWS($X$2:$X233),'Per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IFERROR(MATCH(Settings!$C$31&amp;"|"&amp;ROWS($X$2:$X234),'Per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IFERROR(MATCH(Settings!$C$31&amp;"|"&amp;ROWS($X$2:$X235),'Per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IFERROR(MATCH(Settings!$C$31&amp;"|"&amp;ROWS($X$2:$X236),'Per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IFERROR(MATCH(Settings!$C$31&amp;"|"&amp;ROWS($X$2:$X237),'Per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IFERROR(MATCH(Settings!$C$31&amp;"|"&amp;ROWS($X$2:$X238),'Per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IFERROR(MATCH(Settings!$C$31&amp;"|"&amp;ROWS($X$2:$X239),'Per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IFERROR(MATCH(Settings!$C$31&amp;"|"&amp;ROWS($X$2:$X240),'Per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IFERROR(MATCH(Settings!$C$31&amp;"|"&amp;ROWS($X$2:$X241),'Per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IFERROR(MATCH(Settings!$C$31&amp;"|"&amp;ROWS($X$2:$X242),'Per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IFERROR(MATCH(Settings!$C$31&amp;"|"&amp;ROWS($X$2:$X243),'Per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IFERROR(MATCH(Settings!$C$31&amp;"|"&amp;ROWS($X$2:$X244),'Per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IFERROR(MATCH(Settings!$C$31&amp;"|"&amp;ROWS($X$2:$X245),'Per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IFERROR(MATCH(Settings!$C$31&amp;"|"&amp;ROWS($X$2:$X246),'Per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IFERROR(MATCH(Settings!$C$31&amp;"|"&amp;ROWS($X$2:$X247),'Per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IFERROR(MATCH(Settings!$C$31&amp;"|"&amp;ROWS($X$2:$X248),'Per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IFERROR(MATCH(Settings!$C$31&amp;"|"&amp;ROWS($X$2:$X249),'Per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IFERROR(MATCH(Settings!$C$31&amp;"|"&amp;ROWS($X$2:$X250),'Per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IFERROR(MATCH(Settings!$C$31&amp;"|"&amp;ROWS($X$2:$X251),'Per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IFERROR(MATCH(Settings!$C$31&amp;"|"&amp;ROWS($X$2:$X252),'Per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IFERROR(MATCH(Settings!$C$31&amp;"|"&amp;ROWS($X$2:$X253),'Per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IFERROR(MATCH(Settings!$C$31&amp;"|"&amp;ROWS($X$2:$X254),'Per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IFERROR(MATCH(Settings!$C$31&amp;"|"&amp;ROWS($X$2:$X255),'Per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IFERROR(MATCH(Settings!$C$31&amp;"|"&amp;ROWS($X$2:$X256),'Per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IFERROR(MATCH(Settings!$C$31&amp;"|"&amp;ROWS($X$2:$X257),'Per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IFERROR(MATCH(Settings!$C$31&amp;"|"&amp;ROWS($X$2:$X258),'Per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IFERROR(MATCH(Settings!$C$31&amp;"|"&amp;ROWS($X$2:$X259),'Per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IFERROR(MATCH(Settings!$C$31&amp;"|"&amp;ROWS($X$2:$X260),'Per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IFERROR(MATCH(Settings!$C$31&amp;"|"&amp;ROWS($X$2:$X261),'Per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IFERROR(MATCH(Settings!$C$31&amp;"|"&amp;ROWS($X$2:$X262),'Per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IFERROR(MATCH(Settings!$C$31&amp;"|"&amp;ROWS($X$2:$X263),'Per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IFERROR(MATCH(Settings!$C$31&amp;"|"&amp;ROWS($X$2:$X264),'Per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IFERROR(MATCH(Settings!$C$31&amp;"|"&amp;ROWS($X$2:$X265),'Per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IFERROR(MATCH(Settings!$C$31&amp;"|"&amp;ROWS($X$2:$X266),'Per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IFERROR(MATCH(Settings!$C$31&amp;"|"&amp;ROWS($X$2:$X267),'Per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IFERROR(MATCH(Settings!$C$31&amp;"|"&amp;ROWS($X$2:$X268),'Per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IFERROR(MATCH(Settings!$C$31&amp;"|"&amp;ROWS($X$2:$X269),'Per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IFERROR(MATCH(Settings!$C$31&amp;"|"&amp;ROWS($X$2:$X270),'Per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IFERROR(MATCH(Settings!$C$31&amp;"|"&amp;ROWS($X$2:$X271),'Per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IFERROR(MATCH(Settings!$C$31&amp;"|"&amp;ROWS($X$2:$X272),'Per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IFERROR(MATCH(Settings!$C$31&amp;"|"&amp;ROWS($X$2:$X273),'Per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IFERROR(MATCH(Settings!$C$31&amp;"|"&amp;ROWS($X$2:$X274),'Per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IFERROR(MATCH(Settings!$C$31&amp;"|"&amp;ROWS($X$2:$X275),'Per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IFERROR(MATCH(Settings!$C$31&amp;"|"&amp;ROWS($X$2:$X276),'Per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IFERROR(MATCH(Settings!$C$31&amp;"|"&amp;ROWS($X$2:$X277),'Per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IFERROR(MATCH(Settings!$C$31&amp;"|"&amp;ROWS($X$2:$X278),'Per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IFERROR(MATCH(Settings!$C$31&amp;"|"&amp;ROWS($X$2:$X279),'Per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IFERROR(MATCH(Settings!$C$31&amp;"|"&amp;ROWS($X$2:$X280),'Per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IFERROR(MATCH(Settings!$C$31&amp;"|"&amp;ROWS($X$2:$X281),'Per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IFERROR(MATCH(Settings!$C$31&amp;"|"&amp;ROWS($X$2:$X282),'Per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IFERROR(MATCH(Settings!$C$31&amp;"|"&amp;ROWS($X$2:$X283),'Per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IFERROR(MATCH(Settings!$C$31&amp;"|"&amp;ROWS($X$2:$X284),'Per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IFERROR(MATCH(Settings!$C$31&amp;"|"&amp;ROWS($X$2:$X285),'Per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IFERROR(MATCH(Settings!$C$31&amp;"|"&amp;ROWS($X$2:$X286),'Per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IFERROR(MATCH(Settings!$C$31&amp;"|"&amp;ROWS($X$2:$X287),'Per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IFERROR(MATCH(Settings!$C$31&amp;"|"&amp;ROWS($X$2:$X288),'Per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IFERROR(MATCH(Settings!$C$31&amp;"|"&amp;ROWS($X$2:$X289),'Per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IFERROR(MATCH(Settings!$C$31&amp;"|"&amp;ROWS($X$2:$X290),'Per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IFERROR(MATCH(Settings!$C$31&amp;"|"&amp;ROWS($X$2:$X291),'Per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IFERROR(MATCH(Settings!$C$31&amp;"|"&amp;ROWS($X$2:$X292),'Per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IFERROR(MATCH(Settings!$C$31&amp;"|"&amp;ROWS($X$2:$X293),'Per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IFERROR(MATCH(Settings!$C$31&amp;"|"&amp;ROWS($X$2:$X294),'Per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IFERROR(MATCH(Settings!$C$31&amp;"|"&amp;ROWS($X$2:$X295),'Per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IFERROR(MATCH(Settings!$C$31&amp;"|"&amp;ROWS($X$2:$X296),'Per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IFERROR(MATCH(Settings!$C$31&amp;"|"&amp;ROWS($X$2:$X297),'Per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IFERROR(MATCH(Settings!$C$31&amp;"|"&amp;ROWS($X$2:$X298),'Per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IFERROR(MATCH(Settings!$C$31&amp;"|"&amp;ROWS($X$2:$X299),'Per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IFERROR(MATCH(Settings!$C$31&amp;"|"&amp;ROWS($X$2:$X300),'Per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IFERROR(MATCH(Settings!$C$31&amp;"|"&amp;ROWS($X$2:$X301),'Per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IFERROR(MATCH(Settings!$C$31&amp;"|"&amp;ROWS($X$2:$X302),'Per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IFERROR(MATCH(Settings!$C$31&amp;"|"&amp;ROWS($X$2:$X303),'Per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IFERROR(MATCH(Settings!$C$31&amp;"|"&amp;ROWS($X$2:$X304),'Per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IFERROR(MATCH(Settings!$C$31&amp;"|"&amp;ROWS($X$2:$X305),'Per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IFERROR(MATCH(Settings!$C$31&amp;"|"&amp;ROWS($X$2:$X306),'Per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IFERROR(MATCH(Settings!$C$31&amp;"|"&amp;ROWS($X$2:$X307),'Per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IFERROR(MATCH(Settings!$C$31&amp;"|"&amp;ROWS($X$2:$X308),'Per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IFERROR(MATCH(Settings!$C$31&amp;"|"&amp;ROWS($X$2:$X309),'Per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IFERROR(MATCH(Settings!$C$31&amp;"|"&amp;ROWS($X$2:$X310),'Per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IFERROR(MATCH(Settings!$C$31&amp;"|"&amp;ROWS($X$2:$X311),'Per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IFERROR(MATCH(Settings!$C$31&amp;"|"&amp;ROWS($X$2:$X312),'Per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IFERROR(MATCH(Settings!$C$31&amp;"|"&amp;ROWS($X$2:$X313),'Per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IFERROR(MATCH(Settings!$C$31&amp;"|"&amp;ROWS($X$2:$X314),'Per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IFERROR(MATCH(Settings!$C$31&amp;"|"&amp;ROWS($X$2:$X315),'Per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IFERROR(MATCH(Settings!$C$31&amp;"|"&amp;ROWS($X$2:$X316),'Per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IFERROR(MATCH(Settings!$C$31&amp;"|"&amp;ROWS($X$2:$X317),'Per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IFERROR(MATCH(Settings!$C$31&amp;"|"&amp;ROWS($X$2:$X318),'Per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IFERROR(MATCH(Settings!$C$31&amp;"|"&amp;ROWS($X$2:$X319),'Per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IFERROR(MATCH(Settings!$C$31&amp;"|"&amp;ROWS($X$2:$X320),'Per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IFERROR(MATCH(Settings!$C$31&amp;"|"&amp;ROWS($X$2:$X321),'Per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IFERROR(MATCH(Settings!$C$31&amp;"|"&amp;ROWS($X$2:$X322),'Per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IFERROR(MATCH(Settings!$C$31&amp;"|"&amp;ROWS($X$2:$X323),'Per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IFERROR(MATCH(Settings!$C$31&amp;"|"&amp;ROWS($X$2:$X324),'Per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IFERROR(MATCH(Settings!$C$31&amp;"|"&amp;ROWS($X$2:$X325),'Per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IFERROR(MATCH(Settings!$C$31&amp;"|"&amp;ROWS($X$2:$X326),'Per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IFERROR(MATCH(Settings!$C$31&amp;"|"&amp;ROWS($X$2:$X327),'Per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IFERROR(MATCH(Settings!$C$31&amp;"|"&amp;ROWS($X$2:$X328),'Per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IFERROR(MATCH(Settings!$C$31&amp;"|"&amp;ROWS($X$2:$X329),'Per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IFERROR(MATCH(Settings!$C$31&amp;"|"&amp;ROWS($X$2:$X330),'Per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IFERROR(MATCH(Settings!$C$31&amp;"|"&amp;ROWS($X$2:$X331),'Per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IFERROR(MATCH(Settings!$C$31&amp;"|"&amp;ROWS($X$2:$X332),'Per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IFERROR(MATCH(Settings!$C$31&amp;"|"&amp;ROWS($X$2:$X333),'Per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IFERROR(MATCH(Settings!$C$31&amp;"|"&amp;ROWS($X$2:$X334),'Per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IFERROR(MATCH(Settings!$C$31&amp;"|"&amp;ROWS($X$2:$X335),'Per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IFERROR(MATCH(Settings!$C$31&amp;"|"&amp;ROWS($X$2:$X336),'Per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IFERROR(MATCH(Settings!$C$31&amp;"|"&amp;ROWS($X$2:$X337),'Per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IFERROR(MATCH(Settings!$C$31&amp;"|"&amp;ROWS($X$2:$X338),'Per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IFERROR(MATCH(Settings!$C$31&amp;"|"&amp;ROWS($X$2:$X339),'Per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IFERROR(MATCH(Settings!$C$31&amp;"|"&amp;ROWS($X$2:$X340),'Per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IFERROR(MATCH(Settings!$C$31&amp;"|"&amp;ROWS($X$2:$X341),'Per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IFERROR(MATCH(Settings!$C$31&amp;"|"&amp;ROWS($X$2:$X342),'Per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IFERROR(MATCH(Settings!$C$31&amp;"|"&amp;ROWS($X$2:$X343),'Per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IFERROR(MATCH(Settings!$C$31&amp;"|"&amp;ROWS($X$2:$X344),'Per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IFERROR(MATCH(Settings!$C$31&amp;"|"&amp;ROWS($X$2:$X345),'Per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IFERROR(MATCH(Settings!$C$31&amp;"|"&amp;ROWS($X$2:$X346),'Per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IFERROR(MATCH(Settings!$C$31&amp;"|"&amp;ROWS($X$2:$X347),'Per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IFERROR(MATCH(Settings!$C$31&amp;"|"&amp;ROWS($X$2:$X348),'Per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IFERROR(MATCH(Settings!$C$31&amp;"|"&amp;ROWS($X$2:$X349),'Per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IFERROR(MATCH(Settings!$C$31&amp;"|"&amp;ROWS($X$2:$X350),'Per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IFERROR(MATCH(Settings!$C$31&amp;"|"&amp;ROWS($X$2:$X351),'Per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IFERROR(MATCH(Settings!$C$31&amp;"|"&amp;ROWS($X$2:$X352),'Per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IFERROR(MATCH(Settings!$C$31&amp;"|"&amp;ROWS($X$2:$X353),'Per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IFERROR(MATCH(Settings!$C$31&amp;"|"&amp;ROWS($X$2:$X354),'Per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IFERROR(MATCH(Settings!$C$31&amp;"|"&amp;ROWS($X$2:$X355),'Per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IFERROR(MATCH(Settings!$C$31&amp;"|"&amp;ROWS($X$2:$X356),'Per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IFERROR(MATCH(Settings!$C$31&amp;"|"&amp;ROWS($X$2:$X357),'Per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IFERROR(MATCH(Settings!$C$31&amp;"|"&amp;ROWS($X$2:$X358),'Per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IFERROR(MATCH(Settings!$C$31&amp;"|"&amp;ROWS($X$2:$X359),'Per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IFERROR(MATCH(Settings!$C$31&amp;"|"&amp;ROWS($X$2:$X360),'Per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IFERROR(MATCH(Settings!$C$31&amp;"|"&amp;ROWS($X$2:$X361),'Per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IFERROR(MATCH(Settings!$C$31&amp;"|"&amp;ROWS($X$2:$X362),'Per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IFERROR(MATCH(Settings!$C$31&amp;"|"&amp;ROWS($X$2:$X363),'Per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IFERROR(MATCH(Settings!$C$31&amp;"|"&amp;ROWS($X$2:$X364),'Per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IFERROR(MATCH(Settings!$C$31&amp;"|"&amp;ROWS($X$2:$X365),'Per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IFERROR(MATCH(Settings!$C$31&amp;"|"&amp;ROWS($X$2:$X366),'Per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IFERROR(MATCH(Settings!$C$31&amp;"|"&amp;ROWS($X$2:$X367),'Per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IFERROR(MATCH(Settings!$C$31&amp;"|"&amp;ROWS($X$2:$X368),'Per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IFERROR(MATCH(Settings!$C$31&amp;"|"&amp;ROWS($X$2:$X369),'Per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IFERROR(MATCH(Settings!$C$31&amp;"|"&amp;ROWS($X$2:$X370),'Per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IFERROR(MATCH(Settings!$C$31&amp;"|"&amp;ROWS($X$2:$X371),'Per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IFERROR(MATCH(Settings!$C$31&amp;"|"&amp;ROWS($X$2:$X372),'Per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IFERROR(MATCH(Settings!$C$31&amp;"|"&amp;ROWS($X$2:$X373),'Per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IFERROR(MATCH(Settings!$C$31&amp;"|"&amp;ROWS($X$2:$X374),'Per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IFERROR(MATCH(Settings!$C$31&amp;"|"&amp;ROWS($X$2:$X375),'Per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IFERROR(MATCH(Settings!$C$31&amp;"|"&amp;ROWS($X$2:$X376),'Per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IFERROR(MATCH(Settings!$C$31&amp;"|"&amp;ROWS($X$2:$X377),'Per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IFERROR(MATCH(Settings!$C$31&amp;"|"&amp;ROWS($X$2:$X378),'Per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IFERROR(MATCH(Settings!$C$31&amp;"|"&amp;ROWS($X$2:$X379),'Per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IFERROR(MATCH(Settings!$C$31&amp;"|"&amp;ROWS($X$2:$X380),'Per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IFERROR(MATCH(Settings!$C$31&amp;"|"&amp;ROWS($X$2:$X381),'Per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IFERROR(MATCH(Settings!$C$31&amp;"|"&amp;ROWS($X$2:$X382),'Per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IFERROR(MATCH(Settings!$C$31&amp;"|"&amp;ROWS($X$2:$X383),'Per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IFERROR(MATCH(Settings!$C$31&amp;"|"&amp;ROWS($X$2:$X384),'Per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IFERROR(MATCH(Settings!$C$31&amp;"|"&amp;ROWS($X$2:$X385),'Per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IFERROR(MATCH(Settings!$C$31&amp;"|"&amp;ROWS($X$2:$X386),'Per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IFERROR(MATCH(Settings!$C$31&amp;"|"&amp;ROWS($X$2:$X387),'Per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IFERROR(MATCH(Settings!$C$31&amp;"|"&amp;ROWS($X$2:$X388),'Per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IFERROR(MATCH(Settings!$C$31&amp;"|"&amp;ROWS($X$2:$X389),'Per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IFERROR(MATCH(Settings!$C$31&amp;"|"&amp;ROWS($X$2:$X390),'Per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IFERROR(MATCH(Settings!$C$31&amp;"|"&amp;ROWS($X$2:$X391),'Per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IFERROR(MATCH(Settings!$C$31&amp;"|"&amp;ROWS($X$2:$X392),'Per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IFERROR(MATCH(Settings!$C$31&amp;"|"&amp;ROWS($X$2:$X393),'Per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IFERROR(MATCH(Settings!$C$31&amp;"|"&amp;ROWS($X$2:$X394),'Per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IFERROR(MATCH(Settings!$C$31&amp;"|"&amp;ROWS($X$2:$X395),'Per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IFERROR(MATCH(Settings!$C$31&amp;"|"&amp;ROWS($X$2:$X396),'Per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IFERROR(MATCH(Settings!$C$31&amp;"|"&amp;ROWS($X$2:$X397),'Per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IFERROR(MATCH(Settings!$C$31&amp;"|"&amp;ROWS($X$2:$X398),'Per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IFERROR(MATCH(Settings!$C$31&amp;"|"&amp;ROWS($X$2:$X399),'Per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IFERROR(MATCH(Settings!$C$31&amp;"|"&amp;ROWS($X$2:$X400),'Per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IFERROR(MATCH(Settings!$C$31&amp;"|"&amp;ROWS($X$2:$X401),'Per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IFERROR(MATCH(Settings!$C$32&amp;"|"&amp;ROWS($X$2:$X2),'Per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IFERROR(MATCH(Settings!$C$32&amp;"|"&amp;ROWS($X$2:$X3),'Per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IFERROR(MATCH(Settings!$C$32&amp;"|"&amp;ROWS($X$2:$X4),'Per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IFERROR(MATCH(Settings!$C$32&amp;"|"&amp;ROWS($X$2:$X5),'Per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IFERROR(MATCH(Settings!$C$32&amp;"|"&amp;ROWS($X$2:$X6),'Per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IFERROR(MATCH(Settings!$C$32&amp;"|"&amp;ROWS($X$2:$X7),'Per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IFERROR(MATCH(Settings!$C$32&amp;"|"&amp;ROWS($X$2:$X8),'Per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IFERROR(MATCH(Settings!$C$32&amp;"|"&amp;ROWS($X$2:$X9),'Per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IFERROR(MATCH(Settings!$C$32&amp;"|"&amp;ROWS($X$2:$X10),'Per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IFERROR(MATCH(Settings!$C$32&amp;"|"&amp;ROWS($X$2:$X11),'Per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IFERROR(MATCH(Settings!$C$32&amp;"|"&amp;ROWS($X$2:$X12),'Per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IFERROR(MATCH(Settings!$C$32&amp;"|"&amp;ROWS($X$2:$X13),'Per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IFERROR(MATCH(Settings!$C$32&amp;"|"&amp;ROWS($X$2:$X14),'Per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IFERROR(MATCH(Settings!$C$32&amp;"|"&amp;ROWS($X$2:$X15),'Per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IFERROR(MATCH(Settings!$C$32&amp;"|"&amp;ROWS($X$2:$X16),'Per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IFERROR(MATCH(Settings!$C$32&amp;"|"&amp;ROWS($X$2:$X17),'Per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IFERROR(MATCH(Settings!$C$32&amp;"|"&amp;ROWS($X$2:$X18),'Per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IFERROR(MATCH(Settings!$C$32&amp;"|"&amp;ROWS($X$2:$X19),'Per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IFERROR(MATCH(Settings!$C$32&amp;"|"&amp;ROWS($X$2:$X20),'Per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IFERROR(MATCH(Settings!$C$32&amp;"|"&amp;ROWS($X$2:$X21),'Per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IFERROR(MATCH(Settings!$C$32&amp;"|"&amp;ROWS($X$2:$X22),'Per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IFERROR(MATCH(Settings!$C$32&amp;"|"&amp;ROWS($X$2:$X23),'Per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IFERROR(MATCH(Settings!$C$32&amp;"|"&amp;ROWS($X$2:$X24),'Per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IFERROR(MATCH(Settings!$C$32&amp;"|"&amp;ROWS($X$2:$X25),'Per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IFERROR(MATCH(Settings!$C$32&amp;"|"&amp;ROWS($X$2:$X26),'Per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IFERROR(MATCH(Settings!$C$32&amp;"|"&amp;ROWS($X$2:$X27),'Per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IFERROR(MATCH(Settings!$C$32&amp;"|"&amp;ROWS($X$2:$X28),'Per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IFERROR(MATCH(Settings!$C$32&amp;"|"&amp;ROWS($X$2:$X29),'Per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IFERROR(MATCH(Settings!$C$32&amp;"|"&amp;ROWS($X$2:$X30),'Per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IFERROR(MATCH(Settings!$C$32&amp;"|"&amp;ROWS($X$2:$X31),'Per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IFERROR(MATCH(Settings!$C$32&amp;"|"&amp;ROWS($X$2:$X32),'Per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IFERROR(MATCH(Settings!$C$32&amp;"|"&amp;ROWS($X$2:$X33),'Per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IFERROR(MATCH(Settings!$C$32&amp;"|"&amp;ROWS($X$2:$X34),'Per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IFERROR(MATCH(Settings!$C$32&amp;"|"&amp;ROWS($X$2:$X35),'Per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IFERROR(MATCH(Settings!$C$32&amp;"|"&amp;ROWS($X$2:$X36),'Per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IFERROR(MATCH(Settings!$C$32&amp;"|"&amp;ROWS($X$2:$X37),'Per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IFERROR(MATCH(Settings!$C$32&amp;"|"&amp;ROWS($X$2:$X38),'Per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IFERROR(MATCH(Settings!$C$32&amp;"|"&amp;ROWS($X$2:$X39),'Per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IFERROR(MATCH(Settings!$C$32&amp;"|"&amp;ROWS($X$2:$X40),'Per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IFERROR(MATCH(Settings!$C$32&amp;"|"&amp;ROWS($X$2:$X41),'Per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IFERROR(MATCH(Settings!$C$32&amp;"|"&amp;ROWS($X$2:$X42),'Per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IFERROR(MATCH(Settings!$C$32&amp;"|"&amp;ROWS($X$2:$X43),'Per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IFERROR(MATCH(Settings!$C$32&amp;"|"&amp;ROWS($X$2:$X44),'Per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IFERROR(MATCH(Settings!$C$32&amp;"|"&amp;ROWS($X$2:$X45),'Per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IFERROR(MATCH(Settings!$C$32&amp;"|"&amp;ROWS($X$2:$X46),'Per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IFERROR(MATCH(Settings!$C$32&amp;"|"&amp;ROWS($X$2:$X47),'Per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IFERROR(MATCH(Settings!$C$32&amp;"|"&amp;ROWS($X$2:$X48),'Per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IFERROR(MATCH(Settings!$C$32&amp;"|"&amp;ROWS($X$2:$X49),'Per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IFERROR(MATCH(Settings!$C$32&amp;"|"&amp;ROWS($X$2:$X50),'Per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IFERROR(MATCH(Settings!$C$32&amp;"|"&amp;ROWS($X$2:$X51),'Per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IFERROR(MATCH(Settings!$C$32&amp;"|"&amp;ROWS($X$2:$X52),'Per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IFERROR(MATCH(Settings!$C$32&amp;"|"&amp;ROWS($X$2:$X53),'Per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IFERROR(MATCH(Settings!$C$32&amp;"|"&amp;ROWS($X$2:$X54),'Per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IFERROR(MATCH(Settings!$C$32&amp;"|"&amp;ROWS($X$2:$X55),'Per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IFERROR(MATCH(Settings!$C$32&amp;"|"&amp;ROWS($X$2:$X56),'Per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IFERROR(MATCH(Settings!$C$32&amp;"|"&amp;ROWS($X$2:$X57),'Per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IFERROR(MATCH(Settings!$C$32&amp;"|"&amp;ROWS($X$2:$X58),'Per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IFERROR(MATCH(Settings!$C$32&amp;"|"&amp;ROWS($X$2:$X59),'Per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IFERROR(MATCH(Settings!$C$32&amp;"|"&amp;ROWS($X$2:$X60),'Per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IFERROR(MATCH(Settings!$C$32&amp;"|"&amp;ROWS($X$2:$X61),'Per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IFERROR(MATCH(Settings!$C$32&amp;"|"&amp;ROWS($X$2:$X62),'Per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IFERROR(MATCH(Settings!$C$32&amp;"|"&amp;ROWS($X$2:$X63),'Per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IFERROR(MATCH(Settings!$C$32&amp;"|"&amp;ROWS($X$2:$X64),'Per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IFERROR(MATCH(Settings!$C$32&amp;"|"&amp;ROWS($X$2:$X65),'Per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IFERROR(MATCH(Settings!$C$32&amp;"|"&amp;ROWS($X$2:$X66),'Per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IFERROR(MATCH(Settings!$C$32&amp;"|"&amp;ROWS($X$2:$X67),'Per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IFERROR(MATCH(Settings!$C$32&amp;"|"&amp;ROWS($X$2:$X68),'Per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IFERROR(MATCH(Settings!$C$32&amp;"|"&amp;ROWS($X$2:$X69),'Per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IFERROR(MATCH(Settings!$C$32&amp;"|"&amp;ROWS($X$2:$X70),'Per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IFERROR(MATCH(Settings!$C$32&amp;"|"&amp;ROWS($X$2:$X71),'Per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IFERROR(MATCH(Settings!$C$32&amp;"|"&amp;ROWS($X$2:$X72),'Per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IFERROR(MATCH(Settings!$C$32&amp;"|"&amp;ROWS($X$2:$X73),'Per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IFERROR(MATCH(Settings!$C$32&amp;"|"&amp;ROWS($X$2:$X74),'Per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IFERROR(MATCH(Settings!$C$32&amp;"|"&amp;ROWS($X$2:$X75),'Per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IFERROR(MATCH(Settings!$C$32&amp;"|"&amp;ROWS($X$2:$X76),'Per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IFERROR(MATCH(Settings!$C$32&amp;"|"&amp;ROWS($X$2:$X77),'Per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IFERROR(MATCH(Settings!$C$32&amp;"|"&amp;ROWS($X$2:$X78),'Per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IFERROR(MATCH(Settings!$C$32&amp;"|"&amp;ROWS($X$2:$X79),'Per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IFERROR(MATCH(Settings!$C$32&amp;"|"&amp;ROWS($X$2:$X80),'Per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IFERROR(MATCH(Settings!$C$32&amp;"|"&amp;ROWS($X$2:$X81),'Per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IFERROR(MATCH(Settings!$C$32&amp;"|"&amp;ROWS($X$2:$X82),'Per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IFERROR(MATCH(Settings!$C$32&amp;"|"&amp;ROWS($X$2:$X83),'Per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IFERROR(MATCH(Settings!$C$32&amp;"|"&amp;ROWS($X$2:$X84),'Per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IFERROR(MATCH(Settings!$C$32&amp;"|"&amp;ROWS($X$2:$X85),'Per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IFERROR(MATCH(Settings!$C$32&amp;"|"&amp;ROWS($X$2:$X86),'Per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IFERROR(MATCH(Settings!$C$32&amp;"|"&amp;ROWS($X$2:$X87),'Per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IFERROR(MATCH(Settings!$C$32&amp;"|"&amp;ROWS($X$2:$X88),'Per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IFERROR(MATCH(Settings!$C$32&amp;"|"&amp;ROWS($X$2:$X89),'Per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IFERROR(MATCH(Settings!$C$32&amp;"|"&amp;ROWS($X$2:$X90),'Per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IFERROR(MATCH(Settings!$C$32&amp;"|"&amp;ROWS($X$2:$X91),'Per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IFERROR(MATCH(Settings!$C$32&amp;"|"&amp;ROWS($X$2:$X92),'Per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IFERROR(MATCH(Settings!$C$32&amp;"|"&amp;ROWS($X$2:$X93),'Per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IFERROR(MATCH(Settings!$C$32&amp;"|"&amp;ROWS($X$2:$X94),'Per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IFERROR(MATCH(Settings!$C$32&amp;"|"&amp;ROWS($X$2:$X95),'Per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IFERROR(MATCH(Settings!$C$32&amp;"|"&amp;ROWS($X$2:$X96),'Per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IFERROR(MATCH(Settings!$C$32&amp;"|"&amp;ROWS($X$2:$X97),'Per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IFERROR(MATCH(Settings!$C$32&amp;"|"&amp;ROWS($X$2:$X98),'Per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IFERROR(MATCH(Settings!$C$32&amp;"|"&amp;ROWS($X$2:$X99),'Per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IFERROR(MATCH(Settings!$C$32&amp;"|"&amp;ROWS($X$2:$X100),'Per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IFERROR(MATCH(Settings!$C$32&amp;"|"&amp;ROWS($X$2:$X101),'Per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IFERROR(MATCH(Settings!$C$32&amp;"|"&amp;ROWS($X$2:$X102),'Per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IFERROR(MATCH(Settings!$C$32&amp;"|"&amp;ROWS($X$2:$X103),'Per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IFERROR(MATCH(Settings!$C$32&amp;"|"&amp;ROWS($X$2:$X104),'Per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IFERROR(MATCH(Settings!$C$32&amp;"|"&amp;ROWS($X$2:$X105),'Per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IFERROR(MATCH(Settings!$C$32&amp;"|"&amp;ROWS($X$2:$X106),'Per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IFERROR(MATCH(Settings!$C$32&amp;"|"&amp;ROWS($X$2:$X107),'Per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IFERROR(MATCH(Settings!$C$32&amp;"|"&amp;ROWS($X$2:$X108),'Per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IFERROR(MATCH(Settings!$C$32&amp;"|"&amp;ROWS($X$2:$X109),'Per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IFERROR(MATCH(Settings!$C$32&amp;"|"&amp;ROWS($X$2:$X110),'Per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IFERROR(MATCH(Settings!$C$32&amp;"|"&amp;ROWS($X$2:$X111),'Per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IFERROR(MATCH(Settings!$C$32&amp;"|"&amp;ROWS($X$2:$X112),'Per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IFERROR(MATCH(Settings!$C$32&amp;"|"&amp;ROWS($X$2:$X113),'Per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IFERROR(MATCH(Settings!$C$32&amp;"|"&amp;ROWS($X$2:$X114),'Per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IFERROR(MATCH(Settings!$C$32&amp;"|"&amp;ROWS($X$2:$X115),'Per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IFERROR(MATCH(Settings!$C$32&amp;"|"&amp;ROWS($X$2:$X116),'Per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IFERROR(MATCH(Settings!$C$32&amp;"|"&amp;ROWS($X$2:$X117),'Per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IFERROR(MATCH(Settings!$C$32&amp;"|"&amp;ROWS($X$2:$X118),'Per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IFERROR(MATCH(Settings!$C$32&amp;"|"&amp;ROWS($X$2:$X119),'Per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IFERROR(MATCH(Settings!$C$32&amp;"|"&amp;ROWS($X$2:$X120),'Per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IFERROR(MATCH(Settings!$C$32&amp;"|"&amp;ROWS($X$2:$X121),'Per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IFERROR(MATCH(Settings!$C$32&amp;"|"&amp;ROWS($X$2:$X122),'Per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IFERROR(MATCH(Settings!$C$32&amp;"|"&amp;ROWS($X$2:$X123),'Per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IFERROR(MATCH(Settings!$C$32&amp;"|"&amp;ROWS($X$2:$X124),'Per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IFERROR(MATCH(Settings!$C$32&amp;"|"&amp;ROWS($X$2:$X125),'Per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IFERROR(MATCH(Settings!$C$32&amp;"|"&amp;ROWS($X$2:$X126),'Per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IFERROR(MATCH(Settings!$C$32&amp;"|"&amp;ROWS($X$2:$X127),'Per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IFERROR(MATCH(Settings!$C$32&amp;"|"&amp;ROWS($X$2:$X128),'Per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IFERROR(MATCH(Settings!$C$32&amp;"|"&amp;ROWS($X$2:$X129),'Per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IFERROR(MATCH(Settings!$C$32&amp;"|"&amp;ROWS($X$2:$X130),'Per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IFERROR(MATCH(Settings!$C$32&amp;"|"&amp;ROWS($X$2:$X131),'Per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IFERROR(MATCH(Settings!$C$32&amp;"|"&amp;ROWS($X$2:$X132),'Per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IFERROR(MATCH(Settings!$C$32&amp;"|"&amp;ROWS($X$2:$X133),'Per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IFERROR(MATCH(Settings!$C$32&amp;"|"&amp;ROWS($X$2:$X134),'Per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IFERROR(MATCH(Settings!$C$32&amp;"|"&amp;ROWS($X$2:$X135),'Per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IFERROR(MATCH(Settings!$C$32&amp;"|"&amp;ROWS($X$2:$X136),'Per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IFERROR(MATCH(Settings!$C$32&amp;"|"&amp;ROWS($X$2:$X137),'Per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IFERROR(MATCH(Settings!$C$32&amp;"|"&amp;ROWS($X$2:$X138),'Per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IFERROR(MATCH(Settings!$C$32&amp;"|"&amp;ROWS($X$2:$X139),'Per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IFERROR(MATCH(Settings!$C$32&amp;"|"&amp;ROWS($X$2:$X140),'Per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IFERROR(MATCH(Settings!$C$32&amp;"|"&amp;ROWS($X$2:$X141),'Per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IFERROR(MATCH(Settings!$C$32&amp;"|"&amp;ROWS($X$2:$X142),'Per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IFERROR(MATCH(Settings!$C$32&amp;"|"&amp;ROWS($X$2:$X143),'Per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IFERROR(MATCH(Settings!$C$32&amp;"|"&amp;ROWS($X$2:$X144),'Per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IFERROR(MATCH(Settings!$C$32&amp;"|"&amp;ROWS($X$2:$X145),'Per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IFERROR(MATCH(Settings!$C$32&amp;"|"&amp;ROWS($X$2:$X146),'Per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IFERROR(MATCH(Settings!$C$32&amp;"|"&amp;ROWS($X$2:$X147),'Per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IFERROR(MATCH(Settings!$C$32&amp;"|"&amp;ROWS($X$2:$X148),'Per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IFERROR(MATCH(Settings!$C$32&amp;"|"&amp;ROWS($X$2:$X149),'Per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IFERROR(MATCH(Settings!$C$32&amp;"|"&amp;ROWS($X$2:$X150),'Per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IFERROR(MATCH(Settings!$C$32&amp;"|"&amp;ROWS($X$2:$X151),'Per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IFERROR(MATCH(Settings!$C$32&amp;"|"&amp;ROWS($X$2:$X152),'Per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IFERROR(MATCH(Settings!$C$32&amp;"|"&amp;ROWS($X$2:$X153),'Per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IFERROR(MATCH(Settings!$C$32&amp;"|"&amp;ROWS($X$2:$X154),'Per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IFERROR(MATCH(Settings!$C$32&amp;"|"&amp;ROWS($X$2:$X155),'Per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IFERROR(MATCH(Settings!$C$32&amp;"|"&amp;ROWS($X$2:$X156),'Per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IFERROR(MATCH(Settings!$C$32&amp;"|"&amp;ROWS($X$2:$X157),'Per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IFERROR(MATCH(Settings!$C$32&amp;"|"&amp;ROWS($X$2:$X158),'Per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IFERROR(MATCH(Settings!$C$32&amp;"|"&amp;ROWS($X$2:$X159),'Per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IFERROR(MATCH(Settings!$C$32&amp;"|"&amp;ROWS($X$2:$X160),'Per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IFERROR(MATCH(Settings!$C$32&amp;"|"&amp;ROWS($X$2:$X161),'Per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IFERROR(MATCH(Settings!$C$32&amp;"|"&amp;ROWS($X$2:$X162),'Per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IFERROR(MATCH(Settings!$C$32&amp;"|"&amp;ROWS($X$2:$X163),'Per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IFERROR(MATCH(Settings!$C$32&amp;"|"&amp;ROWS($X$2:$X164),'Per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IFERROR(MATCH(Settings!$C$32&amp;"|"&amp;ROWS($X$2:$X165),'Per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IFERROR(MATCH(Settings!$C$32&amp;"|"&amp;ROWS($X$2:$X166),'Per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IFERROR(MATCH(Settings!$C$32&amp;"|"&amp;ROWS($X$2:$X167),'Per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IFERROR(MATCH(Settings!$C$32&amp;"|"&amp;ROWS($X$2:$X168),'Per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IFERROR(MATCH(Settings!$C$32&amp;"|"&amp;ROWS($X$2:$X169),'Per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IFERROR(MATCH(Settings!$C$32&amp;"|"&amp;ROWS($X$2:$X170),'Per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IFERROR(MATCH(Settings!$C$32&amp;"|"&amp;ROWS($X$2:$X171),'Per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IFERROR(MATCH(Settings!$C$32&amp;"|"&amp;ROWS($X$2:$X172),'Per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IFERROR(MATCH(Settings!$C$32&amp;"|"&amp;ROWS($X$2:$X173),'Per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IFERROR(MATCH(Settings!$C$32&amp;"|"&amp;ROWS($X$2:$X174),'Per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IFERROR(MATCH(Settings!$C$32&amp;"|"&amp;ROWS($X$2:$X175),'Per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IFERROR(MATCH(Settings!$C$32&amp;"|"&amp;ROWS($X$2:$X176),'Per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IFERROR(MATCH(Settings!$C$32&amp;"|"&amp;ROWS($X$2:$X177),'Per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IFERROR(MATCH(Settings!$C$32&amp;"|"&amp;ROWS($X$2:$X178),'Per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IFERROR(MATCH(Settings!$C$32&amp;"|"&amp;ROWS($X$2:$X179),'Per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IFERROR(MATCH(Settings!$C$32&amp;"|"&amp;ROWS($X$2:$X180),'Per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IFERROR(MATCH(Settings!$C$32&amp;"|"&amp;ROWS($X$2:$X181),'Per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IFERROR(MATCH(Settings!$C$32&amp;"|"&amp;ROWS($X$2:$X182),'Per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IFERROR(MATCH(Settings!$C$32&amp;"|"&amp;ROWS($X$2:$X183),'Per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IFERROR(MATCH(Settings!$C$32&amp;"|"&amp;ROWS($X$2:$X184),'Per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IFERROR(MATCH(Settings!$C$32&amp;"|"&amp;ROWS($X$2:$X185),'Per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IFERROR(MATCH(Settings!$C$32&amp;"|"&amp;ROWS($X$2:$X186),'Per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IFERROR(MATCH(Settings!$C$32&amp;"|"&amp;ROWS($X$2:$X187),'Per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IFERROR(MATCH(Settings!$C$32&amp;"|"&amp;ROWS($X$2:$X188),'Per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IFERROR(MATCH(Settings!$C$32&amp;"|"&amp;ROWS($X$2:$X189),'Per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IFERROR(MATCH(Settings!$C$32&amp;"|"&amp;ROWS($X$2:$X190),'Per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IFERROR(MATCH(Settings!$C$32&amp;"|"&amp;ROWS($X$2:$X191),'Per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IFERROR(MATCH(Settings!$C$32&amp;"|"&amp;ROWS($X$2:$X192),'Per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IFERROR(MATCH(Settings!$C$32&amp;"|"&amp;ROWS($X$2:$X193),'Per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IFERROR(MATCH(Settings!$C$32&amp;"|"&amp;ROWS($X$2:$X194),'Per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IFERROR(MATCH(Settings!$C$32&amp;"|"&amp;ROWS($X$2:$X195),'Per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IFERROR(MATCH(Settings!$C$32&amp;"|"&amp;ROWS($X$2:$X196),'Per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IFERROR(MATCH(Settings!$C$32&amp;"|"&amp;ROWS($X$2:$X197),'Per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IFERROR(MATCH(Settings!$C$32&amp;"|"&amp;ROWS($X$2:$X198),'Per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IFERROR(MATCH(Settings!$C$32&amp;"|"&amp;ROWS($X$2:$X199),'Per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IFERROR(MATCH(Settings!$C$32&amp;"|"&amp;ROWS($X$2:$X200),'Per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IFERROR(MATCH(Settings!$C$32&amp;"|"&amp;ROWS($X$2:$X201),'Per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IFERROR(MATCH(Settings!$C$32&amp;"|"&amp;ROWS($X$2:$X202),'Per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IFERROR(MATCH(Settings!$C$32&amp;"|"&amp;ROWS($X$2:$X203),'Per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IFERROR(MATCH(Settings!$C$32&amp;"|"&amp;ROWS($X$2:$X204),'Per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IFERROR(MATCH(Settings!$C$32&amp;"|"&amp;ROWS($X$2:$X205),'Per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IFERROR(MATCH(Settings!$C$32&amp;"|"&amp;ROWS($X$2:$X206),'Per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IFERROR(MATCH(Settings!$C$32&amp;"|"&amp;ROWS($X$2:$X207),'Per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IFERROR(MATCH(Settings!$C$32&amp;"|"&amp;ROWS($X$2:$X208),'Per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IFERROR(MATCH(Settings!$C$32&amp;"|"&amp;ROWS($X$2:$X209),'Per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IFERROR(MATCH(Settings!$C$32&amp;"|"&amp;ROWS($X$2:$X210),'Per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IFERROR(MATCH(Settings!$C$32&amp;"|"&amp;ROWS($X$2:$X211),'Per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IFERROR(MATCH(Settings!$C$32&amp;"|"&amp;ROWS($X$2:$X212),'Per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IFERROR(MATCH(Settings!$C$32&amp;"|"&amp;ROWS($X$2:$X213),'Per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IFERROR(MATCH(Settings!$C$32&amp;"|"&amp;ROWS($X$2:$X214),'Per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IFERROR(MATCH(Settings!$C$32&amp;"|"&amp;ROWS($X$2:$X215),'Per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IFERROR(MATCH(Settings!$C$32&amp;"|"&amp;ROWS($X$2:$X216),'Per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IFERROR(MATCH(Settings!$C$32&amp;"|"&amp;ROWS($X$2:$X217),'Per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IFERROR(MATCH(Settings!$C$32&amp;"|"&amp;ROWS($X$2:$X218),'Per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IFERROR(MATCH(Settings!$C$32&amp;"|"&amp;ROWS($X$2:$X219),'Per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IFERROR(MATCH(Settings!$C$32&amp;"|"&amp;ROWS($X$2:$X220),'Per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IFERROR(MATCH(Settings!$C$32&amp;"|"&amp;ROWS($X$2:$X221),'Per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IFERROR(MATCH(Settings!$C$32&amp;"|"&amp;ROWS($X$2:$X222),'Per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IFERROR(MATCH(Settings!$C$32&amp;"|"&amp;ROWS($X$2:$X223),'Per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IFERROR(MATCH(Settings!$C$32&amp;"|"&amp;ROWS($X$2:$X224),'Per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IFERROR(MATCH(Settings!$C$32&amp;"|"&amp;ROWS($X$2:$X225),'Per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IFERROR(MATCH(Settings!$C$32&amp;"|"&amp;ROWS($X$2:$X226),'Per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IFERROR(MATCH(Settings!$C$32&amp;"|"&amp;ROWS($X$2:$X227),'Per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IFERROR(MATCH(Settings!$C$32&amp;"|"&amp;ROWS($X$2:$X228),'Per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IFERROR(MATCH(Settings!$C$32&amp;"|"&amp;ROWS($X$2:$X229),'Per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IFERROR(MATCH(Settings!$C$32&amp;"|"&amp;ROWS($X$2:$X230),'Per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IFERROR(MATCH(Settings!$C$32&amp;"|"&amp;ROWS($X$2:$X231),'Per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IFERROR(MATCH(Settings!$C$32&amp;"|"&amp;ROWS($X$2:$X232),'Per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IFERROR(MATCH(Settings!$C$32&amp;"|"&amp;ROWS($X$2:$X233),'Per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IFERROR(MATCH(Settings!$C$32&amp;"|"&amp;ROWS($X$2:$X234),'Per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IFERROR(MATCH(Settings!$C$32&amp;"|"&amp;ROWS($X$2:$X235),'Per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IFERROR(MATCH(Settings!$C$32&amp;"|"&amp;ROWS($X$2:$X236),'Per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IFERROR(MATCH(Settings!$C$32&amp;"|"&amp;ROWS($X$2:$X237),'Per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IFERROR(MATCH(Settings!$C$32&amp;"|"&amp;ROWS($X$2:$X238),'Per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IFERROR(MATCH(Settings!$C$32&amp;"|"&amp;ROWS($X$2:$X239),'Per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IFERROR(MATCH(Settings!$C$32&amp;"|"&amp;ROWS($X$2:$X240),'Per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IFERROR(MATCH(Settings!$C$32&amp;"|"&amp;ROWS($X$2:$X241),'Per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IFERROR(MATCH(Settings!$C$32&amp;"|"&amp;ROWS($X$2:$X242),'Per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IFERROR(MATCH(Settings!$C$32&amp;"|"&amp;ROWS($X$2:$X243),'Per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IFERROR(MATCH(Settings!$C$32&amp;"|"&amp;ROWS($X$2:$X244),'Per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IFERROR(MATCH(Settings!$C$32&amp;"|"&amp;ROWS($X$2:$X245),'Per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IFERROR(MATCH(Settings!$C$32&amp;"|"&amp;ROWS($X$2:$X246),'Per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IFERROR(MATCH(Settings!$C$32&amp;"|"&amp;ROWS($X$2:$X247),'Per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IFERROR(MATCH(Settings!$C$32&amp;"|"&amp;ROWS($X$2:$X248),'Per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IFERROR(MATCH(Settings!$C$32&amp;"|"&amp;ROWS($X$2:$X249),'Per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IFERROR(MATCH(Settings!$C$32&amp;"|"&amp;ROWS($X$2:$X250),'Per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IFERROR(MATCH(Settings!$C$32&amp;"|"&amp;ROWS($X$2:$X251),'Per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IFERROR(MATCH(Settings!$C$32&amp;"|"&amp;ROWS($X$2:$X252),'Per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IFERROR(MATCH(Settings!$C$32&amp;"|"&amp;ROWS($X$2:$X253),'Per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IFERROR(MATCH(Settings!$C$32&amp;"|"&amp;ROWS($X$2:$X254),'Per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IFERROR(MATCH(Settings!$C$32&amp;"|"&amp;ROWS($X$2:$X255),'Per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IFERROR(MATCH(Settings!$C$32&amp;"|"&amp;ROWS($X$2:$X256),'Per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IFERROR(MATCH(Settings!$C$32&amp;"|"&amp;ROWS($X$2:$X257),'Per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IFERROR(MATCH(Settings!$C$32&amp;"|"&amp;ROWS($X$2:$X258),'Per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IFERROR(MATCH(Settings!$C$32&amp;"|"&amp;ROWS($X$2:$X259),'Per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IFERROR(MATCH(Settings!$C$32&amp;"|"&amp;ROWS($X$2:$X260),'Per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IFERROR(MATCH(Settings!$C$32&amp;"|"&amp;ROWS($X$2:$X261),'Per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IFERROR(MATCH(Settings!$C$32&amp;"|"&amp;ROWS($X$2:$X262),'Per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IFERROR(MATCH(Settings!$C$32&amp;"|"&amp;ROWS($X$2:$X263),'Per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IFERROR(MATCH(Settings!$C$32&amp;"|"&amp;ROWS($X$2:$X264),'Per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IFERROR(MATCH(Settings!$C$32&amp;"|"&amp;ROWS($X$2:$X265),'Per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IFERROR(MATCH(Settings!$C$32&amp;"|"&amp;ROWS($X$2:$X266),'Per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IFERROR(MATCH(Settings!$C$32&amp;"|"&amp;ROWS($X$2:$X267),'Per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IFERROR(MATCH(Settings!$C$32&amp;"|"&amp;ROWS($X$2:$X268),'Per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IFERROR(MATCH(Settings!$C$32&amp;"|"&amp;ROWS($X$2:$X269),'Per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IFERROR(MATCH(Settings!$C$32&amp;"|"&amp;ROWS($X$2:$X270),'Per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IFERROR(MATCH(Settings!$C$32&amp;"|"&amp;ROWS($X$2:$X271),'Per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IFERROR(MATCH(Settings!$C$32&amp;"|"&amp;ROWS($X$2:$X272),'Per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IFERROR(MATCH(Settings!$C$32&amp;"|"&amp;ROWS($X$2:$X273),'Per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IFERROR(MATCH(Settings!$C$32&amp;"|"&amp;ROWS($X$2:$X274),'Per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IFERROR(MATCH(Settings!$C$32&amp;"|"&amp;ROWS($X$2:$X275),'Per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IFERROR(MATCH(Settings!$C$32&amp;"|"&amp;ROWS($X$2:$X276),'Per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IFERROR(MATCH(Settings!$C$32&amp;"|"&amp;ROWS($X$2:$X277),'Per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IFERROR(MATCH(Settings!$C$32&amp;"|"&amp;ROWS($X$2:$X278),'Per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IFERROR(MATCH(Settings!$C$32&amp;"|"&amp;ROWS($X$2:$X279),'Per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IFERROR(MATCH(Settings!$C$32&amp;"|"&amp;ROWS($X$2:$X280),'Per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IFERROR(MATCH(Settings!$C$32&amp;"|"&amp;ROWS($X$2:$X281),'Per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IFERROR(MATCH(Settings!$C$32&amp;"|"&amp;ROWS($X$2:$X282),'Per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IFERROR(MATCH(Settings!$C$32&amp;"|"&amp;ROWS($X$2:$X283),'Per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IFERROR(MATCH(Settings!$C$32&amp;"|"&amp;ROWS($X$2:$X284),'Per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IFERROR(MATCH(Settings!$C$32&amp;"|"&amp;ROWS($X$2:$X285),'Per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IFERROR(MATCH(Settings!$C$32&amp;"|"&amp;ROWS($X$2:$X286),'Per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IFERROR(MATCH(Settings!$C$32&amp;"|"&amp;ROWS($X$2:$X287),'Per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IFERROR(MATCH(Settings!$C$32&amp;"|"&amp;ROWS($X$2:$X288),'Per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IFERROR(MATCH(Settings!$C$32&amp;"|"&amp;ROWS($X$2:$X289),'Per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IFERROR(MATCH(Settings!$C$32&amp;"|"&amp;ROWS($X$2:$X290),'Per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IFERROR(MATCH(Settings!$C$32&amp;"|"&amp;ROWS($X$2:$X291),'Per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IFERROR(MATCH(Settings!$C$32&amp;"|"&amp;ROWS($X$2:$X292),'Per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IFERROR(MATCH(Settings!$C$32&amp;"|"&amp;ROWS($X$2:$X293),'Per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IFERROR(MATCH(Settings!$C$32&amp;"|"&amp;ROWS($X$2:$X294),'Per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IFERROR(MATCH(Settings!$C$32&amp;"|"&amp;ROWS($X$2:$X295),'Per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IFERROR(MATCH(Settings!$C$32&amp;"|"&amp;ROWS($X$2:$X296),'Per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IFERROR(MATCH(Settings!$C$32&amp;"|"&amp;ROWS($X$2:$X297),'Per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IFERROR(MATCH(Settings!$C$32&amp;"|"&amp;ROWS($X$2:$X298),'Per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IFERROR(MATCH(Settings!$C$32&amp;"|"&amp;ROWS($X$2:$X299),'Per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IFERROR(MATCH(Settings!$C$32&amp;"|"&amp;ROWS($X$2:$X300),'Per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IFERROR(MATCH(Settings!$C$32&amp;"|"&amp;ROWS($X$2:$X301),'Per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IFERROR(MATCH(Settings!$C$32&amp;"|"&amp;ROWS($X$2:$X302),'Per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IFERROR(MATCH(Settings!$C$32&amp;"|"&amp;ROWS($X$2:$X303),'Per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IFERROR(MATCH(Settings!$C$32&amp;"|"&amp;ROWS($X$2:$X304),'Per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IFERROR(MATCH(Settings!$C$32&amp;"|"&amp;ROWS($X$2:$X305),'Per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IFERROR(MATCH(Settings!$C$32&amp;"|"&amp;ROWS($X$2:$X306),'Per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IFERROR(MATCH(Settings!$C$32&amp;"|"&amp;ROWS($X$2:$X307),'Per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IFERROR(MATCH(Settings!$C$32&amp;"|"&amp;ROWS($X$2:$X308),'Per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IFERROR(MATCH(Settings!$C$32&amp;"|"&amp;ROWS($X$2:$X309),'Per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IFERROR(MATCH(Settings!$C$32&amp;"|"&amp;ROWS($X$2:$X310),'Per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IFERROR(MATCH(Settings!$C$32&amp;"|"&amp;ROWS($X$2:$X311),'Per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IFERROR(MATCH(Settings!$C$32&amp;"|"&amp;ROWS($X$2:$X312),'Per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IFERROR(MATCH(Settings!$C$32&amp;"|"&amp;ROWS($X$2:$X313),'Per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IFERROR(MATCH(Settings!$C$32&amp;"|"&amp;ROWS($X$2:$X314),'Per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IFERROR(MATCH(Settings!$C$32&amp;"|"&amp;ROWS($X$2:$X315),'Per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IFERROR(MATCH(Settings!$C$32&amp;"|"&amp;ROWS($X$2:$X316),'Per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IFERROR(MATCH(Settings!$C$32&amp;"|"&amp;ROWS($X$2:$X317),'Per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IFERROR(MATCH(Settings!$C$32&amp;"|"&amp;ROWS($X$2:$X318),'Per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IFERROR(MATCH(Settings!$C$32&amp;"|"&amp;ROWS($X$2:$X319),'Per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IFERROR(MATCH(Settings!$C$32&amp;"|"&amp;ROWS($X$2:$X320),'Per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IFERROR(MATCH(Settings!$C$32&amp;"|"&amp;ROWS($X$2:$X321),'Per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IFERROR(MATCH(Settings!$C$32&amp;"|"&amp;ROWS($X$2:$X322),'Per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IFERROR(MATCH(Settings!$C$32&amp;"|"&amp;ROWS($X$2:$X323),'Per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IFERROR(MATCH(Settings!$C$32&amp;"|"&amp;ROWS($X$2:$X324),'Per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IFERROR(MATCH(Settings!$C$32&amp;"|"&amp;ROWS($X$2:$X325),'Per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IFERROR(MATCH(Settings!$C$32&amp;"|"&amp;ROWS($X$2:$X326),'Per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IFERROR(MATCH(Settings!$C$32&amp;"|"&amp;ROWS($X$2:$X327),'Per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IFERROR(MATCH(Settings!$C$32&amp;"|"&amp;ROWS($X$2:$X328),'Per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IFERROR(MATCH(Settings!$C$32&amp;"|"&amp;ROWS($X$2:$X329),'Per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IFERROR(MATCH(Settings!$C$32&amp;"|"&amp;ROWS($X$2:$X330),'Per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IFERROR(MATCH(Settings!$C$32&amp;"|"&amp;ROWS($X$2:$X331),'Per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IFERROR(MATCH(Settings!$C$32&amp;"|"&amp;ROWS($X$2:$X332),'Per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IFERROR(MATCH(Settings!$C$32&amp;"|"&amp;ROWS($X$2:$X333),'Per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IFERROR(MATCH(Settings!$C$32&amp;"|"&amp;ROWS($X$2:$X334),'Per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IFERROR(MATCH(Settings!$C$32&amp;"|"&amp;ROWS($X$2:$X335),'Per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IFERROR(MATCH(Settings!$C$32&amp;"|"&amp;ROWS($X$2:$X336),'Per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IFERROR(MATCH(Settings!$C$32&amp;"|"&amp;ROWS($X$2:$X337),'Per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IFERROR(MATCH(Settings!$C$32&amp;"|"&amp;ROWS($X$2:$X338),'Per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IFERROR(MATCH(Settings!$C$32&amp;"|"&amp;ROWS($X$2:$X339),'Per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IFERROR(MATCH(Settings!$C$32&amp;"|"&amp;ROWS($X$2:$X340),'Per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IFERROR(MATCH(Settings!$C$32&amp;"|"&amp;ROWS($X$2:$X341),'Per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IFERROR(MATCH(Settings!$C$32&amp;"|"&amp;ROWS($X$2:$X342),'Per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IFERROR(MATCH(Settings!$C$32&amp;"|"&amp;ROWS($X$2:$X343),'Per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IFERROR(MATCH(Settings!$C$32&amp;"|"&amp;ROWS($X$2:$X344),'Per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IFERROR(MATCH(Settings!$C$32&amp;"|"&amp;ROWS($X$2:$X345),'Per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IFERROR(MATCH(Settings!$C$32&amp;"|"&amp;ROWS($X$2:$X346),'Per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IFERROR(MATCH(Settings!$C$32&amp;"|"&amp;ROWS($X$2:$X347),'Per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IFERROR(MATCH(Settings!$C$32&amp;"|"&amp;ROWS($X$2:$X348),'Per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IFERROR(MATCH(Settings!$C$32&amp;"|"&amp;ROWS($X$2:$X349),'Per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IFERROR(MATCH(Settings!$C$32&amp;"|"&amp;ROWS($X$2:$X350),'Per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IFERROR(MATCH(Settings!$C$32&amp;"|"&amp;ROWS($X$2:$X351),'Per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IFERROR(MATCH(Settings!$C$32&amp;"|"&amp;ROWS($X$2:$X352),'Per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IFERROR(MATCH(Settings!$C$32&amp;"|"&amp;ROWS($X$2:$X353),'Per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IFERROR(MATCH(Settings!$C$32&amp;"|"&amp;ROWS($X$2:$X354),'Per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IFERROR(MATCH(Settings!$C$32&amp;"|"&amp;ROWS($X$2:$X355),'Per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IFERROR(MATCH(Settings!$C$32&amp;"|"&amp;ROWS($X$2:$X356),'Per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IFERROR(MATCH(Settings!$C$32&amp;"|"&amp;ROWS($X$2:$X357),'Per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IFERROR(MATCH(Settings!$C$32&amp;"|"&amp;ROWS($X$2:$X358),'Per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IFERROR(MATCH(Settings!$C$32&amp;"|"&amp;ROWS($X$2:$X359),'Per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IFERROR(MATCH(Settings!$C$32&amp;"|"&amp;ROWS($X$2:$X360),'Per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IFERROR(MATCH(Settings!$C$32&amp;"|"&amp;ROWS($X$2:$X361),'Per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IFERROR(MATCH(Settings!$C$32&amp;"|"&amp;ROWS($X$2:$X362),'Per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IFERROR(MATCH(Settings!$C$32&amp;"|"&amp;ROWS($X$2:$X363),'Per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IFERROR(MATCH(Settings!$C$32&amp;"|"&amp;ROWS($X$2:$X364),'Per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IFERROR(MATCH(Settings!$C$32&amp;"|"&amp;ROWS($X$2:$X365),'Per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IFERROR(MATCH(Settings!$C$32&amp;"|"&amp;ROWS($X$2:$X366),'Per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IFERROR(MATCH(Settings!$C$32&amp;"|"&amp;ROWS($X$2:$X367),'Per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IFERROR(MATCH(Settings!$C$32&amp;"|"&amp;ROWS($X$2:$X368),'Per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IFERROR(MATCH(Settings!$C$32&amp;"|"&amp;ROWS($X$2:$X369),'Per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IFERROR(MATCH(Settings!$C$32&amp;"|"&amp;ROWS($X$2:$X370),'Per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IFERROR(MATCH(Settings!$C$32&amp;"|"&amp;ROWS($X$2:$X371),'Per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IFERROR(MATCH(Settings!$C$32&amp;"|"&amp;ROWS($X$2:$X372),'Per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IFERROR(MATCH(Settings!$C$32&amp;"|"&amp;ROWS($X$2:$X373),'Per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IFERROR(MATCH(Settings!$C$32&amp;"|"&amp;ROWS($X$2:$X374),'Per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IFERROR(MATCH(Settings!$C$32&amp;"|"&amp;ROWS($X$2:$X375),'Per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IFERROR(MATCH(Settings!$C$32&amp;"|"&amp;ROWS($X$2:$X376),'Per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IFERROR(MATCH(Settings!$C$32&amp;"|"&amp;ROWS($X$2:$X377),'Per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IFERROR(MATCH(Settings!$C$32&amp;"|"&amp;ROWS($X$2:$X378),'Per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IFERROR(MATCH(Settings!$C$32&amp;"|"&amp;ROWS($X$2:$X379),'Per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IFERROR(MATCH(Settings!$C$32&amp;"|"&amp;ROWS($X$2:$X380),'Per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IFERROR(MATCH(Settings!$C$32&amp;"|"&amp;ROWS($X$2:$X381),'Per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IFERROR(MATCH(Settings!$C$32&amp;"|"&amp;ROWS($X$2:$X382),'Per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IFERROR(MATCH(Settings!$C$32&amp;"|"&amp;ROWS($X$2:$X383),'Per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IFERROR(MATCH(Settings!$C$32&amp;"|"&amp;ROWS($X$2:$X384),'Per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IFERROR(MATCH(Settings!$C$32&amp;"|"&amp;ROWS($X$2:$X385),'Per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IFERROR(MATCH(Settings!$C$32&amp;"|"&amp;ROWS($X$2:$X386),'Per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IFERROR(MATCH(Settings!$C$32&amp;"|"&amp;ROWS($X$2:$X387),'Per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IFERROR(MATCH(Settings!$C$32&amp;"|"&amp;ROWS($X$2:$X388),'Per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IFERROR(MATCH(Settings!$C$32&amp;"|"&amp;ROWS($X$2:$X389),'Per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IFERROR(MATCH(Settings!$C$32&amp;"|"&amp;ROWS($X$2:$X390),'Per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IFERROR(MATCH(Settings!$C$32&amp;"|"&amp;ROWS($X$2:$X391),'Per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IFERROR(MATCH(Settings!$C$32&amp;"|"&amp;ROWS($X$2:$X392),'Per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IFERROR(MATCH(Settings!$C$32&amp;"|"&amp;ROWS($X$2:$X393),'Per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IFERROR(MATCH(Settings!$C$32&amp;"|"&amp;ROWS($X$2:$X394),'Per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IFERROR(MATCH(Settings!$C$32&amp;"|"&amp;ROWS($X$2:$X395),'Per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IFERROR(MATCH(Settings!$C$32&amp;"|"&amp;ROWS($X$2:$X396),'Per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IFERROR(MATCH(Settings!$C$32&amp;"|"&amp;ROWS($X$2:$X397),'Per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IFERROR(MATCH(Settings!$C$32&amp;"|"&amp;ROWS($X$2:$X398),'Per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IFERROR(MATCH(Settings!$C$32&amp;"|"&amp;ROWS($X$2:$X399),'Per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IFERROR(MATCH(Settings!$C$32&amp;"|"&amp;ROWS($X$2:$X400),'Per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IFERROR(MATCH(Settings!$C$32&amp;"|"&amp;ROWS($X$2:$X401),'Per Invoice'!$Y$2:$Y$401,0),"")</f>
        <v/>
      </c>
    </row>
  </sheetData>
  <autoFilter ref="A1:X4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10" t="inlineStr">
        <is>
          <t>Invoice</t>
        </is>
      </c>
      <c r="B1" s="10" t="inlineStr">
        <is>
          <t>Pos Reference</t>
        </is>
      </c>
      <c r="C1" s="10" t="inlineStr">
        <is>
          <t>##</t>
        </is>
      </c>
      <c r="D1" s="10" t="inlineStr">
        <is>
          <t>Insurance Company</t>
        </is>
      </c>
      <c r="E1" s="10" t="inlineStr">
        <is>
          <t>Name</t>
        </is>
      </c>
      <c r="F1" s="10" t="inlineStr">
        <is>
          <t>Card Number</t>
        </is>
      </c>
      <c r="G1" s="10" t="inlineStr">
        <is>
          <t>App</t>
        </is>
      </c>
      <c r="H1" s="10" t="inlineStr">
        <is>
          <t>Seg</t>
        </is>
      </c>
      <c r="I1" s="10" t="inlineStr">
        <is>
          <t>Payer</t>
        </is>
      </c>
      <c r="J1" s="10" t="inlineStr">
        <is>
          <t>NC payment</t>
        </is>
      </c>
      <c r="K1" s="10" t="inlineStr">
        <is>
          <t>Create Date</t>
        </is>
      </c>
      <c r="L1" s="10" t="inlineStr">
        <is>
          <t>Co Payment %</t>
        </is>
      </c>
      <c r="M1" s="10" t="inlineStr">
        <is>
          <t>Co val</t>
        </is>
      </c>
      <c r="N1" s="10" t="inlineStr">
        <is>
          <t>%</t>
        </is>
      </c>
      <c r="O1" s="10" t="inlineStr">
        <is>
          <t>IMP</t>
        </is>
      </c>
      <c r="P1" s="10" t="inlineStr">
        <is>
          <t>IMP val</t>
        </is>
      </c>
      <c r="Q1" s="10" t="inlineStr">
        <is>
          <t>%</t>
        </is>
      </c>
      <c r="R1" s="10" t="inlineStr">
        <is>
          <t>Local</t>
        </is>
      </c>
      <c r="S1" s="10" t="inlineStr">
        <is>
          <t>Local val</t>
        </is>
      </c>
      <c r="T1" s="10" t="inlineStr">
        <is>
          <t>Discount</t>
        </is>
      </c>
      <c r="U1" s="10" t="inlineStr">
        <is>
          <t>Subtotal</t>
        </is>
      </c>
      <c r="V1" s="10" t="inlineStr">
        <is>
          <t>Grand Total</t>
        </is>
      </c>
      <c r="W1" s="10" t="inlineStr">
        <is>
          <t>Net</t>
        </is>
      </c>
      <c r="X1" s="13" t="inlineStr">
        <is>
          <t>Src Row (helper)</t>
        </is>
      </c>
    </row>
    <row r="2">
      <c r="A2">
        <f>IF($X2="","",IF(INDEX('Per Invoice'!A$2:A$401,$X2)="","",INDEX('Per Invoice'!A$2:A$401,$X2)))</f>
        <v/>
      </c>
      <c r="B2">
        <f>IF($X2="","",IF(INDEX('Per Invoice'!B$2:B$401,$X2)="","",INDEX('Per Invoice'!B$2:B$401,$X2)))</f>
        <v/>
      </c>
      <c r="C2">
        <f>IF($X2="","",IF(INDEX('Per Invoice'!C$2:C$401,$X2)="","",INDEX('Per Invoice'!C$2:C$401,$X2)))</f>
        <v/>
      </c>
      <c r="D2">
        <f>IF($X2="","",IF(INDEX('Per Invoice'!D$2:D$401,$X2)="","",INDEX('Per Invoice'!D$2:D$401,$X2)))</f>
        <v/>
      </c>
      <c r="E2">
        <f>IF($X2="","",IF(INDEX('Per Invoice'!E$2:E$401,$X2)="","",INDEX('Per Invoice'!E$2:E$401,$X2)))</f>
        <v/>
      </c>
      <c r="F2">
        <f>IF($X2="","",IF(INDEX('Per Invoice'!F$2:F$401,$X2)="","",INDEX('Per Invoice'!F$2:F$401,$X2)))</f>
        <v/>
      </c>
      <c r="G2">
        <f>IF($X2="","",IF(INDEX('Per Invoice'!G$2:G$401,$X2)="","",INDEX('Per Invoice'!G$2:G$401,$X2)))</f>
        <v/>
      </c>
      <c r="H2">
        <f>IF($X2="","",IF(INDEX('Per Invoice'!H$2:H$401,$X2)="","",INDEX('Per Invoice'!H$2:H$401,$X2)))</f>
        <v/>
      </c>
      <c r="I2">
        <f>IF($X2="","",IF(INDEX('Per Invoice'!I$2:I$401,$X2)="","",INDEX('Per Invoice'!I$2:I$401,$X2)))</f>
        <v/>
      </c>
      <c r="J2">
        <f>IF($X2="","",IF(INDEX('Per Invoice'!J$2:J$401,$X2)="","",INDEX('Per Invoice'!J$2:J$401,$X2)))</f>
        <v/>
      </c>
      <c r="K2" s="14">
        <f>IF($X2="","",IF(INDEX('Per Invoice'!K$2:K$401,$X2)="","",INDEX('Per Invoice'!K$2:K$401,$X2)))</f>
        <v/>
      </c>
      <c r="L2">
        <f>IF($X2="","",IF(INDEX('Per Invoice'!L$2:L$401,$X2)="","",INDEX('Per Invoice'!L$2:L$401,$X2)))</f>
        <v/>
      </c>
      <c r="M2" s="7">
        <f>IF($X2="","",IF(INDEX('Per Invoice'!M$2:M$401,$X2)="","",INDEX('Per Invoice'!M$2:M$401,$X2)))</f>
        <v/>
      </c>
      <c r="N2">
        <f>IF($X2="","",IF(INDEX('Per Invoice'!N$2:N$401,$X2)="","",INDEX('Per Invoice'!N$2:N$401,$X2)))</f>
        <v/>
      </c>
      <c r="O2" s="7">
        <f>IF($X2="","",IF(INDEX('Per Invoice'!O$2:O$401,$X2)="","",INDEX('Per Invoice'!O$2:O$401,$X2)))</f>
        <v/>
      </c>
      <c r="P2" s="7">
        <f>IF($X2="","",IF(INDEX('Per Invoice'!P$2:P$401,$X2)="","",INDEX('Per Invoice'!P$2:P$401,$X2)))</f>
        <v/>
      </c>
      <c r="Q2">
        <f>IF($X2="","",IF(INDEX('Per Invoice'!Q$2:Q$401,$X2)="","",INDEX('Per Invoice'!Q$2:Q$401,$X2)))</f>
        <v/>
      </c>
      <c r="R2" s="7">
        <f>IF($X2="","",IF(INDEX('Per Invoice'!R$2:R$401,$X2)="","",INDEX('Per Invoice'!R$2:R$401,$X2)))</f>
        <v/>
      </c>
      <c r="S2" s="7">
        <f>IF($X2="","",IF(INDEX('Per Invoice'!S$2:S$401,$X2)="","",INDEX('Per Invoice'!S$2:S$401,$X2)))</f>
        <v/>
      </c>
      <c r="T2" s="7">
        <f>IF($X2="","",IF(INDEX('Per Invoice'!T$2:T$401,$X2)="","",INDEX('Per Invoice'!T$2:T$401,$X2)))</f>
        <v/>
      </c>
      <c r="U2" s="7">
        <f>IF($X2="","",IF(INDEX('Per Invoice'!U$2:U$401,$X2)="","",INDEX('Per Invoice'!U$2:U$401,$X2)))</f>
        <v/>
      </c>
      <c r="V2" s="7">
        <f>IF($X2="","",IF(INDEX('Per Invoice'!V$2:V$401,$X2)="","",INDEX('Per Invoice'!V$2:V$401,$X2)))</f>
        <v/>
      </c>
      <c r="W2" s="7">
        <f>IF($X2="","",IF(INDEX('Per Invoice'!W$2:W$401,$X2)="","",INDEX('Per Invoice'!W$2:W$401,$X2)))</f>
        <v/>
      </c>
      <c r="X2" s="16">
        <f>IFERROR(MATCH(Settings!$C$33&amp;"|"&amp;ROWS($X$2:$X2),'Per Invoice'!$Y$2:$Y$401,0),"")</f>
        <v/>
      </c>
    </row>
    <row r="3">
      <c r="A3">
        <f>IF($X3="","",IF(INDEX('Per Invoice'!A$2:A$401,$X3)="","",INDEX('Per Invoice'!A$2:A$401,$X3)))</f>
        <v/>
      </c>
      <c r="B3">
        <f>IF($X3="","",IF(INDEX('Per Invoice'!B$2:B$401,$X3)="","",INDEX('Per Invoice'!B$2:B$401,$X3)))</f>
        <v/>
      </c>
      <c r="C3">
        <f>IF($X3="","",IF(INDEX('Per Invoice'!C$2:C$401,$X3)="","",INDEX('Per Invoice'!C$2:C$401,$X3)))</f>
        <v/>
      </c>
      <c r="D3">
        <f>IF($X3="","",IF(INDEX('Per Invoice'!D$2:D$401,$X3)="","",INDEX('Per Invoice'!D$2:D$401,$X3)))</f>
        <v/>
      </c>
      <c r="E3">
        <f>IF($X3="","",IF(INDEX('Per Invoice'!E$2:E$401,$X3)="","",INDEX('Per Invoice'!E$2:E$401,$X3)))</f>
        <v/>
      </c>
      <c r="F3">
        <f>IF($X3="","",IF(INDEX('Per Invoice'!F$2:F$401,$X3)="","",INDEX('Per Invoice'!F$2:F$401,$X3)))</f>
        <v/>
      </c>
      <c r="G3">
        <f>IF($X3="","",IF(INDEX('Per Invoice'!G$2:G$401,$X3)="","",INDEX('Per Invoice'!G$2:G$401,$X3)))</f>
        <v/>
      </c>
      <c r="H3">
        <f>IF($X3="","",IF(INDEX('Per Invoice'!H$2:H$401,$X3)="","",INDEX('Per Invoice'!H$2:H$401,$X3)))</f>
        <v/>
      </c>
      <c r="I3">
        <f>IF($X3="","",IF(INDEX('Per Invoice'!I$2:I$401,$X3)="","",INDEX('Per Invoice'!I$2:I$401,$X3)))</f>
        <v/>
      </c>
      <c r="J3">
        <f>IF($X3="","",IF(INDEX('Per Invoice'!J$2:J$401,$X3)="","",INDEX('Per Invoice'!J$2:J$401,$X3)))</f>
        <v/>
      </c>
      <c r="K3" s="14">
        <f>IF($X3="","",IF(INDEX('Per Invoice'!K$2:K$401,$X3)="","",INDEX('Per Invoice'!K$2:K$401,$X3)))</f>
        <v/>
      </c>
      <c r="L3">
        <f>IF($X3="","",IF(INDEX('Per Invoice'!L$2:L$401,$X3)="","",INDEX('Per Invoice'!L$2:L$401,$X3)))</f>
        <v/>
      </c>
      <c r="M3" s="7">
        <f>IF($X3="","",IF(INDEX('Per Invoice'!M$2:M$401,$X3)="","",INDEX('Per Invoice'!M$2:M$401,$X3)))</f>
        <v/>
      </c>
      <c r="N3">
        <f>IF($X3="","",IF(INDEX('Per Invoice'!N$2:N$401,$X3)="","",INDEX('Per Invoice'!N$2:N$401,$X3)))</f>
        <v/>
      </c>
      <c r="O3" s="7">
        <f>IF($X3="","",IF(INDEX('Per Invoice'!O$2:O$401,$X3)="","",INDEX('Per Invoice'!O$2:O$401,$X3)))</f>
        <v/>
      </c>
      <c r="P3" s="7">
        <f>IF($X3="","",IF(INDEX('Per Invoice'!P$2:P$401,$X3)="","",INDEX('Per Invoice'!P$2:P$401,$X3)))</f>
        <v/>
      </c>
      <c r="Q3">
        <f>IF($X3="","",IF(INDEX('Per Invoice'!Q$2:Q$401,$X3)="","",INDEX('Per Invoice'!Q$2:Q$401,$X3)))</f>
        <v/>
      </c>
      <c r="R3" s="7">
        <f>IF($X3="","",IF(INDEX('Per Invoice'!R$2:R$401,$X3)="","",INDEX('Per Invoice'!R$2:R$401,$X3)))</f>
        <v/>
      </c>
      <c r="S3" s="7">
        <f>IF($X3="","",IF(INDEX('Per Invoice'!S$2:S$401,$X3)="","",INDEX('Per Invoice'!S$2:S$401,$X3)))</f>
        <v/>
      </c>
      <c r="T3" s="7">
        <f>IF($X3="","",IF(INDEX('Per Invoice'!T$2:T$401,$X3)="","",INDEX('Per Invoice'!T$2:T$401,$X3)))</f>
        <v/>
      </c>
      <c r="U3" s="7">
        <f>IF($X3="","",IF(INDEX('Per Invoice'!U$2:U$401,$X3)="","",INDEX('Per Invoice'!U$2:U$401,$X3)))</f>
        <v/>
      </c>
      <c r="V3" s="7">
        <f>IF($X3="","",IF(INDEX('Per Invoice'!V$2:V$401,$X3)="","",INDEX('Per Invoice'!V$2:V$401,$X3)))</f>
        <v/>
      </c>
      <c r="W3" s="7">
        <f>IF($X3="","",IF(INDEX('Per Invoice'!W$2:W$401,$X3)="","",INDEX('Per Invoice'!W$2:W$401,$X3)))</f>
        <v/>
      </c>
      <c r="X3" s="16">
        <f>IFERROR(MATCH(Settings!$C$33&amp;"|"&amp;ROWS($X$2:$X3),'Per Invoice'!$Y$2:$Y$401,0),"")</f>
        <v/>
      </c>
    </row>
    <row r="4">
      <c r="A4">
        <f>IF($X4="","",IF(INDEX('Per Invoice'!A$2:A$401,$X4)="","",INDEX('Per Invoice'!A$2:A$401,$X4)))</f>
        <v/>
      </c>
      <c r="B4">
        <f>IF($X4="","",IF(INDEX('Per Invoice'!B$2:B$401,$X4)="","",INDEX('Per Invoice'!B$2:B$401,$X4)))</f>
        <v/>
      </c>
      <c r="C4">
        <f>IF($X4="","",IF(INDEX('Per Invoice'!C$2:C$401,$X4)="","",INDEX('Per Invoice'!C$2:C$401,$X4)))</f>
        <v/>
      </c>
      <c r="D4">
        <f>IF($X4="","",IF(INDEX('Per Invoice'!D$2:D$401,$X4)="","",INDEX('Per Invoice'!D$2:D$401,$X4)))</f>
        <v/>
      </c>
      <c r="E4">
        <f>IF($X4="","",IF(INDEX('Per Invoice'!E$2:E$401,$X4)="","",INDEX('Per Invoice'!E$2:E$401,$X4)))</f>
        <v/>
      </c>
      <c r="F4">
        <f>IF($X4="","",IF(INDEX('Per Invoice'!F$2:F$401,$X4)="","",INDEX('Per Invoice'!F$2:F$401,$X4)))</f>
        <v/>
      </c>
      <c r="G4">
        <f>IF($X4="","",IF(INDEX('Per Invoice'!G$2:G$401,$X4)="","",INDEX('Per Invoice'!G$2:G$401,$X4)))</f>
        <v/>
      </c>
      <c r="H4">
        <f>IF($X4="","",IF(INDEX('Per Invoice'!H$2:H$401,$X4)="","",INDEX('Per Invoice'!H$2:H$401,$X4)))</f>
        <v/>
      </c>
      <c r="I4">
        <f>IF($X4="","",IF(INDEX('Per Invoice'!I$2:I$401,$X4)="","",INDEX('Per Invoice'!I$2:I$401,$X4)))</f>
        <v/>
      </c>
      <c r="J4">
        <f>IF($X4="","",IF(INDEX('Per Invoice'!J$2:J$401,$X4)="","",INDEX('Per Invoice'!J$2:J$401,$X4)))</f>
        <v/>
      </c>
      <c r="K4" s="14">
        <f>IF($X4="","",IF(INDEX('Per Invoice'!K$2:K$401,$X4)="","",INDEX('Per Invoice'!K$2:K$401,$X4)))</f>
        <v/>
      </c>
      <c r="L4">
        <f>IF($X4="","",IF(INDEX('Per Invoice'!L$2:L$401,$X4)="","",INDEX('Per Invoice'!L$2:L$401,$X4)))</f>
        <v/>
      </c>
      <c r="M4" s="7">
        <f>IF($X4="","",IF(INDEX('Per Invoice'!M$2:M$401,$X4)="","",INDEX('Per Invoice'!M$2:M$401,$X4)))</f>
        <v/>
      </c>
      <c r="N4">
        <f>IF($X4="","",IF(INDEX('Per Invoice'!N$2:N$401,$X4)="","",INDEX('Per Invoice'!N$2:N$401,$X4)))</f>
        <v/>
      </c>
      <c r="O4" s="7">
        <f>IF($X4="","",IF(INDEX('Per Invoice'!O$2:O$401,$X4)="","",INDEX('Per Invoice'!O$2:O$401,$X4)))</f>
        <v/>
      </c>
      <c r="P4" s="7">
        <f>IF($X4="","",IF(INDEX('Per Invoice'!P$2:P$401,$X4)="","",INDEX('Per Invoice'!P$2:P$401,$X4)))</f>
        <v/>
      </c>
      <c r="Q4">
        <f>IF($X4="","",IF(INDEX('Per Invoice'!Q$2:Q$401,$X4)="","",INDEX('Per Invoice'!Q$2:Q$401,$X4)))</f>
        <v/>
      </c>
      <c r="R4" s="7">
        <f>IF($X4="","",IF(INDEX('Per Invoice'!R$2:R$401,$X4)="","",INDEX('Per Invoice'!R$2:R$401,$X4)))</f>
        <v/>
      </c>
      <c r="S4" s="7">
        <f>IF($X4="","",IF(INDEX('Per Invoice'!S$2:S$401,$X4)="","",INDEX('Per Invoice'!S$2:S$401,$X4)))</f>
        <v/>
      </c>
      <c r="T4" s="7">
        <f>IF($X4="","",IF(INDEX('Per Invoice'!T$2:T$401,$X4)="","",INDEX('Per Invoice'!T$2:T$401,$X4)))</f>
        <v/>
      </c>
      <c r="U4" s="7">
        <f>IF($X4="","",IF(INDEX('Per Invoice'!U$2:U$401,$X4)="","",INDEX('Per Invoice'!U$2:U$401,$X4)))</f>
        <v/>
      </c>
      <c r="V4" s="7">
        <f>IF($X4="","",IF(INDEX('Per Invoice'!V$2:V$401,$X4)="","",INDEX('Per Invoice'!V$2:V$401,$X4)))</f>
        <v/>
      </c>
      <c r="W4" s="7">
        <f>IF($X4="","",IF(INDEX('Per Invoice'!W$2:W$401,$X4)="","",INDEX('Per Invoice'!W$2:W$401,$X4)))</f>
        <v/>
      </c>
      <c r="X4" s="16">
        <f>IFERROR(MATCH(Settings!$C$33&amp;"|"&amp;ROWS($X$2:$X4),'Per Invoice'!$Y$2:$Y$401,0),"")</f>
        <v/>
      </c>
    </row>
    <row r="5">
      <c r="A5">
        <f>IF($X5="","",IF(INDEX('Per Invoice'!A$2:A$401,$X5)="","",INDEX('Per Invoice'!A$2:A$401,$X5)))</f>
        <v/>
      </c>
      <c r="B5">
        <f>IF($X5="","",IF(INDEX('Per Invoice'!B$2:B$401,$X5)="","",INDEX('Per Invoice'!B$2:B$401,$X5)))</f>
        <v/>
      </c>
      <c r="C5">
        <f>IF($X5="","",IF(INDEX('Per Invoice'!C$2:C$401,$X5)="","",INDEX('Per Invoice'!C$2:C$401,$X5)))</f>
        <v/>
      </c>
      <c r="D5">
        <f>IF($X5="","",IF(INDEX('Per Invoice'!D$2:D$401,$X5)="","",INDEX('Per Invoice'!D$2:D$401,$X5)))</f>
        <v/>
      </c>
      <c r="E5">
        <f>IF($X5="","",IF(INDEX('Per Invoice'!E$2:E$401,$X5)="","",INDEX('Per Invoice'!E$2:E$401,$X5)))</f>
        <v/>
      </c>
      <c r="F5">
        <f>IF($X5="","",IF(INDEX('Per Invoice'!F$2:F$401,$X5)="","",INDEX('Per Invoice'!F$2:F$401,$X5)))</f>
        <v/>
      </c>
      <c r="G5">
        <f>IF($X5="","",IF(INDEX('Per Invoice'!G$2:G$401,$X5)="","",INDEX('Per Invoice'!G$2:G$401,$X5)))</f>
        <v/>
      </c>
      <c r="H5">
        <f>IF($X5="","",IF(INDEX('Per Invoice'!H$2:H$401,$X5)="","",INDEX('Per Invoice'!H$2:H$401,$X5)))</f>
        <v/>
      </c>
      <c r="I5">
        <f>IF($X5="","",IF(INDEX('Per Invoice'!I$2:I$401,$X5)="","",INDEX('Per Invoice'!I$2:I$401,$X5)))</f>
        <v/>
      </c>
      <c r="J5">
        <f>IF($X5="","",IF(INDEX('Per Invoice'!J$2:J$401,$X5)="","",INDEX('Per Invoice'!J$2:J$401,$X5)))</f>
        <v/>
      </c>
      <c r="K5" s="14">
        <f>IF($X5="","",IF(INDEX('Per Invoice'!K$2:K$401,$X5)="","",INDEX('Per Invoice'!K$2:K$401,$X5)))</f>
        <v/>
      </c>
      <c r="L5">
        <f>IF($X5="","",IF(INDEX('Per Invoice'!L$2:L$401,$X5)="","",INDEX('Per Invoice'!L$2:L$401,$X5)))</f>
        <v/>
      </c>
      <c r="M5" s="7">
        <f>IF($X5="","",IF(INDEX('Per Invoice'!M$2:M$401,$X5)="","",INDEX('Per Invoice'!M$2:M$401,$X5)))</f>
        <v/>
      </c>
      <c r="N5">
        <f>IF($X5="","",IF(INDEX('Per Invoice'!N$2:N$401,$X5)="","",INDEX('Per Invoice'!N$2:N$401,$X5)))</f>
        <v/>
      </c>
      <c r="O5" s="7">
        <f>IF($X5="","",IF(INDEX('Per Invoice'!O$2:O$401,$X5)="","",INDEX('Per Invoice'!O$2:O$401,$X5)))</f>
        <v/>
      </c>
      <c r="P5" s="7">
        <f>IF($X5="","",IF(INDEX('Per Invoice'!P$2:P$401,$X5)="","",INDEX('Per Invoice'!P$2:P$401,$X5)))</f>
        <v/>
      </c>
      <c r="Q5">
        <f>IF($X5="","",IF(INDEX('Per Invoice'!Q$2:Q$401,$X5)="","",INDEX('Per Invoice'!Q$2:Q$401,$X5)))</f>
        <v/>
      </c>
      <c r="R5" s="7">
        <f>IF($X5="","",IF(INDEX('Per Invoice'!R$2:R$401,$X5)="","",INDEX('Per Invoice'!R$2:R$401,$X5)))</f>
        <v/>
      </c>
      <c r="S5" s="7">
        <f>IF($X5="","",IF(INDEX('Per Invoice'!S$2:S$401,$X5)="","",INDEX('Per Invoice'!S$2:S$401,$X5)))</f>
        <v/>
      </c>
      <c r="T5" s="7">
        <f>IF($X5="","",IF(INDEX('Per Invoice'!T$2:T$401,$X5)="","",INDEX('Per Invoice'!T$2:T$401,$X5)))</f>
        <v/>
      </c>
      <c r="U5" s="7">
        <f>IF($X5="","",IF(INDEX('Per Invoice'!U$2:U$401,$X5)="","",INDEX('Per Invoice'!U$2:U$401,$X5)))</f>
        <v/>
      </c>
      <c r="V5" s="7">
        <f>IF($X5="","",IF(INDEX('Per Invoice'!V$2:V$401,$X5)="","",INDEX('Per Invoice'!V$2:V$401,$X5)))</f>
        <v/>
      </c>
      <c r="W5" s="7">
        <f>IF($X5="","",IF(INDEX('Per Invoice'!W$2:W$401,$X5)="","",INDEX('Per Invoice'!W$2:W$401,$X5)))</f>
        <v/>
      </c>
      <c r="X5" s="16">
        <f>IFERROR(MATCH(Settings!$C$33&amp;"|"&amp;ROWS($X$2:$X5),'Per Invoice'!$Y$2:$Y$401,0),"")</f>
        <v/>
      </c>
    </row>
    <row r="6">
      <c r="A6">
        <f>IF($X6="","",IF(INDEX('Per Invoice'!A$2:A$401,$X6)="","",INDEX('Per Invoice'!A$2:A$401,$X6)))</f>
        <v/>
      </c>
      <c r="B6">
        <f>IF($X6="","",IF(INDEX('Per Invoice'!B$2:B$401,$X6)="","",INDEX('Per Invoice'!B$2:B$401,$X6)))</f>
        <v/>
      </c>
      <c r="C6">
        <f>IF($X6="","",IF(INDEX('Per Invoice'!C$2:C$401,$X6)="","",INDEX('Per Invoice'!C$2:C$401,$X6)))</f>
        <v/>
      </c>
      <c r="D6">
        <f>IF($X6="","",IF(INDEX('Per Invoice'!D$2:D$401,$X6)="","",INDEX('Per Invoice'!D$2:D$401,$X6)))</f>
        <v/>
      </c>
      <c r="E6">
        <f>IF($X6="","",IF(INDEX('Per Invoice'!E$2:E$401,$X6)="","",INDEX('Per Invoice'!E$2:E$401,$X6)))</f>
        <v/>
      </c>
      <c r="F6">
        <f>IF($X6="","",IF(INDEX('Per Invoice'!F$2:F$401,$X6)="","",INDEX('Per Invoice'!F$2:F$401,$X6)))</f>
        <v/>
      </c>
      <c r="G6">
        <f>IF($X6="","",IF(INDEX('Per Invoice'!G$2:G$401,$X6)="","",INDEX('Per Invoice'!G$2:G$401,$X6)))</f>
        <v/>
      </c>
      <c r="H6">
        <f>IF($X6="","",IF(INDEX('Per Invoice'!H$2:H$401,$X6)="","",INDEX('Per Invoice'!H$2:H$401,$X6)))</f>
        <v/>
      </c>
      <c r="I6">
        <f>IF($X6="","",IF(INDEX('Per Invoice'!I$2:I$401,$X6)="","",INDEX('Per Invoice'!I$2:I$401,$X6)))</f>
        <v/>
      </c>
      <c r="J6">
        <f>IF($X6="","",IF(INDEX('Per Invoice'!J$2:J$401,$X6)="","",INDEX('Per Invoice'!J$2:J$401,$X6)))</f>
        <v/>
      </c>
      <c r="K6" s="14">
        <f>IF($X6="","",IF(INDEX('Per Invoice'!K$2:K$401,$X6)="","",INDEX('Per Invoice'!K$2:K$401,$X6)))</f>
        <v/>
      </c>
      <c r="L6">
        <f>IF($X6="","",IF(INDEX('Per Invoice'!L$2:L$401,$X6)="","",INDEX('Per Invoice'!L$2:L$401,$X6)))</f>
        <v/>
      </c>
      <c r="M6" s="7">
        <f>IF($X6="","",IF(INDEX('Per Invoice'!M$2:M$401,$X6)="","",INDEX('Per Invoice'!M$2:M$401,$X6)))</f>
        <v/>
      </c>
      <c r="N6">
        <f>IF($X6="","",IF(INDEX('Per Invoice'!N$2:N$401,$X6)="","",INDEX('Per Invoice'!N$2:N$401,$X6)))</f>
        <v/>
      </c>
      <c r="O6" s="7">
        <f>IF($X6="","",IF(INDEX('Per Invoice'!O$2:O$401,$X6)="","",INDEX('Per Invoice'!O$2:O$401,$X6)))</f>
        <v/>
      </c>
      <c r="P6" s="7">
        <f>IF($X6="","",IF(INDEX('Per Invoice'!P$2:P$401,$X6)="","",INDEX('Per Invoice'!P$2:P$401,$X6)))</f>
        <v/>
      </c>
      <c r="Q6">
        <f>IF($X6="","",IF(INDEX('Per Invoice'!Q$2:Q$401,$X6)="","",INDEX('Per Invoice'!Q$2:Q$401,$X6)))</f>
        <v/>
      </c>
      <c r="R6" s="7">
        <f>IF($X6="","",IF(INDEX('Per Invoice'!R$2:R$401,$X6)="","",INDEX('Per Invoice'!R$2:R$401,$X6)))</f>
        <v/>
      </c>
      <c r="S6" s="7">
        <f>IF($X6="","",IF(INDEX('Per Invoice'!S$2:S$401,$X6)="","",INDEX('Per Invoice'!S$2:S$401,$X6)))</f>
        <v/>
      </c>
      <c r="T6" s="7">
        <f>IF($X6="","",IF(INDEX('Per Invoice'!T$2:T$401,$X6)="","",INDEX('Per Invoice'!T$2:T$401,$X6)))</f>
        <v/>
      </c>
      <c r="U6" s="7">
        <f>IF($X6="","",IF(INDEX('Per Invoice'!U$2:U$401,$X6)="","",INDEX('Per Invoice'!U$2:U$401,$X6)))</f>
        <v/>
      </c>
      <c r="V6" s="7">
        <f>IF($X6="","",IF(INDEX('Per Invoice'!V$2:V$401,$X6)="","",INDEX('Per Invoice'!V$2:V$401,$X6)))</f>
        <v/>
      </c>
      <c r="W6" s="7">
        <f>IF($X6="","",IF(INDEX('Per Invoice'!W$2:W$401,$X6)="","",INDEX('Per Invoice'!W$2:W$401,$X6)))</f>
        <v/>
      </c>
      <c r="X6" s="16">
        <f>IFERROR(MATCH(Settings!$C$33&amp;"|"&amp;ROWS($X$2:$X6),'Per Invoice'!$Y$2:$Y$401,0),"")</f>
        <v/>
      </c>
    </row>
    <row r="7">
      <c r="A7">
        <f>IF($X7="","",IF(INDEX('Per Invoice'!A$2:A$401,$X7)="","",INDEX('Per Invoice'!A$2:A$401,$X7)))</f>
        <v/>
      </c>
      <c r="B7">
        <f>IF($X7="","",IF(INDEX('Per Invoice'!B$2:B$401,$X7)="","",INDEX('Per Invoice'!B$2:B$401,$X7)))</f>
        <v/>
      </c>
      <c r="C7">
        <f>IF($X7="","",IF(INDEX('Per Invoice'!C$2:C$401,$X7)="","",INDEX('Per Invoice'!C$2:C$401,$X7)))</f>
        <v/>
      </c>
      <c r="D7">
        <f>IF($X7="","",IF(INDEX('Per Invoice'!D$2:D$401,$X7)="","",INDEX('Per Invoice'!D$2:D$401,$X7)))</f>
        <v/>
      </c>
      <c r="E7">
        <f>IF($X7="","",IF(INDEX('Per Invoice'!E$2:E$401,$X7)="","",INDEX('Per Invoice'!E$2:E$401,$X7)))</f>
        <v/>
      </c>
      <c r="F7">
        <f>IF($X7="","",IF(INDEX('Per Invoice'!F$2:F$401,$X7)="","",INDEX('Per Invoice'!F$2:F$401,$X7)))</f>
        <v/>
      </c>
      <c r="G7">
        <f>IF($X7="","",IF(INDEX('Per Invoice'!G$2:G$401,$X7)="","",INDEX('Per Invoice'!G$2:G$401,$X7)))</f>
        <v/>
      </c>
      <c r="H7">
        <f>IF($X7="","",IF(INDEX('Per Invoice'!H$2:H$401,$X7)="","",INDEX('Per Invoice'!H$2:H$401,$X7)))</f>
        <v/>
      </c>
      <c r="I7">
        <f>IF($X7="","",IF(INDEX('Per Invoice'!I$2:I$401,$X7)="","",INDEX('Per Invoice'!I$2:I$401,$X7)))</f>
        <v/>
      </c>
      <c r="J7">
        <f>IF($X7="","",IF(INDEX('Per Invoice'!J$2:J$401,$X7)="","",INDEX('Per Invoice'!J$2:J$401,$X7)))</f>
        <v/>
      </c>
      <c r="K7" s="14">
        <f>IF($X7="","",IF(INDEX('Per Invoice'!K$2:K$401,$X7)="","",INDEX('Per Invoice'!K$2:K$401,$X7)))</f>
        <v/>
      </c>
      <c r="L7">
        <f>IF($X7="","",IF(INDEX('Per Invoice'!L$2:L$401,$X7)="","",INDEX('Per Invoice'!L$2:L$401,$X7)))</f>
        <v/>
      </c>
      <c r="M7" s="7">
        <f>IF($X7="","",IF(INDEX('Per Invoice'!M$2:M$401,$X7)="","",INDEX('Per Invoice'!M$2:M$401,$X7)))</f>
        <v/>
      </c>
      <c r="N7">
        <f>IF($X7="","",IF(INDEX('Per Invoice'!N$2:N$401,$X7)="","",INDEX('Per Invoice'!N$2:N$401,$X7)))</f>
        <v/>
      </c>
      <c r="O7" s="7">
        <f>IF($X7="","",IF(INDEX('Per Invoice'!O$2:O$401,$X7)="","",INDEX('Per Invoice'!O$2:O$401,$X7)))</f>
        <v/>
      </c>
      <c r="P7" s="7">
        <f>IF($X7="","",IF(INDEX('Per Invoice'!P$2:P$401,$X7)="","",INDEX('Per Invoice'!P$2:P$401,$X7)))</f>
        <v/>
      </c>
      <c r="Q7">
        <f>IF($X7="","",IF(INDEX('Per Invoice'!Q$2:Q$401,$X7)="","",INDEX('Per Invoice'!Q$2:Q$401,$X7)))</f>
        <v/>
      </c>
      <c r="R7" s="7">
        <f>IF($X7="","",IF(INDEX('Per Invoice'!R$2:R$401,$X7)="","",INDEX('Per Invoice'!R$2:R$401,$X7)))</f>
        <v/>
      </c>
      <c r="S7" s="7">
        <f>IF($X7="","",IF(INDEX('Per Invoice'!S$2:S$401,$X7)="","",INDEX('Per Invoice'!S$2:S$401,$X7)))</f>
        <v/>
      </c>
      <c r="T7" s="7">
        <f>IF($X7="","",IF(INDEX('Per Invoice'!T$2:T$401,$X7)="","",INDEX('Per Invoice'!T$2:T$401,$X7)))</f>
        <v/>
      </c>
      <c r="U7" s="7">
        <f>IF($X7="","",IF(INDEX('Per Invoice'!U$2:U$401,$X7)="","",INDEX('Per Invoice'!U$2:U$401,$X7)))</f>
        <v/>
      </c>
      <c r="V7" s="7">
        <f>IF($X7="","",IF(INDEX('Per Invoice'!V$2:V$401,$X7)="","",INDEX('Per Invoice'!V$2:V$401,$X7)))</f>
        <v/>
      </c>
      <c r="W7" s="7">
        <f>IF($X7="","",IF(INDEX('Per Invoice'!W$2:W$401,$X7)="","",INDEX('Per Invoice'!W$2:W$401,$X7)))</f>
        <v/>
      </c>
      <c r="X7" s="16">
        <f>IFERROR(MATCH(Settings!$C$33&amp;"|"&amp;ROWS($X$2:$X7),'Per Invoice'!$Y$2:$Y$401,0),"")</f>
        <v/>
      </c>
    </row>
    <row r="8">
      <c r="A8">
        <f>IF($X8="","",IF(INDEX('Per Invoice'!A$2:A$401,$X8)="","",INDEX('Per Invoice'!A$2:A$401,$X8)))</f>
        <v/>
      </c>
      <c r="B8">
        <f>IF($X8="","",IF(INDEX('Per Invoice'!B$2:B$401,$X8)="","",INDEX('Per Invoice'!B$2:B$401,$X8)))</f>
        <v/>
      </c>
      <c r="C8">
        <f>IF($X8="","",IF(INDEX('Per Invoice'!C$2:C$401,$X8)="","",INDEX('Per Invoice'!C$2:C$401,$X8)))</f>
        <v/>
      </c>
      <c r="D8">
        <f>IF($X8="","",IF(INDEX('Per Invoice'!D$2:D$401,$X8)="","",INDEX('Per Invoice'!D$2:D$401,$X8)))</f>
        <v/>
      </c>
      <c r="E8">
        <f>IF($X8="","",IF(INDEX('Per Invoice'!E$2:E$401,$X8)="","",INDEX('Per Invoice'!E$2:E$401,$X8)))</f>
        <v/>
      </c>
      <c r="F8">
        <f>IF($X8="","",IF(INDEX('Per Invoice'!F$2:F$401,$X8)="","",INDEX('Per Invoice'!F$2:F$401,$X8)))</f>
        <v/>
      </c>
      <c r="G8">
        <f>IF($X8="","",IF(INDEX('Per Invoice'!G$2:G$401,$X8)="","",INDEX('Per Invoice'!G$2:G$401,$X8)))</f>
        <v/>
      </c>
      <c r="H8">
        <f>IF($X8="","",IF(INDEX('Per Invoice'!H$2:H$401,$X8)="","",INDEX('Per Invoice'!H$2:H$401,$X8)))</f>
        <v/>
      </c>
      <c r="I8">
        <f>IF($X8="","",IF(INDEX('Per Invoice'!I$2:I$401,$X8)="","",INDEX('Per Invoice'!I$2:I$401,$X8)))</f>
        <v/>
      </c>
      <c r="J8">
        <f>IF($X8="","",IF(INDEX('Per Invoice'!J$2:J$401,$X8)="","",INDEX('Per Invoice'!J$2:J$401,$X8)))</f>
        <v/>
      </c>
      <c r="K8" s="14">
        <f>IF($X8="","",IF(INDEX('Per Invoice'!K$2:K$401,$X8)="","",INDEX('Per Invoice'!K$2:K$401,$X8)))</f>
        <v/>
      </c>
      <c r="L8">
        <f>IF($X8="","",IF(INDEX('Per Invoice'!L$2:L$401,$X8)="","",INDEX('Per Invoice'!L$2:L$401,$X8)))</f>
        <v/>
      </c>
      <c r="M8" s="7">
        <f>IF($X8="","",IF(INDEX('Per Invoice'!M$2:M$401,$X8)="","",INDEX('Per Invoice'!M$2:M$401,$X8)))</f>
        <v/>
      </c>
      <c r="N8">
        <f>IF($X8="","",IF(INDEX('Per Invoice'!N$2:N$401,$X8)="","",INDEX('Per Invoice'!N$2:N$401,$X8)))</f>
        <v/>
      </c>
      <c r="O8" s="7">
        <f>IF($X8="","",IF(INDEX('Per Invoice'!O$2:O$401,$X8)="","",INDEX('Per Invoice'!O$2:O$401,$X8)))</f>
        <v/>
      </c>
      <c r="P8" s="7">
        <f>IF($X8="","",IF(INDEX('Per Invoice'!P$2:P$401,$X8)="","",INDEX('Per Invoice'!P$2:P$401,$X8)))</f>
        <v/>
      </c>
      <c r="Q8">
        <f>IF($X8="","",IF(INDEX('Per Invoice'!Q$2:Q$401,$X8)="","",INDEX('Per Invoice'!Q$2:Q$401,$X8)))</f>
        <v/>
      </c>
      <c r="R8" s="7">
        <f>IF($X8="","",IF(INDEX('Per Invoice'!R$2:R$401,$X8)="","",INDEX('Per Invoice'!R$2:R$401,$X8)))</f>
        <v/>
      </c>
      <c r="S8" s="7">
        <f>IF($X8="","",IF(INDEX('Per Invoice'!S$2:S$401,$X8)="","",INDEX('Per Invoice'!S$2:S$401,$X8)))</f>
        <v/>
      </c>
      <c r="T8" s="7">
        <f>IF($X8="","",IF(INDEX('Per Invoice'!T$2:T$401,$X8)="","",INDEX('Per Invoice'!T$2:T$401,$X8)))</f>
        <v/>
      </c>
      <c r="U8" s="7">
        <f>IF($X8="","",IF(INDEX('Per Invoice'!U$2:U$401,$X8)="","",INDEX('Per Invoice'!U$2:U$401,$X8)))</f>
        <v/>
      </c>
      <c r="V8" s="7">
        <f>IF($X8="","",IF(INDEX('Per Invoice'!V$2:V$401,$X8)="","",INDEX('Per Invoice'!V$2:V$401,$X8)))</f>
        <v/>
      </c>
      <c r="W8" s="7">
        <f>IF($X8="","",IF(INDEX('Per Invoice'!W$2:W$401,$X8)="","",INDEX('Per Invoice'!W$2:W$401,$X8)))</f>
        <v/>
      </c>
      <c r="X8" s="16">
        <f>IFERROR(MATCH(Settings!$C$33&amp;"|"&amp;ROWS($X$2:$X8),'Per Invoice'!$Y$2:$Y$401,0),"")</f>
        <v/>
      </c>
    </row>
    <row r="9">
      <c r="A9">
        <f>IF($X9="","",IF(INDEX('Per Invoice'!A$2:A$401,$X9)="","",INDEX('Per Invoice'!A$2:A$401,$X9)))</f>
        <v/>
      </c>
      <c r="B9">
        <f>IF($X9="","",IF(INDEX('Per Invoice'!B$2:B$401,$X9)="","",INDEX('Per Invoice'!B$2:B$401,$X9)))</f>
        <v/>
      </c>
      <c r="C9">
        <f>IF($X9="","",IF(INDEX('Per Invoice'!C$2:C$401,$X9)="","",INDEX('Per Invoice'!C$2:C$401,$X9)))</f>
        <v/>
      </c>
      <c r="D9">
        <f>IF($X9="","",IF(INDEX('Per Invoice'!D$2:D$401,$X9)="","",INDEX('Per Invoice'!D$2:D$401,$X9)))</f>
        <v/>
      </c>
      <c r="E9">
        <f>IF($X9="","",IF(INDEX('Per Invoice'!E$2:E$401,$X9)="","",INDEX('Per Invoice'!E$2:E$401,$X9)))</f>
        <v/>
      </c>
      <c r="F9">
        <f>IF($X9="","",IF(INDEX('Per Invoice'!F$2:F$401,$X9)="","",INDEX('Per Invoice'!F$2:F$401,$X9)))</f>
        <v/>
      </c>
      <c r="G9">
        <f>IF($X9="","",IF(INDEX('Per Invoice'!G$2:G$401,$X9)="","",INDEX('Per Invoice'!G$2:G$401,$X9)))</f>
        <v/>
      </c>
      <c r="H9">
        <f>IF($X9="","",IF(INDEX('Per Invoice'!H$2:H$401,$X9)="","",INDEX('Per Invoice'!H$2:H$401,$X9)))</f>
        <v/>
      </c>
      <c r="I9">
        <f>IF($X9="","",IF(INDEX('Per Invoice'!I$2:I$401,$X9)="","",INDEX('Per Invoice'!I$2:I$401,$X9)))</f>
        <v/>
      </c>
      <c r="J9">
        <f>IF($X9="","",IF(INDEX('Per Invoice'!J$2:J$401,$X9)="","",INDEX('Per Invoice'!J$2:J$401,$X9)))</f>
        <v/>
      </c>
      <c r="K9" s="14">
        <f>IF($X9="","",IF(INDEX('Per Invoice'!K$2:K$401,$X9)="","",INDEX('Per Invoice'!K$2:K$401,$X9)))</f>
        <v/>
      </c>
      <c r="L9">
        <f>IF($X9="","",IF(INDEX('Per Invoice'!L$2:L$401,$X9)="","",INDEX('Per Invoice'!L$2:L$401,$X9)))</f>
        <v/>
      </c>
      <c r="M9" s="7">
        <f>IF($X9="","",IF(INDEX('Per Invoice'!M$2:M$401,$X9)="","",INDEX('Per Invoice'!M$2:M$401,$X9)))</f>
        <v/>
      </c>
      <c r="N9">
        <f>IF($X9="","",IF(INDEX('Per Invoice'!N$2:N$401,$X9)="","",INDEX('Per Invoice'!N$2:N$401,$X9)))</f>
        <v/>
      </c>
      <c r="O9" s="7">
        <f>IF($X9="","",IF(INDEX('Per Invoice'!O$2:O$401,$X9)="","",INDEX('Per Invoice'!O$2:O$401,$X9)))</f>
        <v/>
      </c>
      <c r="P9" s="7">
        <f>IF($X9="","",IF(INDEX('Per Invoice'!P$2:P$401,$X9)="","",INDEX('Per Invoice'!P$2:P$401,$X9)))</f>
        <v/>
      </c>
      <c r="Q9">
        <f>IF($X9="","",IF(INDEX('Per Invoice'!Q$2:Q$401,$X9)="","",INDEX('Per Invoice'!Q$2:Q$401,$X9)))</f>
        <v/>
      </c>
      <c r="R9" s="7">
        <f>IF($X9="","",IF(INDEX('Per Invoice'!R$2:R$401,$X9)="","",INDEX('Per Invoice'!R$2:R$401,$X9)))</f>
        <v/>
      </c>
      <c r="S9" s="7">
        <f>IF($X9="","",IF(INDEX('Per Invoice'!S$2:S$401,$X9)="","",INDEX('Per Invoice'!S$2:S$401,$X9)))</f>
        <v/>
      </c>
      <c r="T9" s="7">
        <f>IF($X9="","",IF(INDEX('Per Invoice'!T$2:T$401,$X9)="","",INDEX('Per Invoice'!T$2:T$401,$X9)))</f>
        <v/>
      </c>
      <c r="U9" s="7">
        <f>IF($X9="","",IF(INDEX('Per Invoice'!U$2:U$401,$X9)="","",INDEX('Per Invoice'!U$2:U$401,$X9)))</f>
        <v/>
      </c>
      <c r="V9" s="7">
        <f>IF($X9="","",IF(INDEX('Per Invoice'!V$2:V$401,$X9)="","",INDEX('Per Invoice'!V$2:V$401,$X9)))</f>
        <v/>
      </c>
      <c r="W9" s="7">
        <f>IF($X9="","",IF(INDEX('Per Invoice'!W$2:W$401,$X9)="","",INDEX('Per Invoice'!W$2:W$401,$X9)))</f>
        <v/>
      </c>
      <c r="X9" s="16">
        <f>IFERROR(MATCH(Settings!$C$33&amp;"|"&amp;ROWS($X$2:$X9),'Per Invoice'!$Y$2:$Y$401,0),"")</f>
        <v/>
      </c>
    </row>
    <row r="10">
      <c r="A10">
        <f>IF($X10="","",IF(INDEX('Per Invoice'!A$2:A$401,$X10)="","",INDEX('Per Invoice'!A$2:A$401,$X10)))</f>
        <v/>
      </c>
      <c r="B10">
        <f>IF($X10="","",IF(INDEX('Per Invoice'!B$2:B$401,$X10)="","",INDEX('Per Invoice'!B$2:B$401,$X10)))</f>
        <v/>
      </c>
      <c r="C10">
        <f>IF($X10="","",IF(INDEX('Per Invoice'!C$2:C$401,$X10)="","",INDEX('Per Invoice'!C$2:C$401,$X10)))</f>
        <v/>
      </c>
      <c r="D10">
        <f>IF($X10="","",IF(INDEX('Per Invoice'!D$2:D$401,$X10)="","",INDEX('Per Invoice'!D$2:D$401,$X10)))</f>
        <v/>
      </c>
      <c r="E10">
        <f>IF($X10="","",IF(INDEX('Per Invoice'!E$2:E$401,$X10)="","",INDEX('Per Invoice'!E$2:E$401,$X10)))</f>
        <v/>
      </c>
      <c r="F10">
        <f>IF($X10="","",IF(INDEX('Per Invoice'!F$2:F$401,$X10)="","",INDEX('Per Invoice'!F$2:F$401,$X10)))</f>
        <v/>
      </c>
      <c r="G10">
        <f>IF($X10="","",IF(INDEX('Per Invoice'!G$2:G$401,$X10)="","",INDEX('Per Invoice'!G$2:G$401,$X10)))</f>
        <v/>
      </c>
      <c r="H10">
        <f>IF($X10="","",IF(INDEX('Per Invoice'!H$2:H$401,$X10)="","",INDEX('Per Invoice'!H$2:H$401,$X10)))</f>
        <v/>
      </c>
      <c r="I10">
        <f>IF($X10="","",IF(INDEX('Per Invoice'!I$2:I$401,$X10)="","",INDEX('Per Invoice'!I$2:I$401,$X10)))</f>
        <v/>
      </c>
      <c r="J10">
        <f>IF($X10="","",IF(INDEX('Per Invoice'!J$2:J$401,$X10)="","",INDEX('Per Invoice'!J$2:J$401,$X10)))</f>
        <v/>
      </c>
      <c r="K10" s="14">
        <f>IF($X10="","",IF(INDEX('Per Invoice'!K$2:K$401,$X10)="","",INDEX('Per Invoice'!K$2:K$401,$X10)))</f>
        <v/>
      </c>
      <c r="L10">
        <f>IF($X10="","",IF(INDEX('Per Invoice'!L$2:L$401,$X10)="","",INDEX('Per Invoice'!L$2:L$401,$X10)))</f>
        <v/>
      </c>
      <c r="M10" s="7">
        <f>IF($X10="","",IF(INDEX('Per Invoice'!M$2:M$401,$X10)="","",INDEX('Per Invoice'!M$2:M$401,$X10)))</f>
        <v/>
      </c>
      <c r="N10">
        <f>IF($X10="","",IF(INDEX('Per Invoice'!N$2:N$401,$X10)="","",INDEX('Per Invoice'!N$2:N$401,$X10)))</f>
        <v/>
      </c>
      <c r="O10" s="7">
        <f>IF($X10="","",IF(INDEX('Per Invoice'!O$2:O$401,$X10)="","",INDEX('Per Invoice'!O$2:O$401,$X10)))</f>
        <v/>
      </c>
      <c r="P10" s="7">
        <f>IF($X10="","",IF(INDEX('Per Invoice'!P$2:P$401,$X10)="","",INDEX('Per Invoice'!P$2:P$401,$X10)))</f>
        <v/>
      </c>
      <c r="Q10">
        <f>IF($X10="","",IF(INDEX('Per Invoice'!Q$2:Q$401,$X10)="","",INDEX('Per Invoice'!Q$2:Q$401,$X10)))</f>
        <v/>
      </c>
      <c r="R10" s="7">
        <f>IF($X10="","",IF(INDEX('Per Invoice'!R$2:R$401,$X10)="","",INDEX('Per Invoice'!R$2:R$401,$X10)))</f>
        <v/>
      </c>
      <c r="S10" s="7">
        <f>IF($X10="","",IF(INDEX('Per Invoice'!S$2:S$401,$X10)="","",INDEX('Per Invoice'!S$2:S$401,$X10)))</f>
        <v/>
      </c>
      <c r="T10" s="7">
        <f>IF($X10="","",IF(INDEX('Per Invoice'!T$2:T$401,$X10)="","",INDEX('Per Invoice'!T$2:T$401,$X10)))</f>
        <v/>
      </c>
      <c r="U10" s="7">
        <f>IF($X10="","",IF(INDEX('Per Invoice'!U$2:U$401,$X10)="","",INDEX('Per Invoice'!U$2:U$401,$X10)))</f>
        <v/>
      </c>
      <c r="V10" s="7">
        <f>IF($X10="","",IF(INDEX('Per Invoice'!V$2:V$401,$X10)="","",INDEX('Per Invoice'!V$2:V$401,$X10)))</f>
        <v/>
      </c>
      <c r="W10" s="7">
        <f>IF($X10="","",IF(INDEX('Per Invoice'!W$2:W$401,$X10)="","",INDEX('Per Invoice'!W$2:W$401,$X10)))</f>
        <v/>
      </c>
      <c r="X10" s="16">
        <f>IFERROR(MATCH(Settings!$C$33&amp;"|"&amp;ROWS($X$2:$X10),'Per Invoice'!$Y$2:$Y$401,0),"")</f>
        <v/>
      </c>
    </row>
    <row r="11">
      <c r="A11">
        <f>IF($X11="","",IF(INDEX('Per Invoice'!A$2:A$401,$X11)="","",INDEX('Per Invoice'!A$2:A$401,$X11)))</f>
        <v/>
      </c>
      <c r="B11">
        <f>IF($X11="","",IF(INDEX('Per Invoice'!B$2:B$401,$X11)="","",INDEX('Per Invoice'!B$2:B$401,$X11)))</f>
        <v/>
      </c>
      <c r="C11">
        <f>IF($X11="","",IF(INDEX('Per Invoice'!C$2:C$401,$X11)="","",INDEX('Per Invoice'!C$2:C$401,$X11)))</f>
        <v/>
      </c>
      <c r="D11">
        <f>IF($X11="","",IF(INDEX('Per Invoice'!D$2:D$401,$X11)="","",INDEX('Per Invoice'!D$2:D$401,$X11)))</f>
        <v/>
      </c>
      <c r="E11">
        <f>IF($X11="","",IF(INDEX('Per Invoice'!E$2:E$401,$X11)="","",INDEX('Per Invoice'!E$2:E$401,$X11)))</f>
        <v/>
      </c>
      <c r="F11">
        <f>IF($X11="","",IF(INDEX('Per Invoice'!F$2:F$401,$X11)="","",INDEX('Per Invoice'!F$2:F$401,$X11)))</f>
        <v/>
      </c>
      <c r="G11">
        <f>IF($X11="","",IF(INDEX('Per Invoice'!G$2:G$401,$X11)="","",INDEX('Per Invoice'!G$2:G$401,$X11)))</f>
        <v/>
      </c>
      <c r="H11">
        <f>IF($X11="","",IF(INDEX('Per Invoice'!H$2:H$401,$X11)="","",INDEX('Per Invoice'!H$2:H$401,$X11)))</f>
        <v/>
      </c>
      <c r="I11">
        <f>IF($X11="","",IF(INDEX('Per Invoice'!I$2:I$401,$X11)="","",INDEX('Per Invoice'!I$2:I$401,$X11)))</f>
        <v/>
      </c>
      <c r="J11">
        <f>IF($X11="","",IF(INDEX('Per Invoice'!J$2:J$401,$X11)="","",INDEX('Per Invoice'!J$2:J$401,$X11)))</f>
        <v/>
      </c>
      <c r="K11" s="14">
        <f>IF($X11="","",IF(INDEX('Per Invoice'!K$2:K$401,$X11)="","",INDEX('Per Invoice'!K$2:K$401,$X11)))</f>
        <v/>
      </c>
      <c r="L11">
        <f>IF($X11="","",IF(INDEX('Per Invoice'!L$2:L$401,$X11)="","",INDEX('Per Invoice'!L$2:L$401,$X11)))</f>
        <v/>
      </c>
      <c r="M11" s="7">
        <f>IF($X11="","",IF(INDEX('Per Invoice'!M$2:M$401,$X11)="","",INDEX('Per Invoice'!M$2:M$401,$X11)))</f>
        <v/>
      </c>
      <c r="N11">
        <f>IF($X11="","",IF(INDEX('Per Invoice'!N$2:N$401,$X11)="","",INDEX('Per Invoice'!N$2:N$401,$X11)))</f>
        <v/>
      </c>
      <c r="O11" s="7">
        <f>IF($X11="","",IF(INDEX('Per Invoice'!O$2:O$401,$X11)="","",INDEX('Per Invoice'!O$2:O$401,$X11)))</f>
        <v/>
      </c>
      <c r="P11" s="7">
        <f>IF($X11="","",IF(INDEX('Per Invoice'!P$2:P$401,$X11)="","",INDEX('Per Invoice'!P$2:P$401,$X11)))</f>
        <v/>
      </c>
      <c r="Q11">
        <f>IF($X11="","",IF(INDEX('Per Invoice'!Q$2:Q$401,$X11)="","",INDEX('Per Invoice'!Q$2:Q$401,$X11)))</f>
        <v/>
      </c>
      <c r="R11" s="7">
        <f>IF($X11="","",IF(INDEX('Per Invoice'!R$2:R$401,$X11)="","",INDEX('Per Invoice'!R$2:R$401,$X11)))</f>
        <v/>
      </c>
      <c r="S11" s="7">
        <f>IF($X11="","",IF(INDEX('Per Invoice'!S$2:S$401,$X11)="","",INDEX('Per Invoice'!S$2:S$401,$X11)))</f>
        <v/>
      </c>
      <c r="T11" s="7">
        <f>IF($X11="","",IF(INDEX('Per Invoice'!T$2:T$401,$X11)="","",INDEX('Per Invoice'!T$2:T$401,$X11)))</f>
        <v/>
      </c>
      <c r="U11" s="7">
        <f>IF($X11="","",IF(INDEX('Per Invoice'!U$2:U$401,$X11)="","",INDEX('Per Invoice'!U$2:U$401,$X11)))</f>
        <v/>
      </c>
      <c r="V11" s="7">
        <f>IF($X11="","",IF(INDEX('Per Invoice'!V$2:V$401,$X11)="","",INDEX('Per Invoice'!V$2:V$401,$X11)))</f>
        <v/>
      </c>
      <c r="W11" s="7">
        <f>IF($X11="","",IF(INDEX('Per Invoice'!W$2:W$401,$X11)="","",INDEX('Per Invoice'!W$2:W$401,$X11)))</f>
        <v/>
      </c>
      <c r="X11" s="16">
        <f>IFERROR(MATCH(Settings!$C$33&amp;"|"&amp;ROWS($X$2:$X11),'Per Invoice'!$Y$2:$Y$401,0),"")</f>
        <v/>
      </c>
    </row>
    <row r="12">
      <c r="A12">
        <f>IF($X12="","",IF(INDEX('Per Invoice'!A$2:A$401,$X12)="","",INDEX('Per Invoice'!A$2:A$401,$X12)))</f>
        <v/>
      </c>
      <c r="B12">
        <f>IF($X12="","",IF(INDEX('Per Invoice'!B$2:B$401,$X12)="","",INDEX('Per Invoice'!B$2:B$401,$X12)))</f>
        <v/>
      </c>
      <c r="C12">
        <f>IF($X12="","",IF(INDEX('Per Invoice'!C$2:C$401,$X12)="","",INDEX('Per Invoice'!C$2:C$401,$X12)))</f>
        <v/>
      </c>
      <c r="D12">
        <f>IF($X12="","",IF(INDEX('Per Invoice'!D$2:D$401,$X12)="","",INDEX('Per Invoice'!D$2:D$401,$X12)))</f>
        <v/>
      </c>
      <c r="E12">
        <f>IF($X12="","",IF(INDEX('Per Invoice'!E$2:E$401,$X12)="","",INDEX('Per Invoice'!E$2:E$401,$X12)))</f>
        <v/>
      </c>
      <c r="F12">
        <f>IF($X12="","",IF(INDEX('Per Invoice'!F$2:F$401,$X12)="","",INDEX('Per Invoice'!F$2:F$401,$X12)))</f>
        <v/>
      </c>
      <c r="G12">
        <f>IF($X12="","",IF(INDEX('Per Invoice'!G$2:G$401,$X12)="","",INDEX('Per Invoice'!G$2:G$401,$X12)))</f>
        <v/>
      </c>
      <c r="H12">
        <f>IF($X12="","",IF(INDEX('Per Invoice'!H$2:H$401,$X12)="","",INDEX('Per Invoice'!H$2:H$401,$X12)))</f>
        <v/>
      </c>
      <c r="I12">
        <f>IF($X12="","",IF(INDEX('Per Invoice'!I$2:I$401,$X12)="","",INDEX('Per Invoice'!I$2:I$401,$X12)))</f>
        <v/>
      </c>
      <c r="J12">
        <f>IF($X12="","",IF(INDEX('Per Invoice'!J$2:J$401,$X12)="","",INDEX('Per Invoice'!J$2:J$401,$X12)))</f>
        <v/>
      </c>
      <c r="K12" s="14">
        <f>IF($X12="","",IF(INDEX('Per Invoice'!K$2:K$401,$X12)="","",INDEX('Per Invoice'!K$2:K$401,$X12)))</f>
        <v/>
      </c>
      <c r="L12">
        <f>IF($X12="","",IF(INDEX('Per Invoice'!L$2:L$401,$X12)="","",INDEX('Per Invoice'!L$2:L$401,$X12)))</f>
        <v/>
      </c>
      <c r="M12" s="7">
        <f>IF($X12="","",IF(INDEX('Per Invoice'!M$2:M$401,$X12)="","",INDEX('Per Invoice'!M$2:M$401,$X12)))</f>
        <v/>
      </c>
      <c r="N12">
        <f>IF($X12="","",IF(INDEX('Per Invoice'!N$2:N$401,$X12)="","",INDEX('Per Invoice'!N$2:N$401,$X12)))</f>
        <v/>
      </c>
      <c r="O12" s="7">
        <f>IF($X12="","",IF(INDEX('Per Invoice'!O$2:O$401,$X12)="","",INDEX('Per Invoice'!O$2:O$401,$X12)))</f>
        <v/>
      </c>
      <c r="P12" s="7">
        <f>IF($X12="","",IF(INDEX('Per Invoice'!P$2:P$401,$X12)="","",INDEX('Per Invoice'!P$2:P$401,$X12)))</f>
        <v/>
      </c>
      <c r="Q12">
        <f>IF($X12="","",IF(INDEX('Per Invoice'!Q$2:Q$401,$X12)="","",INDEX('Per Invoice'!Q$2:Q$401,$X12)))</f>
        <v/>
      </c>
      <c r="R12" s="7">
        <f>IF($X12="","",IF(INDEX('Per Invoice'!R$2:R$401,$X12)="","",INDEX('Per Invoice'!R$2:R$401,$X12)))</f>
        <v/>
      </c>
      <c r="S12" s="7">
        <f>IF($X12="","",IF(INDEX('Per Invoice'!S$2:S$401,$X12)="","",INDEX('Per Invoice'!S$2:S$401,$X12)))</f>
        <v/>
      </c>
      <c r="T12" s="7">
        <f>IF($X12="","",IF(INDEX('Per Invoice'!T$2:T$401,$X12)="","",INDEX('Per Invoice'!T$2:T$401,$X12)))</f>
        <v/>
      </c>
      <c r="U12" s="7">
        <f>IF($X12="","",IF(INDEX('Per Invoice'!U$2:U$401,$X12)="","",INDEX('Per Invoice'!U$2:U$401,$X12)))</f>
        <v/>
      </c>
      <c r="V12" s="7">
        <f>IF($X12="","",IF(INDEX('Per Invoice'!V$2:V$401,$X12)="","",INDEX('Per Invoice'!V$2:V$401,$X12)))</f>
        <v/>
      </c>
      <c r="W12" s="7">
        <f>IF($X12="","",IF(INDEX('Per Invoice'!W$2:W$401,$X12)="","",INDEX('Per Invoice'!W$2:W$401,$X12)))</f>
        <v/>
      </c>
      <c r="X12" s="16">
        <f>IFERROR(MATCH(Settings!$C$33&amp;"|"&amp;ROWS($X$2:$X12),'Per Invoice'!$Y$2:$Y$401,0),"")</f>
        <v/>
      </c>
    </row>
    <row r="13">
      <c r="A13">
        <f>IF($X13="","",IF(INDEX('Per Invoice'!A$2:A$401,$X13)="","",INDEX('Per Invoice'!A$2:A$401,$X13)))</f>
        <v/>
      </c>
      <c r="B13">
        <f>IF($X13="","",IF(INDEX('Per Invoice'!B$2:B$401,$X13)="","",INDEX('Per Invoice'!B$2:B$401,$X13)))</f>
        <v/>
      </c>
      <c r="C13">
        <f>IF($X13="","",IF(INDEX('Per Invoice'!C$2:C$401,$X13)="","",INDEX('Per Invoice'!C$2:C$401,$X13)))</f>
        <v/>
      </c>
      <c r="D13">
        <f>IF($X13="","",IF(INDEX('Per Invoice'!D$2:D$401,$X13)="","",INDEX('Per Invoice'!D$2:D$401,$X13)))</f>
        <v/>
      </c>
      <c r="E13">
        <f>IF($X13="","",IF(INDEX('Per Invoice'!E$2:E$401,$X13)="","",INDEX('Per Invoice'!E$2:E$401,$X13)))</f>
        <v/>
      </c>
      <c r="F13">
        <f>IF($X13="","",IF(INDEX('Per Invoice'!F$2:F$401,$X13)="","",INDEX('Per Invoice'!F$2:F$401,$X13)))</f>
        <v/>
      </c>
      <c r="G13">
        <f>IF($X13="","",IF(INDEX('Per Invoice'!G$2:G$401,$X13)="","",INDEX('Per Invoice'!G$2:G$401,$X13)))</f>
        <v/>
      </c>
      <c r="H13">
        <f>IF($X13="","",IF(INDEX('Per Invoice'!H$2:H$401,$X13)="","",INDEX('Per Invoice'!H$2:H$401,$X13)))</f>
        <v/>
      </c>
      <c r="I13">
        <f>IF($X13="","",IF(INDEX('Per Invoice'!I$2:I$401,$X13)="","",INDEX('Per Invoice'!I$2:I$401,$X13)))</f>
        <v/>
      </c>
      <c r="J13">
        <f>IF($X13="","",IF(INDEX('Per Invoice'!J$2:J$401,$X13)="","",INDEX('Per Invoice'!J$2:J$401,$X13)))</f>
        <v/>
      </c>
      <c r="K13" s="14">
        <f>IF($X13="","",IF(INDEX('Per Invoice'!K$2:K$401,$X13)="","",INDEX('Per Invoice'!K$2:K$401,$X13)))</f>
        <v/>
      </c>
      <c r="L13">
        <f>IF($X13="","",IF(INDEX('Per Invoice'!L$2:L$401,$X13)="","",INDEX('Per Invoice'!L$2:L$401,$X13)))</f>
        <v/>
      </c>
      <c r="M13" s="7">
        <f>IF($X13="","",IF(INDEX('Per Invoice'!M$2:M$401,$X13)="","",INDEX('Per Invoice'!M$2:M$401,$X13)))</f>
        <v/>
      </c>
      <c r="N13">
        <f>IF($X13="","",IF(INDEX('Per Invoice'!N$2:N$401,$X13)="","",INDEX('Per Invoice'!N$2:N$401,$X13)))</f>
        <v/>
      </c>
      <c r="O13" s="7">
        <f>IF($X13="","",IF(INDEX('Per Invoice'!O$2:O$401,$X13)="","",INDEX('Per Invoice'!O$2:O$401,$X13)))</f>
        <v/>
      </c>
      <c r="P13" s="7">
        <f>IF($X13="","",IF(INDEX('Per Invoice'!P$2:P$401,$X13)="","",INDEX('Per Invoice'!P$2:P$401,$X13)))</f>
        <v/>
      </c>
      <c r="Q13">
        <f>IF($X13="","",IF(INDEX('Per Invoice'!Q$2:Q$401,$X13)="","",INDEX('Per Invoice'!Q$2:Q$401,$X13)))</f>
        <v/>
      </c>
      <c r="R13" s="7">
        <f>IF($X13="","",IF(INDEX('Per Invoice'!R$2:R$401,$X13)="","",INDEX('Per Invoice'!R$2:R$401,$X13)))</f>
        <v/>
      </c>
      <c r="S13" s="7">
        <f>IF($X13="","",IF(INDEX('Per Invoice'!S$2:S$401,$X13)="","",INDEX('Per Invoice'!S$2:S$401,$X13)))</f>
        <v/>
      </c>
      <c r="T13" s="7">
        <f>IF($X13="","",IF(INDEX('Per Invoice'!T$2:T$401,$X13)="","",INDEX('Per Invoice'!T$2:T$401,$X13)))</f>
        <v/>
      </c>
      <c r="U13" s="7">
        <f>IF($X13="","",IF(INDEX('Per Invoice'!U$2:U$401,$X13)="","",INDEX('Per Invoice'!U$2:U$401,$X13)))</f>
        <v/>
      </c>
      <c r="V13" s="7">
        <f>IF($X13="","",IF(INDEX('Per Invoice'!V$2:V$401,$X13)="","",INDEX('Per Invoice'!V$2:V$401,$X13)))</f>
        <v/>
      </c>
      <c r="W13" s="7">
        <f>IF($X13="","",IF(INDEX('Per Invoice'!W$2:W$401,$X13)="","",INDEX('Per Invoice'!W$2:W$401,$X13)))</f>
        <v/>
      </c>
      <c r="X13" s="16">
        <f>IFERROR(MATCH(Settings!$C$33&amp;"|"&amp;ROWS($X$2:$X13),'Per Invoice'!$Y$2:$Y$401,0),"")</f>
        <v/>
      </c>
    </row>
    <row r="14">
      <c r="A14">
        <f>IF($X14="","",IF(INDEX('Per Invoice'!A$2:A$401,$X14)="","",INDEX('Per Invoice'!A$2:A$401,$X14)))</f>
        <v/>
      </c>
      <c r="B14">
        <f>IF($X14="","",IF(INDEX('Per Invoice'!B$2:B$401,$X14)="","",INDEX('Per Invoice'!B$2:B$401,$X14)))</f>
        <v/>
      </c>
      <c r="C14">
        <f>IF($X14="","",IF(INDEX('Per Invoice'!C$2:C$401,$X14)="","",INDEX('Per Invoice'!C$2:C$401,$X14)))</f>
        <v/>
      </c>
      <c r="D14">
        <f>IF($X14="","",IF(INDEX('Per Invoice'!D$2:D$401,$X14)="","",INDEX('Per Invoice'!D$2:D$401,$X14)))</f>
        <v/>
      </c>
      <c r="E14">
        <f>IF($X14="","",IF(INDEX('Per Invoice'!E$2:E$401,$X14)="","",INDEX('Per Invoice'!E$2:E$401,$X14)))</f>
        <v/>
      </c>
      <c r="F14">
        <f>IF($X14="","",IF(INDEX('Per Invoice'!F$2:F$401,$X14)="","",INDEX('Per Invoice'!F$2:F$401,$X14)))</f>
        <v/>
      </c>
      <c r="G14">
        <f>IF($X14="","",IF(INDEX('Per Invoice'!G$2:G$401,$X14)="","",INDEX('Per Invoice'!G$2:G$401,$X14)))</f>
        <v/>
      </c>
      <c r="H14">
        <f>IF($X14="","",IF(INDEX('Per Invoice'!H$2:H$401,$X14)="","",INDEX('Per Invoice'!H$2:H$401,$X14)))</f>
        <v/>
      </c>
      <c r="I14">
        <f>IF($X14="","",IF(INDEX('Per Invoice'!I$2:I$401,$X14)="","",INDEX('Per Invoice'!I$2:I$401,$X14)))</f>
        <v/>
      </c>
      <c r="J14">
        <f>IF($X14="","",IF(INDEX('Per Invoice'!J$2:J$401,$X14)="","",INDEX('Per Invoice'!J$2:J$401,$X14)))</f>
        <v/>
      </c>
      <c r="K14" s="14">
        <f>IF($X14="","",IF(INDEX('Per Invoice'!K$2:K$401,$X14)="","",INDEX('Per Invoice'!K$2:K$401,$X14)))</f>
        <v/>
      </c>
      <c r="L14">
        <f>IF($X14="","",IF(INDEX('Per Invoice'!L$2:L$401,$X14)="","",INDEX('Per Invoice'!L$2:L$401,$X14)))</f>
        <v/>
      </c>
      <c r="M14" s="7">
        <f>IF($X14="","",IF(INDEX('Per Invoice'!M$2:M$401,$X14)="","",INDEX('Per Invoice'!M$2:M$401,$X14)))</f>
        <v/>
      </c>
      <c r="N14">
        <f>IF($X14="","",IF(INDEX('Per Invoice'!N$2:N$401,$X14)="","",INDEX('Per Invoice'!N$2:N$401,$X14)))</f>
        <v/>
      </c>
      <c r="O14" s="7">
        <f>IF($X14="","",IF(INDEX('Per Invoice'!O$2:O$401,$X14)="","",INDEX('Per Invoice'!O$2:O$401,$X14)))</f>
        <v/>
      </c>
      <c r="P14" s="7">
        <f>IF($X14="","",IF(INDEX('Per Invoice'!P$2:P$401,$X14)="","",INDEX('Per Invoice'!P$2:P$401,$X14)))</f>
        <v/>
      </c>
      <c r="Q14">
        <f>IF($X14="","",IF(INDEX('Per Invoice'!Q$2:Q$401,$X14)="","",INDEX('Per Invoice'!Q$2:Q$401,$X14)))</f>
        <v/>
      </c>
      <c r="R14" s="7">
        <f>IF($X14="","",IF(INDEX('Per Invoice'!R$2:R$401,$X14)="","",INDEX('Per Invoice'!R$2:R$401,$X14)))</f>
        <v/>
      </c>
      <c r="S14" s="7">
        <f>IF($X14="","",IF(INDEX('Per Invoice'!S$2:S$401,$X14)="","",INDEX('Per Invoice'!S$2:S$401,$X14)))</f>
        <v/>
      </c>
      <c r="T14" s="7">
        <f>IF($X14="","",IF(INDEX('Per Invoice'!T$2:T$401,$X14)="","",INDEX('Per Invoice'!T$2:T$401,$X14)))</f>
        <v/>
      </c>
      <c r="U14" s="7">
        <f>IF($X14="","",IF(INDEX('Per Invoice'!U$2:U$401,$X14)="","",INDEX('Per Invoice'!U$2:U$401,$X14)))</f>
        <v/>
      </c>
      <c r="V14" s="7">
        <f>IF($X14="","",IF(INDEX('Per Invoice'!V$2:V$401,$X14)="","",INDEX('Per Invoice'!V$2:V$401,$X14)))</f>
        <v/>
      </c>
      <c r="W14" s="7">
        <f>IF($X14="","",IF(INDEX('Per Invoice'!W$2:W$401,$X14)="","",INDEX('Per Invoice'!W$2:W$401,$X14)))</f>
        <v/>
      </c>
      <c r="X14" s="16">
        <f>IFERROR(MATCH(Settings!$C$33&amp;"|"&amp;ROWS($X$2:$X14),'Per Invoice'!$Y$2:$Y$401,0),"")</f>
        <v/>
      </c>
    </row>
    <row r="15">
      <c r="A15">
        <f>IF($X15="","",IF(INDEX('Per Invoice'!A$2:A$401,$X15)="","",INDEX('Per Invoice'!A$2:A$401,$X15)))</f>
        <v/>
      </c>
      <c r="B15">
        <f>IF($X15="","",IF(INDEX('Per Invoice'!B$2:B$401,$X15)="","",INDEX('Per Invoice'!B$2:B$401,$X15)))</f>
        <v/>
      </c>
      <c r="C15">
        <f>IF($X15="","",IF(INDEX('Per Invoice'!C$2:C$401,$X15)="","",INDEX('Per Invoice'!C$2:C$401,$X15)))</f>
        <v/>
      </c>
      <c r="D15">
        <f>IF($X15="","",IF(INDEX('Per Invoice'!D$2:D$401,$X15)="","",INDEX('Per Invoice'!D$2:D$401,$X15)))</f>
        <v/>
      </c>
      <c r="E15">
        <f>IF($X15="","",IF(INDEX('Per Invoice'!E$2:E$401,$X15)="","",INDEX('Per Invoice'!E$2:E$401,$X15)))</f>
        <v/>
      </c>
      <c r="F15">
        <f>IF($X15="","",IF(INDEX('Per Invoice'!F$2:F$401,$X15)="","",INDEX('Per Invoice'!F$2:F$401,$X15)))</f>
        <v/>
      </c>
      <c r="G15">
        <f>IF($X15="","",IF(INDEX('Per Invoice'!G$2:G$401,$X15)="","",INDEX('Per Invoice'!G$2:G$401,$X15)))</f>
        <v/>
      </c>
      <c r="H15">
        <f>IF($X15="","",IF(INDEX('Per Invoice'!H$2:H$401,$X15)="","",INDEX('Per Invoice'!H$2:H$401,$X15)))</f>
        <v/>
      </c>
      <c r="I15">
        <f>IF($X15="","",IF(INDEX('Per Invoice'!I$2:I$401,$X15)="","",INDEX('Per Invoice'!I$2:I$401,$X15)))</f>
        <v/>
      </c>
      <c r="J15">
        <f>IF($X15="","",IF(INDEX('Per Invoice'!J$2:J$401,$X15)="","",INDEX('Per Invoice'!J$2:J$401,$X15)))</f>
        <v/>
      </c>
      <c r="K15" s="14">
        <f>IF($X15="","",IF(INDEX('Per Invoice'!K$2:K$401,$X15)="","",INDEX('Per Invoice'!K$2:K$401,$X15)))</f>
        <v/>
      </c>
      <c r="L15">
        <f>IF($X15="","",IF(INDEX('Per Invoice'!L$2:L$401,$X15)="","",INDEX('Per Invoice'!L$2:L$401,$X15)))</f>
        <v/>
      </c>
      <c r="M15" s="7">
        <f>IF($X15="","",IF(INDEX('Per Invoice'!M$2:M$401,$X15)="","",INDEX('Per Invoice'!M$2:M$401,$X15)))</f>
        <v/>
      </c>
      <c r="N15">
        <f>IF($X15="","",IF(INDEX('Per Invoice'!N$2:N$401,$X15)="","",INDEX('Per Invoice'!N$2:N$401,$X15)))</f>
        <v/>
      </c>
      <c r="O15" s="7">
        <f>IF($X15="","",IF(INDEX('Per Invoice'!O$2:O$401,$X15)="","",INDEX('Per Invoice'!O$2:O$401,$X15)))</f>
        <v/>
      </c>
      <c r="P15" s="7">
        <f>IF($X15="","",IF(INDEX('Per Invoice'!P$2:P$401,$X15)="","",INDEX('Per Invoice'!P$2:P$401,$X15)))</f>
        <v/>
      </c>
      <c r="Q15">
        <f>IF($X15="","",IF(INDEX('Per Invoice'!Q$2:Q$401,$X15)="","",INDEX('Per Invoice'!Q$2:Q$401,$X15)))</f>
        <v/>
      </c>
      <c r="R15" s="7">
        <f>IF($X15="","",IF(INDEX('Per Invoice'!R$2:R$401,$X15)="","",INDEX('Per Invoice'!R$2:R$401,$X15)))</f>
        <v/>
      </c>
      <c r="S15" s="7">
        <f>IF($X15="","",IF(INDEX('Per Invoice'!S$2:S$401,$X15)="","",INDEX('Per Invoice'!S$2:S$401,$X15)))</f>
        <v/>
      </c>
      <c r="T15" s="7">
        <f>IF($X15="","",IF(INDEX('Per Invoice'!T$2:T$401,$X15)="","",INDEX('Per Invoice'!T$2:T$401,$X15)))</f>
        <v/>
      </c>
      <c r="U15" s="7">
        <f>IF($X15="","",IF(INDEX('Per Invoice'!U$2:U$401,$X15)="","",INDEX('Per Invoice'!U$2:U$401,$X15)))</f>
        <v/>
      </c>
      <c r="V15" s="7">
        <f>IF($X15="","",IF(INDEX('Per Invoice'!V$2:V$401,$X15)="","",INDEX('Per Invoice'!V$2:V$401,$X15)))</f>
        <v/>
      </c>
      <c r="W15" s="7">
        <f>IF($X15="","",IF(INDEX('Per Invoice'!W$2:W$401,$X15)="","",INDEX('Per Invoice'!W$2:W$401,$X15)))</f>
        <v/>
      </c>
      <c r="X15" s="16">
        <f>IFERROR(MATCH(Settings!$C$33&amp;"|"&amp;ROWS($X$2:$X15),'Per Invoice'!$Y$2:$Y$401,0),"")</f>
        <v/>
      </c>
    </row>
    <row r="16">
      <c r="A16">
        <f>IF($X16="","",IF(INDEX('Per Invoice'!A$2:A$401,$X16)="","",INDEX('Per Invoice'!A$2:A$401,$X16)))</f>
        <v/>
      </c>
      <c r="B16">
        <f>IF($X16="","",IF(INDEX('Per Invoice'!B$2:B$401,$X16)="","",INDEX('Per Invoice'!B$2:B$401,$X16)))</f>
        <v/>
      </c>
      <c r="C16">
        <f>IF($X16="","",IF(INDEX('Per Invoice'!C$2:C$401,$X16)="","",INDEX('Per Invoice'!C$2:C$401,$X16)))</f>
        <v/>
      </c>
      <c r="D16">
        <f>IF($X16="","",IF(INDEX('Per Invoice'!D$2:D$401,$X16)="","",INDEX('Per Invoice'!D$2:D$401,$X16)))</f>
        <v/>
      </c>
      <c r="E16">
        <f>IF($X16="","",IF(INDEX('Per Invoice'!E$2:E$401,$X16)="","",INDEX('Per Invoice'!E$2:E$401,$X16)))</f>
        <v/>
      </c>
      <c r="F16">
        <f>IF($X16="","",IF(INDEX('Per Invoice'!F$2:F$401,$X16)="","",INDEX('Per Invoice'!F$2:F$401,$X16)))</f>
        <v/>
      </c>
      <c r="G16">
        <f>IF($X16="","",IF(INDEX('Per Invoice'!G$2:G$401,$X16)="","",INDEX('Per Invoice'!G$2:G$401,$X16)))</f>
        <v/>
      </c>
      <c r="H16">
        <f>IF($X16="","",IF(INDEX('Per Invoice'!H$2:H$401,$X16)="","",INDEX('Per Invoice'!H$2:H$401,$X16)))</f>
        <v/>
      </c>
      <c r="I16">
        <f>IF($X16="","",IF(INDEX('Per Invoice'!I$2:I$401,$X16)="","",INDEX('Per Invoice'!I$2:I$401,$X16)))</f>
        <v/>
      </c>
      <c r="J16">
        <f>IF($X16="","",IF(INDEX('Per Invoice'!J$2:J$401,$X16)="","",INDEX('Per Invoice'!J$2:J$401,$X16)))</f>
        <v/>
      </c>
      <c r="K16" s="14">
        <f>IF($X16="","",IF(INDEX('Per Invoice'!K$2:K$401,$X16)="","",INDEX('Per Invoice'!K$2:K$401,$X16)))</f>
        <v/>
      </c>
      <c r="L16">
        <f>IF($X16="","",IF(INDEX('Per Invoice'!L$2:L$401,$X16)="","",INDEX('Per Invoice'!L$2:L$401,$X16)))</f>
        <v/>
      </c>
      <c r="M16" s="7">
        <f>IF($X16="","",IF(INDEX('Per Invoice'!M$2:M$401,$X16)="","",INDEX('Per Invoice'!M$2:M$401,$X16)))</f>
        <v/>
      </c>
      <c r="N16">
        <f>IF($X16="","",IF(INDEX('Per Invoice'!N$2:N$401,$X16)="","",INDEX('Per Invoice'!N$2:N$401,$X16)))</f>
        <v/>
      </c>
      <c r="O16" s="7">
        <f>IF($X16="","",IF(INDEX('Per Invoice'!O$2:O$401,$X16)="","",INDEX('Per Invoice'!O$2:O$401,$X16)))</f>
        <v/>
      </c>
      <c r="P16" s="7">
        <f>IF($X16="","",IF(INDEX('Per Invoice'!P$2:P$401,$X16)="","",INDEX('Per Invoice'!P$2:P$401,$X16)))</f>
        <v/>
      </c>
      <c r="Q16">
        <f>IF($X16="","",IF(INDEX('Per Invoice'!Q$2:Q$401,$X16)="","",INDEX('Per Invoice'!Q$2:Q$401,$X16)))</f>
        <v/>
      </c>
      <c r="R16" s="7">
        <f>IF($X16="","",IF(INDEX('Per Invoice'!R$2:R$401,$X16)="","",INDEX('Per Invoice'!R$2:R$401,$X16)))</f>
        <v/>
      </c>
      <c r="S16" s="7">
        <f>IF($X16="","",IF(INDEX('Per Invoice'!S$2:S$401,$X16)="","",INDEX('Per Invoice'!S$2:S$401,$X16)))</f>
        <v/>
      </c>
      <c r="T16" s="7">
        <f>IF($X16="","",IF(INDEX('Per Invoice'!T$2:T$401,$X16)="","",INDEX('Per Invoice'!T$2:T$401,$X16)))</f>
        <v/>
      </c>
      <c r="U16" s="7">
        <f>IF($X16="","",IF(INDEX('Per Invoice'!U$2:U$401,$X16)="","",INDEX('Per Invoice'!U$2:U$401,$X16)))</f>
        <v/>
      </c>
      <c r="V16" s="7">
        <f>IF($X16="","",IF(INDEX('Per Invoice'!V$2:V$401,$X16)="","",INDEX('Per Invoice'!V$2:V$401,$X16)))</f>
        <v/>
      </c>
      <c r="W16" s="7">
        <f>IF($X16="","",IF(INDEX('Per Invoice'!W$2:W$401,$X16)="","",INDEX('Per Invoice'!W$2:W$401,$X16)))</f>
        <v/>
      </c>
      <c r="X16" s="16">
        <f>IFERROR(MATCH(Settings!$C$33&amp;"|"&amp;ROWS($X$2:$X16),'Per Invoice'!$Y$2:$Y$401,0),"")</f>
        <v/>
      </c>
    </row>
    <row r="17">
      <c r="A17">
        <f>IF($X17="","",IF(INDEX('Per Invoice'!A$2:A$401,$X17)="","",INDEX('Per Invoice'!A$2:A$401,$X17)))</f>
        <v/>
      </c>
      <c r="B17">
        <f>IF($X17="","",IF(INDEX('Per Invoice'!B$2:B$401,$X17)="","",INDEX('Per Invoice'!B$2:B$401,$X17)))</f>
        <v/>
      </c>
      <c r="C17">
        <f>IF($X17="","",IF(INDEX('Per Invoice'!C$2:C$401,$X17)="","",INDEX('Per Invoice'!C$2:C$401,$X17)))</f>
        <v/>
      </c>
      <c r="D17">
        <f>IF($X17="","",IF(INDEX('Per Invoice'!D$2:D$401,$X17)="","",INDEX('Per Invoice'!D$2:D$401,$X17)))</f>
        <v/>
      </c>
      <c r="E17">
        <f>IF($X17="","",IF(INDEX('Per Invoice'!E$2:E$401,$X17)="","",INDEX('Per Invoice'!E$2:E$401,$X17)))</f>
        <v/>
      </c>
      <c r="F17">
        <f>IF($X17="","",IF(INDEX('Per Invoice'!F$2:F$401,$X17)="","",INDEX('Per Invoice'!F$2:F$401,$X17)))</f>
        <v/>
      </c>
      <c r="G17">
        <f>IF($X17="","",IF(INDEX('Per Invoice'!G$2:G$401,$X17)="","",INDEX('Per Invoice'!G$2:G$401,$X17)))</f>
        <v/>
      </c>
      <c r="H17">
        <f>IF($X17="","",IF(INDEX('Per Invoice'!H$2:H$401,$X17)="","",INDEX('Per Invoice'!H$2:H$401,$X17)))</f>
        <v/>
      </c>
      <c r="I17">
        <f>IF($X17="","",IF(INDEX('Per Invoice'!I$2:I$401,$X17)="","",INDEX('Per Invoice'!I$2:I$401,$X17)))</f>
        <v/>
      </c>
      <c r="J17">
        <f>IF($X17="","",IF(INDEX('Per Invoice'!J$2:J$401,$X17)="","",INDEX('Per Invoice'!J$2:J$401,$X17)))</f>
        <v/>
      </c>
      <c r="K17" s="14">
        <f>IF($X17="","",IF(INDEX('Per Invoice'!K$2:K$401,$X17)="","",INDEX('Per Invoice'!K$2:K$401,$X17)))</f>
        <v/>
      </c>
      <c r="L17">
        <f>IF($X17="","",IF(INDEX('Per Invoice'!L$2:L$401,$X17)="","",INDEX('Per Invoice'!L$2:L$401,$X17)))</f>
        <v/>
      </c>
      <c r="M17" s="7">
        <f>IF($X17="","",IF(INDEX('Per Invoice'!M$2:M$401,$X17)="","",INDEX('Per Invoice'!M$2:M$401,$X17)))</f>
        <v/>
      </c>
      <c r="N17">
        <f>IF($X17="","",IF(INDEX('Per Invoice'!N$2:N$401,$X17)="","",INDEX('Per Invoice'!N$2:N$401,$X17)))</f>
        <v/>
      </c>
      <c r="O17" s="7">
        <f>IF($X17="","",IF(INDEX('Per Invoice'!O$2:O$401,$X17)="","",INDEX('Per Invoice'!O$2:O$401,$X17)))</f>
        <v/>
      </c>
      <c r="P17" s="7">
        <f>IF($X17="","",IF(INDEX('Per Invoice'!P$2:P$401,$X17)="","",INDEX('Per Invoice'!P$2:P$401,$X17)))</f>
        <v/>
      </c>
      <c r="Q17">
        <f>IF($X17="","",IF(INDEX('Per Invoice'!Q$2:Q$401,$X17)="","",INDEX('Per Invoice'!Q$2:Q$401,$X17)))</f>
        <v/>
      </c>
      <c r="R17" s="7">
        <f>IF($X17="","",IF(INDEX('Per Invoice'!R$2:R$401,$X17)="","",INDEX('Per Invoice'!R$2:R$401,$X17)))</f>
        <v/>
      </c>
      <c r="S17" s="7">
        <f>IF($X17="","",IF(INDEX('Per Invoice'!S$2:S$401,$X17)="","",INDEX('Per Invoice'!S$2:S$401,$X17)))</f>
        <v/>
      </c>
      <c r="T17" s="7">
        <f>IF($X17="","",IF(INDEX('Per Invoice'!T$2:T$401,$X17)="","",INDEX('Per Invoice'!T$2:T$401,$X17)))</f>
        <v/>
      </c>
      <c r="U17" s="7">
        <f>IF($X17="","",IF(INDEX('Per Invoice'!U$2:U$401,$X17)="","",INDEX('Per Invoice'!U$2:U$401,$X17)))</f>
        <v/>
      </c>
      <c r="V17" s="7">
        <f>IF($X17="","",IF(INDEX('Per Invoice'!V$2:V$401,$X17)="","",INDEX('Per Invoice'!V$2:V$401,$X17)))</f>
        <v/>
      </c>
      <c r="W17" s="7">
        <f>IF($X17="","",IF(INDEX('Per Invoice'!W$2:W$401,$X17)="","",INDEX('Per Invoice'!W$2:W$401,$X17)))</f>
        <v/>
      </c>
      <c r="X17" s="16">
        <f>IFERROR(MATCH(Settings!$C$33&amp;"|"&amp;ROWS($X$2:$X17),'Per Invoice'!$Y$2:$Y$401,0),"")</f>
        <v/>
      </c>
    </row>
    <row r="18">
      <c r="A18">
        <f>IF($X18="","",IF(INDEX('Per Invoice'!A$2:A$401,$X18)="","",INDEX('Per Invoice'!A$2:A$401,$X18)))</f>
        <v/>
      </c>
      <c r="B18">
        <f>IF($X18="","",IF(INDEX('Per Invoice'!B$2:B$401,$X18)="","",INDEX('Per Invoice'!B$2:B$401,$X18)))</f>
        <v/>
      </c>
      <c r="C18">
        <f>IF($X18="","",IF(INDEX('Per Invoice'!C$2:C$401,$X18)="","",INDEX('Per Invoice'!C$2:C$401,$X18)))</f>
        <v/>
      </c>
      <c r="D18">
        <f>IF($X18="","",IF(INDEX('Per Invoice'!D$2:D$401,$X18)="","",INDEX('Per Invoice'!D$2:D$401,$X18)))</f>
        <v/>
      </c>
      <c r="E18">
        <f>IF($X18="","",IF(INDEX('Per Invoice'!E$2:E$401,$X18)="","",INDEX('Per Invoice'!E$2:E$401,$X18)))</f>
        <v/>
      </c>
      <c r="F18">
        <f>IF($X18="","",IF(INDEX('Per Invoice'!F$2:F$401,$X18)="","",INDEX('Per Invoice'!F$2:F$401,$X18)))</f>
        <v/>
      </c>
      <c r="G18">
        <f>IF($X18="","",IF(INDEX('Per Invoice'!G$2:G$401,$X18)="","",INDEX('Per Invoice'!G$2:G$401,$X18)))</f>
        <v/>
      </c>
      <c r="H18">
        <f>IF($X18="","",IF(INDEX('Per Invoice'!H$2:H$401,$X18)="","",INDEX('Per Invoice'!H$2:H$401,$X18)))</f>
        <v/>
      </c>
      <c r="I18">
        <f>IF($X18="","",IF(INDEX('Per Invoice'!I$2:I$401,$X18)="","",INDEX('Per Invoice'!I$2:I$401,$X18)))</f>
        <v/>
      </c>
      <c r="J18">
        <f>IF($X18="","",IF(INDEX('Per Invoice'!J$2:J$401,$X18)="","",INDEX('Per Invoice'!J$2:J$401,$X18)))</f>
        <v/>
      </c>
      <c r="K18" s="14">
        <f>IF($X18="","",IF(INDEX('Per Invoice'!K$2:K$401,$X18)="","",INDEX('Per Invoice'!K$2:K$401,$X18)))</f>
        <v/>
      </c>
      <c r="L18">
        <f>IF($X18="","",IF(INDEX('Per Invoice'!L$2:L$401,$X18)="","",INDEX('Per Invoice'!L$2:L$401,$X18)))</f>
        <v/>
      </c>
      <c r="M18" s="7">
        <f>IF($X18="","",IF(INDEX('Per Invoice'!M$2:M$401,$X18)="","",INDEX('Per Invoice'!M$2:M$401,$X18)))</f>
        <v/>
      </c>
      <c r="N18">
        <f>IF($X18="","",IF(INDEX('Per Invoice'!N$2:N$401,$X18)="","",INDEX('Per Invoice'!N$2:N$401,$X18)))</f>
        <v/>
      </c>
      <c r="O18" s="7">
        <f>IF($X18="","",IF(INDEX('Per Invoice'!O$2:O$401,$X18)="","",INDEX('Per Invoice'!O$2:O$401,$X18)))</f>
        <v/>
      </c>
      <c r="P18" s="7">
        <f>IF($X18="","",IF(INDEX('Per Invoice'!P$2:P$401,$X18)="","",INDEX('Per Invoice'!P$2:P$401,$X18)))</f>
        <v/>
      </c>
      <c r="Q18">
        <f>IF($X18="","",IF(INDEX('Per Invoice'!Q$2:Q$401,$X18)="","",INDEX('Per Invoice'!Q$2:Q$401,$X18)))</f>
        <v/>
      </c>
      <c r="R18" s="7">
        <f>IF($X18="","",IF(INDEX('Per Invoice'!R$2:R$401,$X18)="","",INDEX('Per Invoice'!R$2:R$401,$X18)))</f>
        <v/>
      </c>
      <c r="S18" s="7">
        <f>IF($X18="","",IF(INDEX('Per Invoice'!S$2:S$401,$X18)="","",INDEX('Per Invoice'!S$2:S$401,$X18)))</f>
        <v/>
      </c>
      <c r="T18" s="7">
        <f>IF($X18="","",IF(INDEX('Per Invoice'!T$2:T$401,$X18)="","",INDEX('Per Invoice'!T$2:T$401,$X18)))</f>
        <v/>
      </c>
      <c r="U18" s="7">
        <f>IF($X18="","",IF(INDEX('Per Invoice'!U$2:U$401,$X18)="","",INDEX('Per Invoice'!U$2:U$401,$X18)))</f>
        <v/>
      </c>
      <c r="V18" s="7">
        <f>IF($X18="","",IF(INDEX('Per Invoice'!V$2:V$401,$X18)="","",INDEX('Per Invoice'!V$2:V$401,$X18)))</f>
        <v/>
      </c>
      <c r="W18" s="7">
        <f>IF($X18="","",IF(INDEX('Per Invoice'!W$2:W$401,$X18)="","",INDEX('Per Invoice'!W$2:W$401,$X18)))</f>
        <v/>
      </c>
      <c r="X18" s="16">
        <f>IFERROR(MATCH(Settings!$C$33&amp;"|"&amp;ROWS($X$2:$X18),'Per Invoice'!$Y$2:$Y$401,0),"")</f>
        <v/>
      </c>
    </row>
    <row r="19">
      <c r="A19">
        <f>IF($X19="","",IF(INDEX('Per Invoice'!A$2:A$401,$X19)="","",INDEX('Per Invoice'!A$2:A$401,$X19)))</f>
        <v/>
      </c>
      <c r="B19">
        <f>IF($X19="","",IF(INDEX('Per Invoice'!B$2:B$401,$X19)="","",INDEX('Per Invoice'!B$2:B$401,$X19)))</f>
        <v/>
      </c>
      <c r="C19">
        <f>IF($X19="","",IF(INDEX('Per Invoice'!C$2:C$401,$X19)="","",INDEX('Per Invoice'!C$2:C$401,$X19)))</f>
        <v/>
      </c>
      <c r="D19">
        <f>IF($X19="","",IF(INDEX('Per Invoice'!D$2:D$401,$X19)="","",INDEX('Per Invoice'!D$2:D$401,$X19)))</f>
        <v/>
      </c>
      <c r="E19">
        <f>IF($X19="","",IF(INDEX('Per Invoice'!E$2:E$401,$X19)="","",INDEX('Per Invoice'!E$2:E$401,$X19)))</f>
        <v/>
      </c>
      <c r="F19">
        <f>IF($X19="","",IF(INDEX('Per Invoice'!F$2:F$401,$X19)="","",INDEX('Per Invoice'!F$2:F$401,$X19)))</f>
        <v/>
      </c>
      <c r="G19">
        <f>IF($X19="","",IF(INDEX('Per Invoice'!G$2:G$401,$X19)="","",INDEX('Per Invoice'!G$2:G$401,$X19)))</f>
        <v/>
      </c>
      <c r="H19">
        <f>IF($X19="","",IF(INDEX('Per Invoice'!H$2:H$401,$X19)="","",INDEX('Per Invoice'!H$2:H$401,$X19)))</f>
        <v/>
      </c>
      <c r="I19">
        <f>IF($X19="","",IF(INDEX('Per Invoice'!I$2:I$401,$X19)="","",INDEX('Per Invoice'!I$2:I$401,$X19)))</f>
        <v/>
      </c>
      <c r="J19">
        <f>IF($X19="","",IF(INDEX('Per Invoice'!J$2:J$401,$X19)="","",INDEX('Per Invoice'!J$2:J$401,$X19)))</f>
        <v/>
      </c>
      <c r="K19" s="14">
        <f>IF($X19="","",IF(INDEX('Per Invoice'!K$2:K$401,$X19)="","",INDEX('Per Invoice'!K$2:K$401,$X19)))</f>
        <v/>
      </c>
      <c r="L19">
        <f>IF($X19="","",IF(INDEX('Per Invoice'!L$2:L$401,$X19)="","",INDEX('Per Invoice'!L$2:L$401,$X19)))</f>
        <v/>
      </c>
      <c r="M19" s="7">
        <f>IF($X19="","",IF(INDEX('Per Invoice'!M$2:M$401,$X19)="","",INDEX('Per Invoice'!M$2:M$401,$X19)))</f>
        <v/>
      </c>
      <c r="N19">
        <f>IF($X19="","",IF(INDEX('Per Invoice'!N$2:N$401,$X19)="","",INDEX('Per Invoice'!N$2:N$401,$X19)))</f>
        <v/>
      </c>
      <c r="O19" s="7">
        <f>IF($X19="","",IF(INDEX('Per Invoice'!O$2:O$401,$X19)="","",INDEX('Per Invoice'!O$2:O$401,$X19)))</f>
        <v/>
      </c>
      <c r="P19" s="7">
        <f>IF($X19="","",IF(INDEX('Per Invoice'!P$2:P$401,$X19)="","",INDEX('Per Invoice'!P$2:P$401,$X19)))</f>
        <v/>
      </c>
      <c r="Q19">
        <f>IF($X19="","",IF(INDEX('Per Invoice'!Q$2:Q$401,$X19)="","",INDEX('Per Invoice'!Q$2:Q$401,$X19)))</f>
        <v/>
      </c>
      <c r="R19" s="7">
        <f>IF($X19="","",IF(INDEX('Per Invoice'!R$2:R$401,$X19)="","",INDEX('Per Invoice'!R$2:R$401,$X19)))</f>
        <v/>
      </c>
      <c r="S19" s="7">
        <f>IF($X19="","",IF(INDEX('Per Invoice'!S$2:S$401,$X19)="","",INDEX('Per Invoice'!S$2:S$401,$X19)))</f>
        <v/>
      </c>
      <c r="T19" s="7">
        <f>IF($X19="","",IF(INDEX('Per Invoice'!T$2:T$401,$X19)="","",INDEX('Per Invoice'!T$2:T$401,$X19)))</f>
        <v/>
      </c>
      <c r="U19" s="7">
        <f>IF($X19="","",IF(INDEX('Per Invoice'!U$2:U$401,$X19)="","",INDEX('Per Invoice'!U$2:U$401,$X19)))</f>
        <v/>
      </c>
      <c r="V19" s="7">
        <f>IF($X19="","",IF(INDEX('Per Invoice'!V$2:V$401,$X19)="","",INDEX('Per Invoice'!V$2:V$401,$X19)))</f>
        <v/>
      </c>
      <c r="W19" s="7">
        <f>IF($X19="","",IF(INDEX('Per Invoice'!W$2:W$401,$X19)="","",INDEX('Per Invoice'!W$2:W$401,$X19)))</f>
        <v/>
      </c>
      <c r="X19" s="16">
        <f>IFERROR(MATCH(Settings!$C$33&amp;"|"&amp;ROWS($X$2:$X19),'Per Invoice'!$Y$2:$Y$401,0),"")</f>
        <v/>
      </c>
    </row>
    <row r="20">
      <c r="A20">
        <f>IF($X20="","",IF(INDEX('Per Invoice'!A$2:A$401,$X20)="","",INDEX('Per Invoice'!A$2:A$401,$X20)))</f>
        <v/>
      </c>
      <c r="B20">
        <f>IF($X20="","",IF(INDEX('Per Invoice'!B$2:B$401,$X20)="","",INDEX('Per Invoice'!B$2:B$401,$X20)))</f>
        <v/>
      </c>
      <c r="C20">
        <f>IF($X20="","",IF(INDEX('Per Invoice'!C$2:C$401,$X20)="","",INDEX('Per Invoice'!C$2:C$401,$X20)))</f>
        <v/>
      </c>
      <c r="D20">
        <f>IF($X20="","",IF(INDEX('Per Invoice'!D$2:D$401,$X20)="","",INDEX('Per Invoice'!D$2:D$401,$X20)))</f>
        <v/>
      </c>
      <c r="E20">
        <f>IF($X20="","",IF(INDEX('Per Invoice'!E$2:E$401,$X20)="","",INDEX('Per Invoice'!E$2:E$401,$X20)))</f>
        <v/>
      </c>
      <c r="F20">
        <f>IF($X20="","",IF(INDEX('Per Invoice'!F$2:F$401,$X20)="","",INDEX('Per Invoice'!F$2:F$401,$X20)))</f>
        <v/>
      </c>
      <c r="G20">
        <f>IF($X20="","",IF(INDEX('Per Invoice'!G$2:G$401,$X20)="","",INDEX('Per Invoice'!G$2:G$401,$X20)))</f>
        <v/>
      </c>
      <c r="H20">
        <f>IF($X20="","",IF(INDEX('Per Invoice'!H$2:H$401,$X20)="","",INDEX('Per Invoice'!H$2:H$401,$X20)))</f>
        <v/>
      </c>
      <c r="I20">
        <f>IF($X20="","",IF(INDEX('Per Invoice'!I$2:I$401,$X20)="","",INDEX('Per Invoice'!I$2:I$401,$X20)))</f>
        <v/>
      </c>
      <c r="J20">
        <f>IF($X20="","",IF(INDEX('Per Invoice'!J$2:J$401,$X20)="","",INDEX('Per Invoice'!J$2:J$401,$X20)))</f>
        <v/>
      </c>
      <c r="K20" s="14">
        <f>IF($X20="","",IF(INDEX('Per Invoice'!K$2:K$401,$X20)="","",INDEX('Per Invoice'!K$2:K$401,$X20)))</f>
        <v/>
      </c>
      <c r="L20">
        <f>IF($X20="","",IF(INDEX('Per Invoice'!L$2:L$401,$X20)="","",INDEX('Per Invoice'!L$2:L$401,$X20)))</f>
        <v/>
      </c>
      <c r="M20" s="7">
        <f>IF($X20="","",IF(INDEX('Per Invoice'!M$2:M$401,$X20)="","",INDEX('Per Invoice'!M$2:M$401,$X20)))</f>
        <v/>
      </c>
      <c r="N20">
        <f>IF($X20="","",IF(INDEX('Per Invoice'!N$2:N$401,$X20)="","",INDEX('Per Invoice'!N$2:N$401,$X20)))</f>
        <v/>
      </c>
      <c r="O20" s="7">
        <f>IF($X20="","",IF(INDEX('Per Invoice'!O$2:O$401,$X20)="","",INDEX('Per Invoice'!O$2:O$401,$X20)))</f>
        <v/>
      </c>
      <c r="P20" s="7">
        <f>IF($X20="","",IF(INDEX('Per Invoice'!P$2:P$401,$X20)="","",INDEX('Per Invoice'!P$2:P$401,$X20)))</f>
        <v/>
      </c>
      <c r="Q20">
        <f>IF($X20="","",IF(INDEX('Per Invoice'!Q$2:Q$401,$X20)="","",INDEX('Per Invoice'!Q$2:Q$401,$X20)))</f>
        <v/>
      </c>
      <c r="R20" s="7">
        <f>IF($X20="","",IF(INDEX('Per Invoice'!R$2:R$401,$X20)="","",INDEX('Per Invoice'!R$2:R$401,$X20)))</f>
        <v/>
      </c>
      <c r="S20" s="7">
        <f>IF($X20="","",IF(INDEX('Per Invoice'!S$2:S$401,$X20)="","",INDEX('Per Invoice'!S$2:S$401,$X20)))</f>
        <v/>
      </c>
      <c r="T20" s="7">
        <f>IF($X20="","",IF(INDEX('Per Invoice'!T$2:T$401,$X20)="","",INDEX('Per Invoice'!T$2:T$401,$X20)))</f>
        <v/>
      </c>
      <c r="U20" s="7">
        <f>IF($X20="","",IF(INDEX('Per Invoice'!U$2:U$401,$X20)="","",INDEX('Per Invoice'!U$2:U$401,$X20)))</f>
        <v/>
      </c>
      <c r="V20" s="7">
        <f>IF($X20="","",IF(INDEX('Per Invoice'!V$2:V$401,$X20)="","",INDEX('Per Invoice'!V$2:V$401,$X20)))</f>
        <v/>
      </c>
      <c r="W20" s="7">
        <f>IF($X20="","",IF(INDEX('Per Invoice'!W$2:W$401,$X20)="","",INDEX('Per Invoice'!W$2:W$401,$X20)))</f>
        <v/>
      </c>
      <c r="X20" s="16">
        <f>IFERROR(MATCH(Settings!$C$33&amp;"|"&amp;ROWS($X$2:$X20),'Per Invoice'!$Y$2:$Y$401,0),"")</f>
        <v/>
      </c>
    </row>
    <row r="21">
      <c r="A21">
        <f>IF($X21="","",IF(INDEX('Per Invoice'!A$2:A$401,$X21)="","",INDEX('Per Invoice'!A$2:A$401,$X21)))</f>
        <v/>
      </c>
      <c r="B21">
        <f>IF($X21="","",IF(INDEX('Per Invoice'!B$2:B$401,$X21)="","",INDEX('Per Invoice'!B$2:B$401,$X21)))</f>
        <v/>
      </c>
      <c r="C21">
        <f>IF($X21="","",IF(INDEX('Per Invoice'!C$2:C$401,$X21)="","",INDEX('Per Invoice'!C$2:C$401,$X21)))</f>
        <v/>
      </c>
      <c r="D21">
        <f>IF($X21="","",IF(INDEX('Per Invoice'!D$2:D$401,$X21)="","",INDEX('Per Invoice'!D$2:D$401,$X21)))</f>
        <v/>
      </c>
      <c r="E21">
        <f>IF($X21="","",IF(INDEX('Per Invoice'!E$2:E$401,$X21)="","",INDEX('Per Invoice'!E$2:E$401,$X21)))</f>
        <v/>
      </c>
      <c r="F21">
        <f>IF($X21="","",IF(INDEX('Per Invoice'!F$2:F$401,$X21)="","",INDEX('Per Invoice'!F$2:F$401,$X21)))</f>
        <v/>
      </c>
      <c r="G21">
        <f>IF($X21="","",IF(INDEX('Per Invoice'!G$2:G$401,$X21)="","",INDEX('Per Invoice'!G$2:G$401,$X21)))</f>
        <v/>
      </c>
      <c r="H21">
        <f>IF($X21="","",IF(INDEX('Per Invoice'!H$2:H$401,$X21)="","",INDEX('Per Invoice'!H$2:H$401,$X21)))</f>
        <v/>
      </c>
      <c r="I21">
        <f>IF($X21="","",IF(INDEX('Per Invoice'!I$2:I$401,$X21)="","",INDEX('Per Invoice'!I$2:I$401,$X21)))</f>
        <v/>
      </c>
      <c r="J21">
        <f>IF($X21="","",IF(INDEX('Per Invoice'!J$2:J$401,$X21)="","",INDEX('Per Invoice'!J$2:J$401,$X21)))</f>
        <v/>
      </c>
      <c r="K21" s="14">
        <f>IF($X21="","",IF(INDEX('Per Invoice'!K$2:K$401,$X21)="","",INDEX('Per Invoice'!K$2:K$401,$X21)))</f>
        <v/>
      </c>
      <c r="L21">
        <f>IF($X21="","",IF(INDEX('Per Invoice'!L$2:L$401,$X21)="","",INDEX('Per Invoice'!L$2:L$401,$X21)))</f>
        <v/>
      </c>
      <c r="M21" s="7">
        <f>IF($X21="","",IF(INDEX('Per Invoice'!M$2:M$401,$X21)="","",INDEX('Per Invoice'!M$2:M$401,$X21)))</f>
        <v/>
      </c>
      <c r="N21">
        <f>IF($X21="","",IF(INDEX('Per Invoice'!N$2:N$401,$X21)="","",INDEX('Per Invoice'!N$2:N$401,$X21)))</f>
        <v/>
      </c>
      <c r="O21" s="7">
        <f>IF($X21="","",IF(INDEX('Per Invoice'!O$2:O$401,$X21)="","",INDEX('Per Invoice'!O$2:O$401,$X21)))</f>
        <v/>
      </c>
      <c r="P21" s="7">
        <f>IF($X21="","",IF(INDEX('Per Invoice'!P$2:P$401,$X21)="","",INDEX('Per Invoice'!P$2:P$401,$X21)))</f>
        <v/>
      </c>
      <c r="Q21">
        <f>IF($X21="","",IF(INDEX('Per Invoice'!Q$2:Q$401,$X21)="","",INDEX('Per Invoice'!Q$2:Q$401,$X21)))</f>
        <v/>
      </c>
      <c r="R21" s="7">
        <f>IF($X21="","",IF(INDEX('Per Invoice'!R$2:R$401,$X21)="","",INDEX('Per Invoice'!R$2:R$401,$X21)))</f>
        <v/>
      </c>
      <c r="S21" s="7">
        <f>IF($X21="","",IF(INDEX('Per Invoice'!S$2:S$401,$X21)="","",INDEX('Per Invoice'!S$2:S$401,$X21)))</f>
        <v/>
      </c>
      <c r="T21" s="7">
        <f>IF($X21="","",IF(INDEX('Per Invoice'!T$2:T$401,$X21)="","",INDEX('Per Invoice'!T$2:T$401,$X21)))</f>
        <v/>
      </c>
      <c r="U21" s="7">
        <f>IF($X21="","",IF(INDEX('Per Invoice'!U$2:U$401,$X21)="","",INDEX('Per Invoice'!U$2:U$401,$X21)))</f>
        <v/>
      </c>
      <c r="V21" s="7">
        <f>IF($X21="","",IF(INDEX('Per Invoice'!V$2:V$401,$X21)="","",INDEX('Per Invoice'!V$2:V$401,$X21)))</f>
        <v/>
      </c>
      <c r="W21" s="7">
        <f>IF($X21="","",IF(INDEX('Per Invoice'!W$2:W$401,$X21)="","",INDEX('Per Invoice'!W$2:W$401,$X21)))</f>
        <v/>
      </c>
      <c r="X21" s="16">
        <f>IFERROR(MATCH(Settings!$C$33&amp;"|"&amp;ROWS($X$2:$X21),'Per Invoice'!$Y$2:$Y$401,0),"")</f>
        <v/>
      </c>
    </row>
    <row r="22">
      <c r="A22">
        <f>IF($X22="","",IF(INDEX('Per Invoice'!A$2:A$401,$X22)="","",INDEX('Per Invoice'!A$2:A$401,$X22)))</f>
        <v/>
      </c>
      <c r="B22">
        <f>IF($X22="","",IF(INDEX('Per Invoice'!B$2:B$401,$X22)="","",INDEX('Per Invoice'!B$2:B$401,$X22)))</f>
        <v/>
      </c>
      <c r="C22">
        <f>IF($X22="","",IF(INDEX('Per Invoice'!C$2:C$401,$X22)="","",INDEX('Per Invoice'!C$2:C$401,$X22)))</f>
        <v/>
      </c>
      <c r="D22">
        <f>IF($X22="","",IF(INDEX('Per Invoice'!D$2:D$401,$X22)="","",INDEX('Per Invoice'!D$2:D$401,$X22)))</f>
        <v/>
      </c>
      <c r="E22">
        <f>IF($X22="","",IF(INDEX('Per Invoice'!E$2:E$401,$X22)="","",INDEX('Per Invoice'!E$2:E$401,$X22)))</f>
        <v/>
      </c>
      <c r="F22">
        <f>IF($X22="","",IF(INDEX('Per Invoice'!F$2:F$401,$X22)="","",INDEX('Per Invoice'!F$2:F$401,$X22)))</f>
        <v/>
      </c>
      <c r="G22">
        <f>IF($X22="","",IF(INDEX('Per Invoice'!G$2:G$401,$X22)="","",INDEX('Per Invoice'!G$2:G$401,$X22)))</f>
        <v/>
      </c>
      <c r="H22">
        <f>IF($X22="","",IF(INDEX('Per Invoice'!H$2:H$401,$X22)="","",INDEX('Per Invoice'!H$2:H$401,$X22)))</f>
        <v/>
      </c>
      <c r="I22">
        <f>IF($X22="","",IF(INDEX('Per Invoice'!I$2:I$401,$X22)="","",INDEX('Per Invoice'!I$2:I$401,$X22)))</f>
        <v/>
      </c>
      <c r="J22">
        <f>IF($X22="","",IF(INDEX('Per Invoice'!J$2:J$401,$X22)="","",INDEX('Per Invoice'!J$2:J$401,$X22)))</f>
        <v/>
      </c>
      <c r="K22" s="14">
        <f>IF($X22="","",IF(INDEX('Per Invoice'!K$2:K$401,$X22)="","",INDEX('Per Invoice'!K$2:K$401,$X22)))</f>
        <v/>
      </c>
      <c r="L22">
        <f>IF($X22="","",IF(INDEX('Per Invoice'!L$2:L$401,$X22)="","",INDEX('Per Invoice'!L$2:L$401,$X22)))</f>
        <v/>
      </c>
      <c r="M22" s="7">
        <f>IF($X22="","",IF(INDEX('Per Invoice'!M$2:M$401,$X22)="","",INDEX('Per Invoice'!M$2:M$401,$X22)))</f>
        <v/>
      </c>
      <c r="N22">
        <f>IF($X22="","",IF(INDEX('Per Invoice'!N$2:N$401,$X22)="","",INDEX('Per Invoice'!N$2:N$401,$X22)))</f>
        <v/>
      </c>
      <c r="O22" s="7">
        <f>IF($X22="","",IF(INDEX('Per Invoice'!O$2:O$401,$X22)="","",INDEX('Per Invoice'!O$2:O$401,$X22)))</f>
        <v/>
      </c>
      <c r="P22" s="7">
        <f>IF($X22="","",IF(INDEX('Per Invoice'!P$2:P$401,$X22)="","",INDEX('Per Invoice'!P$2:P$401,$X22)))</f>
        <v/>
      </c>
      <c r="Q22">
        <f>IF($X22="","",IF(INDEX('Per Invoice'!Q$2:Q$401,$X22)="","",INDEX('Per Invoice'!Q$2:Q$401,$X22)))</f>
        <v/>
      </c>
      <c r="R22" s="7">
        <f>IF($X22="","",IF(INDEX('Per Invoice'!R$2:R$401,$X22)="","",INDEX('Per Invoice'!R$2:R$401,$X22)))</f>
        <v/>
      </c>
      <c r="S22" s="7">
        <f>IF($X22="","",IF(INDEX('Per Invoice'!S$2:S$401,$X22)="","",INDEX('Per Invoice'!S$2:S$401,$X22)))</f>
        <v/>
      </c>
      <c r="T22" s="7">
        <f>IF($X22="","",IF(INDEX('Per Invoice'!T$2:T$401,$X22)="","",INDEX('Per Invoice'!T$2:T$401,$X22)))</f>
        <v/>
      </c>
      <c r="U22" s="7">
        <f>IF($X22="","",IF(INDEX('Per Invoice'!U$2:U$401,$X22)="","",INDEX('Per Invoice'!U$2:U$401,$X22)))</f>
        <v/>
      </c>
      <c r="V22" s="7">
        <f>IF($X22="","",IF(INDEX('Per Invoice'!V$2:V$401,$X22)="","",INDEX('Per Invoice'!V$2:V$401,$X22)))</f>
        <v/>
      </c>
      <c r="W22" s="7">
        <f>IF($X22="","",IF(INDEX('Per Invoice'!W$2:W$401,$X22)="","",INDEX('Per Invoice'!W$2:W$401,$X22)))</f>
        <v/>
      </c>
      <c r="X22" s="16">
        <f>IFERROR(MATCH(Settings!$C$33&amp;"|"&amp;ROWS($X$2:$X22),'Per Invoice'!$Y$2:$Y$401,0),"")</f>
        <v/>
      </c>
    </row>
    <row r="23">
      <c r="A23">
        <f>IF($X23="","",IF(INDEX('Per Invoice'!A$2:A$401,$X23)="","",INDEX('Per Invoice'!A$2:A$401,$X23)))</f>
        <v/>
      </c>
      <c r="B23">
        <f>IF($X23="","",IF(INDEX('Per Invoice'!B$2:B$401,$X23)="","",INDEX('Per Invoice'!B$2:B$401,$X23)))</f>
        <v/>
      </c>
      <c r="C23">
        <f>IF($X23="","",IF(INDEX('Per Invoice'!C$2:C$401,$X23)="","",INDEX('Per Invoice'!C$2:C$401,$X23)))</f>
        <v/>
      </c>
      <c r="D23">
        <f>IF($X23="","",IF(INDEX('Per Invoice'!D$2:D$401,$X23)="","",INDEX('Per Invoice'!D$2:D$401,$X23)))</f>
        <v/>
      </c>
      <c r="E23">
        <f>IF($X23="","",IF(INDEX('Per Invoice'!E$2:E$401,$X23)="","",INDEX('Per Invoice'!E$2:E$401,$X23)))</f>
        <v/>
      </c>
      <c r="F23">
        <f>IF($X23="","",IF(INDEX('Per Invoice'!F$2:F$401,$X23)="","",INDEX('Per Invoice'!F$2:F$401,$X23)))</f>
        <v/>
      </c>
      <c r="G23">
        <f>IF($X23="","",IF(INDEX('Per Invoice'!G$2:G$401,$X23)="","",INDEX('Per Invoice'!G$2:G$401,$X23)))</f>
        <v/>
      </c>
      <c r="H23">
        <f>IF($X23="","",IF(INDEX('Per Invoice'!H$2:H$401,$X23)="","",INDEX('Per Invoice'!H$2:H$401,$X23)))</f>
        <v/>
      </c>
      <c r="I23">
        <f>IF($X23="","",IF(INDEX('Per Invoice'!I$2:I$401,$X23)="","",INDEX('Per Invoice'!I$2:I$401,$X23)))</f>
        <v/>
      </c>
      <c r="J23">
        <f>IF($X23="","",IF(INDEX('Per Invoice'!J$2:J$401,$X23)="","",INDEX('Per Invoice'!J$2:J$401,$X23)))</f>
        <v/>
      </c>
      <c r="K23" s="14">
        <f>IF($X23="","",IF(INDEX('Per Invoice'!K$2:K$401,$X23)="","",INDEX('Per Invoice'!K$2:K$401,$X23)))</f>
        <v/>
      </c>
      <c r="L23">
        <f>IF($X23="","",IF(INDEX('Per Invoice'!L$2:L$401,$X23)="","",INDEX('Per Invoice'!L$2:L$401,$X23)))</f>
        <v/>
      </c>
      <c r="M23" s="7">
        <f>IF($X23="","",IF(INDEX('Per Invoice'!M$2:M$401,$X23)="","",INDEX('Per Invoice'!M$2:M$401,$X23)))</f>
        <v/>
      </c>
      <c r="N23">
        <f>IF($X23="","",IF(INDEX('Per Invoice'!N$2:N$401,$X23)="","",INDEX('Per Invoice'!N$2:N$401,$X23)))</f>
        <v/>
      </c>
      <c r="O23" s="7">
        <f>IF($X23="","",IF(INDEX('Per Invoice'!O$2:O$401,$X23)="","",INDEX('Per Invoice'!O$2:O$401,$X23)))</f>
        <v/>
      </c>
      <c r="P23" s="7">
        <f>IF($X23="","",IF(INDEX('Per Invoice'!P$2:P$401,$X23)="","",INDEX('Per Invoice'!P$2:P$401,$X23)))</f>
        <v/>
      </c>
      <c r="Q23">
        <f>IF($X23="","",IF(INDEX('Per Invoice'!Q$2:Q$401,$X23)="","",INDEX('Per Invoice'!Q$2:Q$401,$X23)))</f>
        <v/>
      </c>
      <c r="R23" s="7">
        <f>IF($X23="","",IF(INDEX('Per Invoice'!R$2:R$401,$X23)="","",INDEX('Per Invoice'!R$2:R$401,$X23)))</f>
        <v/>
      </c>
      <c r="S23" s="7">
        <f>IF($X23="","",IF(INDEX('Per Invoice'!S$2:S$401,$X23)="","",INDEX('Per Invoice'!S$2:S$401,$X23)))</f>
        <v/>
      </c>
      <c r="T23" s="7">
        <f>IF($X23="","",IF(INDEX('Per Invoice'!T$2:T$401,$X23)="","",INDEX('Per Invoice'!T$2:T$401,$X23)))</f>
        <v/>
      </c>
      <c r="U23" s="7">
        <f>IF($X23="","",IF(INDEX('Per Invoice'!U$2:U$401,$X23)="","",INDEX('Per Invoice'!U$2:U$401,$X23)))</f>
        <v/>
      </c>
      <c r="V23" s="7">
        <f>IF($X23="","",IF(INDEX('Per Invoice'!V$2:V$401,$X23)="","",INDEX('Per Invoice'!V$2:V$401,$X23)))</f>
        <v/>
      </c>
      <c r="W23" s="7">
        <f>IF($X23="","",IF(INDEX('Per Invoice'!W$2:W$401,$X23)="","",INDEX('Per Invoice'!W$2:W$401,$X23)))</f>
        <v/>
      </c>
      <c r="X23" s="16">
        <f>IFERROR(MATCH(Settings!$C$33&amp;"|"&amp;ROWS($X$2:$X23),'Per Invoice'!$Y$2:$Y$401,0),"")</f>
        <v/>
      </c>
    </row>
    <row r="24">
      <c r="A24">
        <f>IF($X24="","",IF(INDEX('Per Invoice'!A$2:A$401,$X24)="","",INDEX('Per Invoice'!A$2:A$401,$X24)))</f>
        <v/>
      </c>
      <c r="B24">
        <f>IF($X24="","",IF(INDEX('Per Invoice'!B$2:B$401,$X24)="","",INDEX('Per Invoice'!B$2:B$401,$X24)))</f>
        <v/>
      </c>
      <c r="C24">
        <f>IF($X24="","",IF(INDEX('Per Invoice'!C$2:C$401,$X24)="","",INDEX('Per Invoice'!C$2:C$401,$X24)))</f>
        <v/>
      </c>
      <c r="D24">
        <f>IF($X24="","",IF(INDEX('Per Invoice'!D$2:D$401,$X24)="","",INDEX('Per Invoice'!D$2:D$401,$X24)))</f>
        <v/>
      </c>
      <c r="E24">
        <f>IF($X24="","",IF(INDEX('Per Invoice'!E$2:E$401,$X24)="","",INDEX('Per Invoice'!E$2:E$401,$X24)))</f>
        <v/>
      </c>
      <c r="F24">
        <f>IF($X24="","",IF(INDEX('Per Invoice'!F$2:F$401,$X24)="","",INDEX('Per Invoice'!F$2:F$401,$X24)))</f>
        <v/>
      </c>
      <c r="G24">
        <f>IF($X24="","",IF(INDEX('Per Invoice'!G$2:G$401,$X24)="","",INDEX('Per Invoice'!G$2:G$401,$X24)))</f>
        <v/>
      </c>
      <c r="H24">
        <f>IF($X24="","",IF(INDEX('Per Invoice'!H$2:H$401,$X24)="","",INDEX('Per Invoice'!H$2:H$401,$X24)))</f>
        <v/>
      </c>
      <c r="I24">
        <f>IF($X24="","",IF(INDEX('Per Invoice'!I$2:I$401,$X24)="","",INDEX('Per Invoice'!I$2:I$401,$X24)))</f>
        <v/>
      </c>
      <c r="J24">
        <f>IF($X24="","",IF(INDEX('Per Invoice'!J$2:J$401,$X24)="","",INDEX('Per Invoice'!J$2:J$401,$X24)))</f>
        <v/>
      </c>
      <c r="K24" s="14">
        <f>IF($X24="","",IF(INDEX('Per Invoice'!K$2:K$401,$X24)="","",INDEX('Per Invoice'!K$2:K$401,$X24)))</f>
        <v/>
      </c>
      <c r="L24">
        <f>IF($X24="","",IF(INDEX('Per Invoice'!L$2:L$401,$X24)="","",INDEX('Per Invoice'!L$2:L$401,$X24)))</f>
        <v/>
      </c>
      <c r="M24" s="7">
        <f>IF($X24="","",IF(INDEX('Per Invoice'!M$2:M$401,$X24)="","",INDEX('Per Invoice'!M$2:M$401,$X24)))</f>
        <v/>
      </c>
      <c r="N24">
        <f>IF($X24="","",IF(INDEX('Per Invoice'!N$2:N$401,$X24)="","",INDEX('Per Invoice'!N$2:N$401,$X24)))</f>
        <v/>
      </c>
      <c r="O24" s="7">
        <f>IF($X24="","",IF(INDEX('Per Invoice'!O$2:O$401,$X24)="","",INDEX('Per Invoice'!O$2:O$401,$X24)))</f>
        <v/>
      </c>
      <c r="P24" s="7">
        <f>IF($X24="","",IF(INDEX('Per Invoice'!P$2:P$401,$X24)="","",INDEX('Per Invoice'!P$2:P$401,$X24)))</f>
        <v/>
      </c>
      <c r="Q24">
        <f>IF($X24="","",IF(INDEX('Per Invoice'!Q$2:Q$401,$X24)="","",INDEX('Per Invoice'!Q$2:Q$401,$X24)))</f>
        <v/>
      </c>
      <c r="R24" s="7">
        <f>IF($X24="","",IF(INDEX('Per Invoice'!R$2:R$401,$X24)="","",INDEX('Per Invoice'!R$2:R$401,$X24)))</f>
        <v/>
      </c>
      <c r="S24" s="7">
        <f>IF($X24="","",IF(INDEX('Per Invoice'!S$2:S$401,$X24)="","",INDEX('Per Invoice'!S$2:S$401,$X24)))</f>
        <v/>
      </c>
      <c r="T24" s="7">
        <f>IF($X24="","",IF(INDEX('Per Invoice'!T$2:T$401,$X24)="","",INDEX('Per Invoice'!T$2:T$401,$X24)))</f>
        <v/>
      </c>
      <c r="U24" s="7">
        <f>IF($X24="","",IF(INDEX('Per Invoice'!U$2:U$401,$X24)="","",INDEX('Per Invoice'!U$2:U$401,$X24)))</f>
        <v/>
      </c>
      <c r="V24" s="7">
        <f>IF($X24="","",IF(INDEX('Per Invoice'!V$2:V$401,$X24)="","",INDEX('Per Invoice'!V$2:V$401,$X24)))</f>
        <v/>
      </c>
      <c r="W24" s="7">
        <f>IF($X24="","",IF(INDEX('Per Invoice'!W$2:W$401,$X24)="","",INDEX('Per Invoice'!W$2:W$401,$X24)))</f>
        <v/>
      </c>
      <c r="X24" s="16">
        <f>IFERROR(MATCH(Settings!$C$33&amp;"|"&amp;ROWS($X$2:$X24),'Per Invoice'!$Y$2:$Y$401,0),"")</f>
        <v/>
      </c>
    </row>
    <row r="25">
      <c r="A25">
        <f>IF($X25="","",IF(INDEX('Per Invoice'!A$2:A$401,$X25)="","",INDEX('Per Invoice'!A$2:A$401,$X25)))</f>
        <v/>
      </c>
      <c r="B25">
        <f>IF($X25="","",IF(INDEX('Per Invoice'!B$2:B$401,$X25)="","",INDEX('Per Invoice'!B$2:B$401,$X25)))</f>
        <v/>
      </c>
      <c r="C25">
        <f>IF($X25="","",IF(INDEX('Per Invoice'!C$2:C$401,$X25)="","",INDEX('Per Invoice'!C$2:C$401,$X25)))</f>
        <v/>
      </c>
      <c r="D25">
        <f>IF($X25="","",IF(INDEX('Per Invoice'!D$2:D$401,$X25)="","",INDEX('Per Invoice'!D$2:D$401,$X25)))</f>
        <v/>
      </c>
      <c r="E25">
        <f>IF($X25="","",IF(INDEX('Per Invoice'!E$2:E$401,$X25)="","",INDEX('Per Invoice'!E$2:E$401,$X25)))</f>
        <v/>
      </c>
      <c r="F25">
        <f>IF($X25="","",IF(INDEX('Per Invoice'!F$2:F$401,$X25)="","",INDEX('Per Invoice'!F$2:F$401,$X25)))</f>
        <v/>
      </c>
      <c r="G25">
        <f>IF($X25="","",IF(INDEX('Per Invoice'!G$2:G$401,$X25)="","",INDEX('Per Invoice'!G$2:G$401,$X25)))</f>
        <v/>
      </c>
      <c r="H25">
        <f>IF($X25="","",IF(INDEX('Per Invoice'!H$2:H$401,$X25)="","",INDEX('Per Invoice'!H$2:H$401,$X25)))</f>
        <v/>
      </c>
      <c r="I25">
        <f>IF($X25="","",IF(INDEX('Per Invoice'!I$2:I$401,$X25)="","",INDEX('Per Invoice'!I$2:I$401,$X25)))</f>
        <v/>
      </c>
      <c r="J25">
        <f>IF($X25="","",IF(INDEX('Per Invoice'!J$2:J$401,$X25)="","",INDEX('Per Invoice'!J$2:J$401,$X25)))</f>
        <v/>
      </c>
      <c r="K25" s="14">
        <f>IF($X25="","",IF(INDEX('Per Invoice'!K$2:K$401,$X25)="","",INDEX('Per Invoice'!K$2:K$401,$X25)))</f>
        <v/>
      </c>
      <c r="L25">
        <f>IF($X25="","",IF(INDEX('Per Invoice'!L$2:L$401,$X25)="","",INDEX('Per Invoice'!L$2:L$401,$X25)))</f>
        <v/>
      </c>
      <c r="M25" s="7">
        <f>IF($X25="","",IF(INDEX('Per Invoice'!M$2:M$401,$X25)="","",INDEX('Per Invoice'!M$2:M$401,$X25)))</f>
        <v/>
      </c>
      <c r="N25">
        <f>IF($X25="","",IF(INDEX('Per Invoice'!N$2:N$401,$X25)="","",INDEX('Per Invoice'!N$2:N$401,$X25)))</f>
        <v/>
      </c>
      <c r="O25" s="7">
        <f>IF($X25="","",IF(INDEX('Per Invoice'!O$2:O$401,$X25)="","",INDEX('Per Invoice'!O$2:O$401,$X25)))</f>
        <v/>
      </c>
      <c r="P25" s="7">
        <f>IF($X25="","",IF(INDEX('Per Invoice'!P$2:P$401,$X25)="","",INDEX('Per Invoice'!P$2:P$401,$X25)))</f>
        <v/>
      </c>
      <c r="Q25">
        <f>IF($X25="","",IF(INDEX('Per Invoice'!Q$2:Q$401,$X25)="","",INDEX('Per Invoice'!Q$2:Q$401,$X25)))</f>
        <v/>
      </c>
      <c r="R25" s="7">
        <f>IF($X25="","",IF(INDEX('Per Invoice'!R$2:R$401,$X25)="","",INDEX('Per Invoice'!R$2:R$401,$X25)))</f>
        <v/>
      </c>
      <c r="S25" s="7">
        <f>IF($X25="","",IF(INDEX('Per Invoice'!S$2:S$401,$X25)="","",INDEX('Per Invoice'!S$2:S$401,$X25)))</f>
        <v/>
      </c>
      <c r="T25" s="7">
        <f>IF($X25="","",IF(INDEX('Per Invoice'!T$2:T$401,$X25)="","",INDEX('Per Invoice'!T$2:T$401,$X25)))</f>
        <v/>
      </c>
      <c r="U25" s="7">
        <f>IF($X25="","",IF(INDEX('Per Invoice'!U$2:U$401,$X25)="","",INDEX('Per Invoice'!U$2:U$401,$X25)))</f>
        <v/>
      </c>
      <c r="V25" s="7">
        <f>IF($X25="","",IF(INDEX('Per Invoice'!V$2:V$401,$X25)="","",INDEX('Per Invoice'!V$2:V$401,$X25)))</f>
        <v/>
      </c>
      <c r="W25" s="7">
        <f>IF($X25="","",IF(INDEX('Per Invoice'!W$2:W$401,$X25)="","",INDEX('Per Invoice'!W$2:W$401,$X25)))</f>
        <v/>
      </c>
      <c r="X25" s="16">
        <f>IFERROR(MATCH(Settings!$C$33&amp;"|"&amp;ROWS($X$2:$X25),'Per Invoice'!$Y$2:$Y$401,0),"")</f>
        <v/>
      </c>
    </row>
    <row r="26">
      <c r="A26">
        <f>IF($X26="","",IF(INDEX('Per Invoice'!A$2:A$401,$X26)="","",INDEX('Per Invoice'!A$2:A$401,$X26)))</f>
        <v/>
      </c>
      <c r="B26">
        <f>IF($X26="","",IF(INDEX('Per Invoice'!B$2:B$401,$X26)="","",INDEX('Per Invoice'!B$2:B$401,$X26)))</f>
        <v/>
      </c>
      <c r="C26">
        <f>IF($X26="","",IF(INDEX('Per Invoice'!C$2:C$401,$X26)="","",INDEX('Per Invoice'!C$2:C$401,$X26)))</f>
        <v/>
      </c>
      <c r="D26">
        <f>IF($X26="","",IF(INDEX('Per Invoice'!D$2:D$401,$X26)="","",INDEX('Per Invoice'!D$2:D$401,$X26)))</f>
        <v/>
      </c>
      <c r="E26">
        <f>IF($X26="","",IF(INDEX('Per Invoice'!E$2:E$401,$X26)="","",INDEX('Per Invoice'!E$2:E$401,$X26)))</f>
        <v/>
      </c>
      <c r="F26">
        <f>IF($X26="","",IF(INDEX('Per Invoice'!F$2:F$401,$X26)="","",INDEX('Per Invoice'!F$2:F$401,$X26)))</f>
        <v/>
      </c>
      <c r="G26">
        <f>IF($X26="","",IF(INDEX('Per Invoice'!G$2:G$401,$X26)="","",INDEX('Per Invoice'!G$2:G$401,$X26)))</f>
        <v/>
      </c>
      <c r="H26">
        <f>IF($X26="","",IF(INDEX('Per Invoice'!H$2:H$401,$X26)="","",INDEX('Per Invoice'!H$2:H$401,$X26)))</f>
        <v/>
      </c>
      <c r="I26">
        <f>IF($X26="","",IF(INDEX('Per Invoice'!I$2:I$401,$X26)="","",INDEX('Per Invoice'!I$2:I$401,$X26)))</f>
        <v/>
      </c>
      <c r="J26">
        <f>IF($X26="","",IF(INDEX('Per Invoice'!J$2:J$401,$X26)="","",INDEX('Per Invoice'!J$2:J$401,$X26)))</f>
        <v/>
      </c>
      <c r="K26" s="14">
        <f>IF($X26="","",IF(INDEX('Per Invoice'!K$2:K$401,$X26)="","",INDEX('Per Invoice'!K$2:K$401,$X26)))</f>
        <v/>
      </c>
      <c r="L26">
        <f>IF($X26="","",IF(INDEX('Per Invoice'!L$2:L$401,$X26)="","",INDEX('Per Invoice'!L$2:L$401,$X26)))</f>
        <v/>
      </c>
      <c r="M26" s="7">
        <f>IF($X26="","",IF(INDEX('Per Invoice'!M$2:M$401,$X26)="","",INDEX('Per Invoice'!M$2:M$401,$X26)))</f>
        <v/>
      </c>
      <c r="N26">
        <f>IF($X26="","",IF(INDEX('Per Invoice'!N$2:N$401,$X26)="","",INDEX('Per Invoice'!N$2:N$401,$X26)))</f>
        <v/>
      </c>
      <c r="O26" s="7">
        <f>IF($X26="","",IF(INDEX('Per Invoice'!O$2:O$401,$X26)="","",INDEX('Per Invoice'!O$2:O$401,$X26)))</f>
        <v/>
      </c>
      <c r="P26" s="7">
        <f>IF($X26="","",IF(INDEX('Per Invoice'!P$2:P$401,$X26)="","",INDEX('Per Invoice'!P$2:P$401,$X26)))</f>
        <v/>
      </c>
      <c r="Q26">
        <f>IF($X26="","",IF(INDEX('Per Invoice'!Q$2:Q$401,$X26)="","",INDEX('Per Invoice'!Q$2:Q$401,$X26)))</f>
        <v/>
      </c>
      <c r="R26" s="7">
        <f>IF($X26="","",IF(INDEX('Per Invoice'!R$2:R$401,$X26)="","",INDEX('Per Invoice'!R$2:R$401,$X26)))</f>
        <v/>
      </c>
      <c r="S26" s="7">
        <f>IF($X26="","",IF(INDEX('Per Invoice'!S$2:S$401,$X26)="","",INDEX('Per Invoice'!S$2:S$401,$X26)))</f>
        <v/>
      </c>
      <c r="T26" s="7">
        <f>IF($X26="","",IF(INDEX('Per Invoice'!T$2:T$401,$X26)="","",INDEX('Per Invoice'!T$2:T$401,$X26)))</f>
        <v/>
      </c>
      <c r="U26" s="7">
        <f>IF($X26="","",IF(INDEX('Per Invoice'!U$2:U$401,$X26)="","",INDEX('Per Invoice'!U$2:U$401,$X26)))</f>
        <v/>
      </c>
      <c r="V26" s="7">
        <f>IF($X26="","",IF(INDEX('Per Invoice'!V$2:V$401,$X26)="","",INDEX('Per Invoice'!V$2:V$401,$X26)))</f>
        <v/>
      </c>
      <c r="W26" s="7">
        <f>IF($X26="","",IF(INDEX('Per Invoice'!W$2:W$401,$X26)="","",INDEX('Per Invoice'!W$2:W$401,$X26)))</f>
        <v/>
      </c>
      <c r="X26" s="16">
        <f>IFERROR(MATCH(Settings!$C$33&amp;"|"&amp;ROWS($X$2:$X26),'Per Invoice'!$Y$2:$Y$401,0),"")</f>
        <v/>
      </c>
    </row>
    <row r="27">
      <c r="A27">
        <f>IF($X27="","",IF(INDEX('Per Invoice'!A$2:A$401,$X27)="","",INDEX('Per Invoice'!A$2:A$401,$X27)))</f>
        <v/>
      </c>
      <c r="B27">
        <f>IF($X27="","",IF(INDEX('Per Invoice'!B$2:B$401,$X27)="","",INDEX('Per Invoice'!B$2:B$401,$X27)))</f>
        <v/>
      </c>
      <c r="C27">
        <f>IF($X27="","",IF(INDEX('Per Invoice'!C$2:C$401,$X27)="","",INDEX('Per Invoice'!C$2:C$401,$X27)))</f>
        <v/>
      </c>
      <c r="D27">
        <f>IF($X27="","",IF(INDEX('Per Invoice'!D$2:D$401,$X27)="","",INDEX('Per Invoice'!D$2:D$401,$X27)))</f>
        <v/>
      </c>
      <c r="E27">
        <f>IF($X27="","",IF(INDEX('Per Invoice'!E$2:E$401,$X27)="","",INDEX('Per Invoice'!E$2:E$401,$X27)))</f>
        <v/>
      </c>
      <c r="F27">
        <f>IF($X27="","",IF(INDEX('Per Invoice'!F$2:F$401,$X27)="","",INDEX('Per Invoice'!F$2:F$401,$X27)))</f>
        <v/>
      </c>
      <c r="G27">
        <f>IF($X27="","",IF(INDEX('Per Invoice'!G$2:G$401,$X27)="","",INDEX('Per Invoice'!G$2:G$401,$X27)))</f>
        <v/>
      </c>
      <c r="H27">
        <f>IF($X27="","",IF(INDEX('Per Invoice'!H$2:H$401,$X27)="","",INDEX('Per Invoice'!H$2:H$401,$X27)))</f>
        <v/>
      </c>
      <c r="I27">
        <f>IF($X27="","",IF(INDEX('Per Invoice'!I$2:I$401,$X27)="","",INDEX('Per Invoice'!I$2:I$401,$X27)))</f>
        <v/>
      </c>
      <c r="J27">
        <f>IF($X27="","",IF(INDEX('Per Invoice'!J$2:J$401,$X27)="","",INDEX('Per Invoice'!J$2:J$401,$X27)))</f>
        <v/>
      </c>
      <c r="K27" s="14">
        <f>IF($X27="","",IF(INDEX('Per Invoice'!K$2:K$401,$X27)="","",INDEX('Per Invoice'!K$2:K$401,$X27)))</f>
        <v/>
      </c>
      <c r="L27">
        <f>IF($X27="","",IF(INDEX('Per Invoice'!L$2:L$401,$X27)="","",INDEX('Per Invoice'!L$2:L$401,$X27)))</f>
        <v/>
      </c>
      <c r="M27" s="7">
        <f>IF($X27="","",IF(INDEX('Per Invoice'!M$2:M$401,$X27)="","",INDEX('Per Invoice'!M$2:M$401,$X27)))</f>
        <v/>
      </c>
      <c r="N27">
        <f>IF($X27="","",IF(INDEX('Per Invoice'!N$2:N$401,$X27)="","",INDEX('Per Invoice'!N$2:N$401,$X27)))</f>
        <v/>
      </c>
      <c r="O27" s="7">
        <f>IF($X27="","",IF(INDEX('Per Invoice'!O$2:O$401,$X27)="","",INDEX('Per Invoice'!O$2:O$401,$X27)))</f>
        <v/>
      </c>
      <c r="P27" s="7">
        <f>IF($X27="","",IF(INDEX('Per Invoice'!P$2:P$401,$X27)="","",INDEX('Per Invoice'!P$2:P$401,$X27)))</f>
        <v/>
      </c>
      <c r="Q27">
        <f>IF($X27="","",IF(INDEX('Per Invoice'!Q$2:Q$401,$X27)="","",INDEX('Per Invoice'!Q$2:Q$401,$X27)))</f>
        <v/>
      </c>
      <c r="R27" s="7">
        <f>IF($X27="","",IF(INDEX('Per Invoice'!R$2:R$401,$X27)="","",INDEX('Per Invoice'!R$2:R$401,$X27)))</f>
        <v/>
      </c>
      <c r="S27" s="7">
        <f>IF($X27="","",IF(INDEX('Per Invoice'!S$2:S$401,$X27)="","",INDEX('Per Invoice'!S$2:S$401,$X27)))</f>
        <v/>
      </c>
      <c r="T27" s="7">
        <f>IF($X27="","",IF(INDEX('Per Invoice'!T$2:T$401,$X27)="","",INDEX('Per Invoice'!T$2:T$401,$X27)))</f>
        <v/>
      </c>
      <c r="U27" s="7">
        <f>IF($X27="","",IF(INDEX('Per Invoice'!U$2:U$401,$X27)="","",INDEX('Per Invoice'!U$2:U$401,$X27)))</f>
        <v/>
      </c>
      <c r="V27" s="7">
        <f>IF($X27="","",IF(INDEX('Per Invoice'!V$2:V$401,$X27)="","",INDEX('Per Invoice'!V$2:V$401,$X27)))</f>
        <v/>
      </c>
      <c r="W27" s="7">
        <f>IF($X27="","",IF(INDEX('Per Invoice'!W$2:W$401,$X27)="","",INDEX('Per Invoice'!W$2:W$401,$X27)))</f>
        <v/>
      </c>
      <c r="X27" s="16">
        <f>IFERROR(MATCH(Settings!$C$33&amp;"|"&amp;ROWS($X$2:$X27),'Per Invoice'!$Y$2:$Y$401,0),"")</f>
        <v/>
      </c>
    </row>
    <row r="28">
      <c r="A28">
        <f>IF($X28="","",IF(INDEX('Per Invoice'!A$2:A$401,$X28)="","",INDEX('Per Invoice'!A$2:A$401,$X28)))</f>
        <v/>
      </c>
      <c r="B28">
        <f>IF($X28="","",IF(INDEX('Per Invoice'!B$2:B$401,$X28)="","",INDEX('Per Invoice'!B$2:B$401,$X28)))</f>
        <v/>
      </c>
      <c r="C28">
        <f>IF($X28="","",IF(INDEX('Per Invoice'!C$2:C$401,$X28)="","",INDEX('Per Invoice'!C$2:C$401,$X28)))</f>
        <v/>
      </c>
      <c r="D28">
        <f>IF($X28="","",IF(INDEX('Per Invoice'!D$2:D$401,$X28)="","",INDEX('Per Invoice'!D$2:D$401,$X28)))</f>
        <v/>
      </c>
      <c r="E28">
        <f>IF($X28="","",IF(INDEX('Per Invoice'!E$2:E$401,$X28)="","",INDEX('Per Invoice'!E$2:E$401,$X28)))</f>
        <v/>
      </c>
      <c r="F28">
        <f>IF($X28="","",IF(INDEX('Per Invoice'!F$2:F$401,$X28)="","",INDEX('Per Invoice'!F$2:F$401,$X28)))</f>
        <v/>
      </c>
      <c r="G28">
        <f>IF($X28="","",IF(INDEX('Per Invoice'!G$2:G$401,$X28)="","",INDEX('Per Invoice'!G$2:G$401,$X28)))</f>
        <v/>
      </c>
      <c r="H28">
        <f>IF($X28="","",IF(INDEX('Per Invoice'!H$2:H$401,$X28)="","",INDEX('Per Invoice'!H$2:H$401,$X28)))</f>
        <v/>
      </c>
      <c r="I28">
        <f>IF($X28="","",IF(INDEX('Per Invoice'!I$2:I$401,$X28)="","",INDEX('Per Invoice'!I$2:I$401,$X28)))</f>
        <v/>
      </c>
      <c r="J28">
        <f>IF($X28="","",IF(INDEX('Per Invoice'!J$2:J$401,$X28)="","",INDEX('Per Invoice'!J$2:J$401,$X28)))</f>
        <v/>
      </c>
      <c r="K28" s="14">
        <f>IF($X28="","",IF(INDEX('Per Invoice'!K$2:K$401,$X28)="","",INDEX('Per Invoice'!K$2:K$401,$X28)))</f>
        <v/>
      </c>
      <c r="L28">
        <f>IF($X28="","",IF(INDEX('Per Invoice'!L$2:L$401,$X28)="","",INDEX('Per Invoice'!L$2:L$401,$X28)))</f>
        <v/>
      </c>
      <c r="M28" s="7">
        <f>IF($X28="","",IF(INDEX('Per Invoice'!M$2:M$401,$X28)="","",INDEX('Per Invoice'!M$2:M$401,$X28)))</f>
        <v/>
      </c>
      <c r="N28">
        <f>IF($X28="","",IF(INDEX('Per Invoice'!N$2:N$401,$X28)="","",INDEX('Per Invoice'!N$2:N$401,$X28)))</f>
        <v/>
      </c>
      <c r="O28" s="7">
        <f>IF($X28="","",IF(INDEX('Per Invoice'!O$2:O$401,$X28)="","",INDEX('Per Invoice'!O$2:O$401,$X28)))</f>
        <v/>
      </c>
      <c r="P28" s="7">
        <f>IF($X28="","",IF(INDEX('Per Invoice'!P$2:P$401,$X28)="","",INDEX('Per Invoice'!P$2:P$401,$X28)))</f>
        <v/>
      </c>
      <c r="Q28">
        <f>IF($X28="","",IF(INDEX('Per Invoice'!Q$2:Q$401,$X28)="","",INDEX('Per Invoice'!Q$2:Q$401,$X28)))</f>
        <v/>
      </c>
      <c r="R28" s="7">
        <f>IF($X28="","",IF(INDEX('Per Invoice'!R$2:R$401,$X28)="","",INDEX('Per Invoice'!R$2:R$401,$X28)))</f>
        <v/>
      </c>
      <c r="S28" s="7">
        <f>IF($X28="","",IF(INDEX('Per Invoice'!S$2:S$401,$X28)="","",INDEX('Per Invoice'!S$2:S$401,$X28)))</f>
        <v/>
      </c>
      <c r="T28" s="7">
        <f>IF($X28="","",IF(INDEX('Per Invoice'!T$2:T$401,$X28)="","",INDEX('Per Invoice'!T$2:T$401,$X28)))</f>
        <v/>
      </c>
      <c r="U28" s="7">
        <f>IF($X28="","",IF(INDEX('Per Invoice'!U$2:U$401,$X28)="","",INDEX('Per Invoice'!U$2:U$401,$X28)))</f>
        <v/>
      </c>
      <c r="V28" s="7">
        <f>IF($X28="","",IF(INDEX('Per Invoice'!V$2:V$401,$X28)="","",INDEX('Per Invoice'!V$2:V$401,$X28)))</f>
        <v/>
      </c>
      <c r="W28" s="7">
        <f>IF($X28="","",IF(INDEX('Per Invoice'!W$2:W$401,$X28)="","",INDEX('Per Invoice'!W$2:W$401,$X28)))</f>
        <v/>
      </c>
      <c r="X28" s="16">
        <f>IFERROR(MATCH(Settings!$C$33&amp;"|"&amp;ROWS($X$2:$X28),'Per Invoice'!$Y$2:$Y$401,0),"")</f>
        <v/>
      </c>
    </row>
    <row r="29">
      <c r="A29">
        <f>IF($X29="","",IF(INDEX('Per Invoice'!A$2:A$401,$X29)="","",INDEX('Per Invoice'!A$2:A$401,$X29)))</f>
        <v/>
      </c>
      <c r="B29">
        <f>IF($X29="","",IF(INDEX('Per Invoice'!B$2:B$401,$X29)="","",INDEX('Per Invoice'!B$2:B$401,$X29)))</f>
        <v/>
      </c>
      <c r="C29">
        <f>IF($X29="","",IF(INDEX('Per Invoice'!C$2:C$401,$X29)="","",INDEX('Per Invoice'!C$2:C$401,$X29)))</f>
        <v/>
      </c>
      <c r="D29">
        <f>IF($X29="","",IF(INDEX('Per Invoice'!D$2:D$401,$X29)="","",INDEX('Per Invoice'!D$2:D$401,$X29)))</f>
        <v/>
      </c>
      <c r="E29">
        <f>IF($X29="","",IF(INDEX('Per Invoice'!E$2:E$401,$X29)="","",INDEX('Per Invoice'!E$2:E$401,$X29)))</f>
        <v/>
      </c>
      <c r="F29">
        <f>IF($X29="","",IF(INDEX('Per Invoice'!F$2:F$401,$X29)="","",INDEX('Per Invoice'!F$2:F$401,$X29)))</f>
        <v/>
      </c>
      <c r="G29">
        <f>IF($X29="","",IF(INDEX('Per Invoice'!G$2:G$401,$X29)="","",INDEX('Per Invoice'!G$2:G$401,$X29)))</f>
        <v/>
      </c>
      <c r="H29">
        <f>IF($X29="","",IF(INDEX('Per Invoice'!H$2:H$401,$X29)="","",INDEX('Per Invoice'!H$2:H$401,$X29)))</f>
        <v/>
      </c>
      <c r="I29">
        <f>IF($X29="","",IF(INDEX('Per Invoice'!I$2:I$401,$X29)="","",INDEX('Per Invoice'!I$2:I$401,$X29)))</f>
        <v/>
      </c>
      <c r="J29">
        <f>IF($X29="","",IF(INDEX('Per Invoice'!J$2:J$401,$X29)="","",INDEX('Per Invoice'!J$2:J$401,$X29)))</f>
        <v/>
      </c>
      <c r="K29" s="14">
        <f>IF($X29="","",IF(INDEX('Per Invoice'!K$2:K$401,$X29)="","",INDEX('Per Invoice'!K$2:K$401,$X29)))</f>
        <v/>
      </c>
      <c r="L29">
        <f>IF($X29="","",IF(INDEX('Per Invoice'!L$2:L$401,$X29)="","",INDEX('Per Invoice'!L$2:L$401,$X29)))</f>
        <v/>
      </c>
      <c r="M29" s="7">
        <f>IF($X29="","",IF(INDEX('Per Invoice'!M$2:M$401,$X29)="","",INDEX('Per Invoice'!M$2:M$401,$X29)))</f>
        <v/>
      </c>
      <c r="N29">
        <f>IF($X29="","",IF(INDEX('Per Invoice'!N$2:N$401,$X29)="","",INDEX('Per Invoice'!N$2:N$401,$X29)))</f>
        <v/>
      </c>
      <c r="O29" s="7">
        <f>IF($X29="","",IF(INDEX('Per Invoice'!O$2:O$401,$X29)="","",INDEX('Per Invoice'!O$2:O$401,$X29)))</f>
        <v/>
      </c>
      <c r="P29" s="7">
        <f>IF($X29="","",IF(INDEX('Per Invoice'!P$2:P$401,$X29)="","",INDEX('Per Invoice'!P$2:P$401,$X29)))</f>
        <v/>
      </c>
      <c r="Q29">
        <f>IF($X29="","",IF(INDEX('Per Invoice'!Q$2:Q$401,$X29)="","",INDEX('Per Invoice'!Q$2:Q$401,$X29)))</f>
        <v/>
      </c>
      <c r="R29" s="7">
        <f>IF($X29="","",IF(INDEX('Per Invoice'!R$2:R$401,$X29)="","",INDEX('Per Invoice'!R$2:R$401,$X29)))</f>
        <v/>
      </c>
      <c r="S29" s="7">
        <f>IF($X29="","",IF(INDEX('Per Invoice'!S$2:S$401,$X29)="","",INDEX('Per Invoice'!S$2:S$401,$X29)))</f>
        <v/>
      </c>
      <c r="T29" s="7">
        <f>IF($X29="","",IF(INDEX('Per Invoice'!T$2:T$401,$X29)="","",INDEX('Per Invoice'!T$2:T$401,$X29)))</f>
        <v/>
      </c>
      <c r="U29" s="7">
        <f>IF($X29="","",IF(INDEX('Per Invoice'!U$2:U$401,$X29)="","",INDEX('Per Invoice'!U$2:U$401,$X29)))</f>
        <v/>
      </c>
      <c r="V29" s="7">
        <f>IF($X29="","",IF(INDEX('Per Invoice'!V$2:V$401,$X29)="","",INDEX('Per Invoice'!V$2:V$401,$X29)))</f>
        <v/>
      </c>
      <c r="W29" s="7">
        <f>IF($X29="","",IF(INDEX('Per Invoice'!W$2:W$401,$X29)="","",INDEX('Per Invoice'!W$2:W$401,$X29)))</f>
        <v/>
      </c>
      <c r="X29" s="16">
        <f>IFERROR(MATCH(Settings!$C$33&amp;"|"&amp;ROWS($X$2:$X29),'Per Invoice'!$Y$2:$Y$401,0),"")</f>
        <v/>
      </c>
    </row>
    <row r="30">
      <c r="A30">
        <f>IF($X30="","",IF(INDEX('Per Invoice'!A$2:A$401,$X30)="","",INDEX('Per Invoice'!A$2:A$401,$X30)))</f>
        <v/>
      </c>
      <c r="B30">
        <f>IF($X30="","",IF(INDEX('Per Invoice'!B$2:B$401,$X30)="","",INDEX('Per Invoice'!B$2:B$401,$X30)))</f>
        <v/>
      </c>
      <c r="C30">
        <f>IF($X30="","",IF(INDEX('Per Invoice'!C$2:C$401,$X30)="","",INDEX('Per Invoice'!C$2:C$401,$X30)))</f>
        <v/>
      </c>
      <c r="D30">
        <f>IF($X30="","",IF(INDEX('Per Invoice'!D$2:D$401,$X30)="","",INDEX('Per Invoice'!D$2:D$401,$X30)))</f>
        <v/>
      </c>
      <c r="E30">
        <f>IF($X30="","",IF(INDEX('Per Invoice'!E$2:E$401,$X30)="","",INDEX('Per Invoice'!E$2:E$401,$X30)))</f>
        <v/>
      </c>
      <c r="F30">
        <f>IF($X30="","",IF(INDEX('Per Invoice'!F$2:F$401,$X30)="","",INDEX('Per Invoice'!F$2:F$401,$X30)))</f>
        <v/>
      </c>
      <c r="G30">
        <f>IF($X30="","",IF(INDEX('Per Invoice'!G$2:G$401,$X30)="","",INDEX('Per Invoice'!G$2:G$401,$X30)))</f>
        <v/>
      </c>
      <c r="H30">
        <f>IF($X30="","",IF(INDEX('Per Invoice'!H$2:H$401,$X30)="","",INDEX('Per Invoice'!H$2:H$401,$X30)))</f>
        <v/>
      </c>
      <c r="I30">
        <f>IF($X30="","",IF(INDEX('Per Invoice'!I$2:I$401,$X30)="","",INDEX('Per Invoice'!I$2:I$401,$X30)))</f>
        <v/>
      </c>
      <c r="J30">
        <f>IF($X30="","",IF(INDEX('Per Invoice'!J$2:J$401,$X30)="","",INDEX('Per Invoice'!J$2:J$401,$X30)))</f>
        <v/>
      </c>
      <c r="K30" s="14">
        <f>IF($X30="","",IF(INDEX('Per Invoice'!K$2:K$401,$X30)="","",INDEX('Per Invoice'!K$2:K$401,$X30)))</f>
        <v/>
      </c>
      <c r="L30">
        <f>IF($X30="","",IF(INDEX('Per Invoice'!L$2:L$401,$X30)="","",INDEX('Per Invoice'!L$2:L$401,$X30)))</f>
        <v/>
      </c>
      <c r="M30" s="7">
        <f>IF($X30="","",IF(INDEX('Per Invoice'!M$2:M$401,$X30)="","",INDEX('Per Invoice'!M$2:M$401,$X30)))</f>
        <v/>
      </c>
      <c r="N30">
        <f>IF($X30="","",IF(INDEX('Per Invoice'!N$2:N$401,$X30)="","",INDEX('Per Invoice'!N$2:N$401,$X30)))</f>
        <v/>
      </c>
      <c r="O30" s="7">
        <f>IF($X30="","",IF(INDEX('Per Invoice'!O$2:O$401,$X30)="","",INDEX('Per Invoice'!O$2:O$401,$X30)))</f>
        <v/>
      </c>
      <c r="P30" s="7">
        <f>IF($X30="","",IF(INDEX('Per Invoice'!P$2:P$401,$X30)="","",INDEX('Per Invoice'!P$2:P$401,$X30)))</f>
        <v/>
      </c>
      <c r="Q30">
        <f>IF($X30="","",IF(INDEX('Per Invoice'!Q$2:Q$401,$X30)="","",INDEX('Per Invoice'!Q$2:Q$401,$X30)))</f>
        <v/>
      </c>
      <c r="R30" s="7">
        <f>IF($X30="","",IF(INDEX('Per Invoice'!R$2:R$401,$X30)="","",INDEX('Per Invoice'!R$2:R$401,$X30)))</f>
        <v/>
      </c>
      <c r="S30" s="7">
        <f>IF($X30="","",IF(INDEX('Per Invoice'!S$2:S$401,$X30)="","",INDEX('Per Invoice'!S$2:S$401,$X30)))</f>
        <v/>
      </c>
      <c r="T30" s="7">
        <f>IF($X30="","",IF(INDEX('Per Invoice'!T$2:T$401,$X30)="","",INDEX('Per Invoice'!T$2:T$401,$X30)))</f>
        <v/>
      </c>
      <c r="U30" s="7">
        <f>IF($X30="","",IF(INDEX('Per Invoice'!U$2:U$401,$X30)="","",INDEX('Per Invoice'!U$2:U$401,$X30)))</f>
        <v/>
      </c>
      <c r="V30" s="7">
        <f>IF($X30="","",IF(INDEX('Per Invoice'!V$2:V$401,$X30)="","",INDEX('Per Invoice'!V$2:V$401,$X30)))</f>
        <v/>
      </c>
      <c r="W30" s="7">
        <f>IF($X30="","",IF(INDEX('Per Invoice'!W$2:W$401,$X30)="","",INDEX('Per Invoice'!W$2:W$401,$X30)))</f>
        <v/>
      </c>
      <c r="X30" s="16">
        <f>IFERROR(MATCH(Settings!$C$33&amp;"|"&amp;ROWS($X$2:$X30),'Per Invoice'!$Y$2:$Y$401,0),"")</f>
        <v/>
      </c>
    </row>
    <row r="31">
      <c r="A31">
        <f>IF($X31="","",IF(INDEX('Per Invoice'!A$2:A$401,$X31)="","",INDEX('Per Invoice'!A$2:A$401,$X31)))</f>
        <v/>
      </c>
      <c r="B31">
        <f>IF($X31="","",IF(INDEX('Per Invoice'!B$2:B$401,$X31)="","",INDEX('Per Invoice'!B$2:B$401,$X31)))</f>
        <v/>
      </c>
      <c r="C31">
        <f>IF($X31="","",IF(INDEX('Per Invoice'!C$2:C$401,$X31)="","",INDEX('Per Invoice'!C$2:C$401,$X31)))</f>
        <v/>
      </c>
      <c r="D31">
        <f>IF($X31="","",IF(INDEX('Per Invoice'!D$2:D$401,$X31)="","",INDEX('Per Invoice'!D$2:D$401,$X31)))</f>
        <v/>
      </c>
      <c r="E31">
        <f>IF($X31="","",IF(INDEX('Per Invoice'!E$2:E$401,$X31)="","",INDEX('Per Invoice'!E$2:E$401,$X31)))</f>
        <v/>
      </c>
      <c r="F31">
        <f>IF($X31="","",IF(INDEX('Per Invoice'!F$2:F$401,$X31)="","",INDEX('Per Invoice'!F$2:F$401,$X31)))</f>
        <v/>
      </c>
      <c r="G31">
        <f>IF($X31="","",IF(INDEX('Per Invoice'!G$2:G$401,$X31)="","",INDEX('Per Invoice'!G$2:G$401,$X31)))</f>
        <v/>
      </c>
      <c r="H31">
        <f>IF($X31="","",IF(INDEX('Per Invoice'!H$2:H$401,$X31)="","",INDEX('Per Invoice'!H$2:H$401,$X31)))</f>
        <v/>
      </c>
      <c r="I31">
        <f>IF($X31="","",IF(INDEX('Per Invoice'!I$2:I$401,$X31)="","",INDEX('Per Invoice'!I$2:I$401,$X31)))</f>
        <v/>
      </c>
      <c r="J31">
        <f>IF($X31="","",IF(INDEX('Per Invoice'!J$2:J$401,$X31)="","",INDEX('Per Invoice'!J$2:J$401,$X31)))</f>
        <v/>
      </c>
      <c r="K31" s="14">
        <f>IF($X31="","",IF(INDEX('Per Invoice'!K$2:K$401,$X31)="","",INDEX('Per Invoice'!K$2:K$401,$X31)))</f>
        <v/>
      </c>
      <c r="L31">
        <f>IF($X31="","",IF(INDEX('Per Invoice'!L$2:L$401,$X31)="","",INDEX('Per Invoice'!L$2:L$401,$X31)))</f>
        <v/>
      </c>
      <c r="M31" s="7">
        <f>IF($X31="","",IF(INDEX('Per Invoice'!M$2:M$401,$X31)="","",INDEX('Per Invoice'!M$2:M$401,$X31)))</f>
        <v/>
      </c>
      <c r="N31">
        <f>IF($X31="","",IF(INDEX('Per Invoice'!N$2:N$401,$X31)="","",INDEX('Per Invoice'!N$2:N$401,$X31)))</f>
        <v/>
      </c>
      <c r="O31" s="7">
        <f>IF($X31="","",IF(INDEX('Per Invoice'!O$2:O$401,$X31)="","",INDEX('Per Invoice'!O$2:O$401,$X31)))</f>
        <v/>
      </c>
      <c r="P31" s="7">
        <f>IF($X31="","",IF(INDEX('Per Invoice'!P$2:P$401,$X31)="","",INDEX('Per Invoice'!P$2:P$401,$X31)))</f>
        <v/>
      </c>
      <c r="Q31">
        <f>IF($X31="","",IF(INDEX('Per Invoice'!Q$2:Q$401,$X31)="","",INDEX('Per Invoice'!Q$2:Q$401,$X31)))</f>
        <v/>
      </c>
      <c r="R31" s="7">
        <f>IF($X31="","",IF(INDEX('Per Invoice'!R$2:R$401,$X31)="","",INDEX('Per Invoice'!R$2:R$401,$X31)))</f>
        <v/>
      </c>
      <c r="S31" s="7">
        <f>IF($X31="","",IF(INDEX('Per Invoice'!S$2:S$401,$X31)="","",INDEX('Per Invoice'!S$2:S$401,$X31)))</f>
        <v/>
      </c>
      <c r="T31" s="7">
        <f>IF($X31="","",IF(INDEX('Per Invoice'!T$2:T$401,$X31)="","",INDEX('Per Invoice'!T$2:T$401,$X31)))</f>
        <v/>
      </c>
      <c r="U31" s="7">
        <f>IF($X31="","",IF(INDEX('Per Invoice'!U$2:U$401,$X31)="","",INDEX('Per Invoice'!U$2:U$401,$X31)))</f>
        <v/>
      </c>
      <c r="V31" s="7">
        <f>IF($X31="","",IF(INDEX('Per Invoice'!V$2:V$401,$X31)="","",INDEX('Per Invoice'!V$2:V$401,$X31)))</f>
        <v/>
      </c>
      <c r="W31" s="7">
        <f>IF($X31="","",IF(INDEX('Per Invoice'!W$2:W$401,$X31)="","",INDEX('Per Invoice'!W$2:W$401,$X31)))</f>
        <v/>
      </c>
      <c r="X31" s="16">
        <f>IFERROR(MATCH(Settings!$C$33&amp;"|"&amp;ROWS($X$2:$X31),'Per Invoice'!$Y$2:$Y$401,0),"")</f>
        <v/>
      </c>
    </row>
    <row r="32">
      <c r="A32">
        <f>IF($X32="","",IF(INDEX('Per Invoice'!A$2:A$401,$X32)="","",INDEX('Per Invoice'!A$2:A$401,$X32)))</f>
        <v/>
      </c>
      <c r="B32">
        <f>IF($X32="","",IF(INDEX('Per Invoice'!B$2:B$401,$X32)="","",INDEX('Per Invoice'!B$2:B$401,$X32)))</f>
        <v/>
      </c>
      <c r="C32">
        <f>IF($X32="","",IF(INDEX('Per Invoice'!C$2:C$401,$X32)="","",INDEX('Per Invoice'!C$2:C$401,$X32)))</f>
        <v/>
      </c>
      <c r="D32">
        <f>IF($X32="","",IF(INDEX('Per Invoice'!D$2:D$401,$X32)="","",INDEX('Per Invoice'!D$2:D$401,$X32)))</f>
        <v/>
      </c>
      <c r="E32">
        <f>IF($X32="","",IF(INDEX('Per Invoice'!E$2:E$401,$X32)="","",INDEX('Per Invoice'!E$2:E$401,$X32)))</f>
        <v/>
      </c>
      <c r="F32">
        <f>IF($X32="","",IF(INDEX('Per Invoice'!F$2:F$401,$X32)="","",INDEX('Per Invoice'!F$2:F$401,$X32)))</f>
        <v/>
      </c>
      <c r="G32">
        <f>IF($X32="","",IF(INDEX('Per Invoice'!G$2:G$401,$X32)="","",INDEX('Per Invoice'!G$2:G$401,$X32)))</f>
        <v/>
      </c>
      <c r="H32">
        <f>IF($X32="","",IF(INDEX('Per Invoice'!H$2:H$401,$X32)="","",INDEX('Per Invoice'!H$2:H$401,$X32)))</f>
        <v/>
      </c>
      <c r="I32">
        <f>IF($X32="","",IF(INDEX('Per Invoice'!I$2:I$401,$X32)="","",INDEX('Per Invoice'!I$2:I$401,$X32)))</f>
        <v/>
      </c>
      <c r="J32">
        <f>IF($X32="","",IF(INDEX('Per Invoice'!J$2:J$401,$X32)="","",INDEX('Per Invoice'!J$2:J$401,$X32)))</f>
        <v/>
      </c>
      <c r="K32" s="14">
        <f>IF($X32="","",IF(INDEX('Per Invoice'!K$2:K$401,$X32)="","",INDEX('Per Invoice'!K$2:K$401,$X32)))</f>
        <v/>
      </c>
      <c r="L32">
        <f>IF($X32="","",IF(INDEX('Per Invoice'!L$2:L$401,$X32)="","",INDEX('Per Invoice'!L$2:L$401,$X32)))</f>
        <v/>
      </c>
      <c r="M32" s="7">
        <f>IF($X32="","",IF(INDEX('Per Invoice'!M$2:M$401,$X32)="","",INDEX('Per Invoice'!M$2:M$401,$X32)))</f>
        <v/>
      </c>
      <c r="N32">
        <f>IF($X32="","",IF(INDEX('Per Invoice'!N$2:N$401,$X32)="","",INDEX('Per Invoice'!N$2:N$401,$X32)))</f>
        <v/>
      </c>
      <c r="O32" s="7">
        <f>IF($X32="","",IF(INDEX('Per Invoice'!O$2:O$401,$X32)="","",INDEX('Per Invoice'!O$2:O$401,$X32)))</f>
        <v/>
      </c>
      <c r="P32" s="7">
        <f>IF($X32="","",IF(INDEX('Per Invoice'!P$2:P$401,$X32)="","",INDEX('Per Invoice'!P$2:P$401,$X32)))</f>
        <v/>
      </c>
      <c r="Q32">
        <f>IF($X32="","",IF(INDEX('Per Invoice'!Q$2:Q$401,$X32)="","",INDEX('Per Invoice'!Q$2:Q$401,$X32)))</f>
        <v/>
      </c>
      <c r="R32" s="7">
        <f>IF($X32="","",IF(INDEX('Per Invoice'!R$2:R$401,$X32)="","",INDEX('Per Invoice'!R$2:R$401,$X32)))</f>
        <v/>
      </c>
      <c r="S32" s="7">
        <f>IF($X32="","",IF(INDEX('Per Invoice'!S$2:S$401,$X32)="","",INDEX('Per Invoice'!S$2:S$401,$X32)))</f>
        <v/>
      </c>
      <c r="T32" s="7">
        <f>IF($X32="","",IF(INDEX('Per Invoice'!T$2:T$401,$X32)="","",INDEX('Per Invoice'!T$2:T$401,$X32)))</f>
        <v/>
      </c>
      <c r="U32" s="7">
        <f>IF($X32="","",IF(INDEX('Per Invoice'!U$2:U$401,$X32)="","",INDEX('Per Invoice'!U$2:U$401,$X32)))</f>
        <v/>
      </c>
      <c r="V32" s="7">
        <f>IF($X32="","",IF(INDEX('Per Invoice'!V$2:V$401,$X32)="","",INDEX('Per Invoice'!V$2:V$401,$X32)))</f>
        <v/>
      </c>
      <c r="W32" s="7">
        <f>IF($X32="","",IF(INDEX('Per Invoice'!W$2:W$401,$X32)="","",INDEX('Per Invoice'!W$2:W$401,$X32)))</f>
        <v/>
      </c>
      <c r="X32" s="16">
        <f>IFERROR(MATCH(Settings!$C$33&amp;"|"&amp;ROWS($X$2:$X32),'Per Invoice'!$Y$2:$Y$401,0),"")</f>
        <v/>
      </c>
    </row>
    <row r="33">
      <c r="A33">
        <f>IF($X33="","",IF(INDEX('Per Invoice'!A$2:A$401,$X33)="","",INDEX('Per Invoice'!A$2:A$401,$X33)))</f>
        <v/>
      </c>
      <c r="B33">
        <f>IF($X33="","",IF(INDEX('Per Invoice'!B$2:B$401,$X33)="","",INDEX('Per Invoice'!B$2:B$401,$X33)))</f>
        <v/>
      </c>
      <c r="C33">
        <f>IF($X33="","",IF(INDEX('Per Invoice'!C$2:C$401,$X33)="","",INDEX('Per Invoice'!C$2:C$401,$X33)))</f>
        <v/>
      </c>
      <c r="D33">
        <f>IF($X33="","",IF(INDEX('Per Invoice'!D$2:D$401,$X33)="","",INDEX('Per Invoice'!D$2:D$401,$X33)))</f>
        <v/>
      </c>
      <c r="E33">
        <f>IF($X33="","",IF(INDEX('Per Invoice'!E$2:E$401,$X33)="","",INDEX('Per Invoice'!E$2:E$401,$X33)))</f>
        <v/>
      </c>
      <c r="F33">
        <f>IF($X33="","",IF(INDEX('Per Invoice'!F$2:F$401,$X33)="","",INDEX('Per Invoice'!F$2:F$401,$X33)))</f>
        <v/>
      </c>
      <c r="G33">
        <f>IF($X33="","",IF(INDEX('Per Invoice'!G$2:G$401,$X33)="","",INDEX('Per Invoice'!G$2:G$401,$X33)))</f>
        <v/>
      </c>
      <c r="H33">
        <f>IF($X33="","",IF(INDEX('Per Invoice'!H$2:H$401,$X33)="","",INDEX('Per Invoice'!H$2:H$401,$X33)))</f>
        <v/>
      </c>
      <c r="I33">
        <f>IF($X33="","",IF(INDEX('Per Invoice'!I$2:I$401,$X33)="","",INDEX('Per Invoice'!I$2:I$401,$X33)))</f>
        <v/>
      </c>
      <c r="J33">
        <f>IF($X33="","",IF(INDEX('Per Invoice'!J$2:J$401,$X33)="","",INDEX('Per Invoice'!J$2:J$401,$X33)))</f>
        <v/>
      </c>
      <c r="K33" s="14">
        <f>IF($X33="","",IF(INDEX('Per Invoice'!K$2:K$401,$X33)="","",INDEX('Per Invoice'!K$2:K$401,$X33)))</f>
        <v/>
      </c>
      <c r="L33">
        <f>IF($X33="","",IF(INDEX('Per Invoice'!L$2:L$401,$X33)="","",INDEX('Per Invoice'!L$2:L$401,$X33)))</f>
        <v/>
      </c>
      <c r="M33" s="7">
        <f>IF($X33="","",IF(INDEX('Per Invoice'!M$2:M$401,$X33)="","",INDEX('Per Invoice'!M$2:M$401,$X33)))</f>
        <v/>
      </c>
      <c r="N33">
        <f>IF($X33="","",IF(INDEX('Per Invoice'!N$2:N$401,$X33)="","",INDEX('Per Invoice'!N$2:N$401,$X33)))</f>
        <v/>
      </c>
      <c r="O33" s="7">
        <f>IF($X33="","",IF(INDEX('Per Invoice'!O$2:O$401,$X33)="","",INDEX('Per Invoice'!O$2:O$401,$X33)))</f>
        <v/>
      </c>
      <c r="P33" s="7">
        <f>IF($X33="","",IF(INDEX('Per Invoice'!P$2:P$401,$X33)="","",INDEX('Per Invoice'!P$2:P$401,$X33)))</f>
        <v/>
      </c>
      <c r="Q33">
        <f>IF($X33="","",IF(INDEX('Per Invoice'!Q$2:Q$401,$X33)="","",INDEX('Per Invoice'!Q$2:Q$401,$X33)))</f>
        <v/>
      </c>
      <c r="R33" s="7">
        <f>IF($X33="","",IF(INDEX('Per Invoice'!R$2:R$401,$X33)="","",INDEX('Per Invoice'!R$2:R$401,$X33)))</f>
        <v/>
      </c>
      <c r="S33" s="7">
        <f>IF($X33="","",IF(INDEX('Per Invoice'!S$2:S$401,$X33)="","",INDEX('Per Invoice'!S$2:S$401,$X33)))</f>
        <v/>
      </c>
      <c r="T33" s="7">
        <f>IF($X33="","",IF(INDEX('Per Invoice'!T$2:T$401,$X33)="","",INDEX('Per Invoice'!T$2:T$401,$X33)))</f>
        <v/>
      </c>
      <c r="U33" s="7">
        <f>IF($X33="","",IF(INDEX('Per Invoice'!U$2:U$401,$X33)="","",INDEX('Per Invoice'!U$2:U$401,$X33)))</f>
        <v/>
      </c>
      <c r="V33" s="7">
        <f>IF($X33="","",IF(INDEX('Per Invoice'!V$2:V$401,$X33)="","",INDEX('Per Invoice'!V$2:V$401,$X33)))</f>
        <v/>
      </c>
      <c r="W33" s="7">
        <f>IF($X33="","",IF(INDEX('Per Invoice'!W$2:W$401,$X33)="","",INDEX('Per Invoice'!W$2:W$401,$X33)))</f>
        <v/>
      </c>
      <c r="X33" s="16">
        <f>IFERROR(MATCH(Settings!$C$33&amp;"|"&amp;ROWS($X$2:$X33),'Per Invoice'!$Y$2:$Y$401,0),"")</f>
        <v/>
      </c>
    </row>
    <row r="34">
      <c r="A34">
        <f>IF($X34="","",IF(INDEX('Per Invoice'!A$2:A$401,$X34)="","",INDEX('Per Invoice'!A$2:A$401,$X34)))</f>
        <v/>
      </c>
      <c r="B34">
        <f>IF($X34="","",IF(INDEX('Per Invoice'!B$2:B$401,$X34)="","",INDEX('Per Invoice'!B$2:B$401,$X34)))</f>
        <v/>
      </c>
      <c r="C34">
        <f>IF($X34="","",IF(INDEX('Per Invoice'!C$2:C$401,$X34)="","",INDEX('Per Invoice'!C$2:C$401,$X34)))</f>
        <v/>
      </c>
      <c r="D34">
        <f>IF($X34="","",IF(INDEX('Per Invoice'!D$2:D$401,$X34)="","",INDEX('Per Invoice'!D$2:D$401,$X34)))</f>
        <v/>
      </c>
      <c r="E34">
        <f>IF($X34="","",IF(INDEX('Per Invoice'!E$2:E$401,$X34)="","",INDEX('Per Invoice'!E$2:E$401,$X34)))</f>
        <v/>
      </c>
      <c r="F34">
        <f>IF($X34="","",IF(INDEX('Per Invoice'!F$2:F$401,$X34)="","",INDEX('Per Invoice'!F$2:F$401,$X34)))</f>
        <v/>
      </c>
      <c r="G34">
        <f>IF($X34="","",IF(INDEX('Per Invoice'!G$2:G$401,$X34)="","",INDEX('Per Invoice'!G$2:G$401,$X34)))</f>
        <v/>
      </c>
      <c r="H34">
        <f>IF($X34="","",IF(INDEX('Per Invoice'!H$2:H$401,$X34)="","",INDEX('Per Invoice'!H$2:H$401,$X34)))</f>
        <v/>
      </c>
      <c r="I34">
        <f>IF($X34="","",IF(INDEX('Per Invoice'!I$2:I$401,$X34)="","",INDEX('Per Invoice'!I$2:I$401,$X34)))</f>
        <v/>
      </c>
      <c r="J34">
        <f>IF($X34="","",IF(INDEX('Per Invoice'!J$2:J$401,$X34)="","",INDEX('Per Invoice'!J$2:J$401,$X34)))</f>
        <v/>
      </c>
      <c r="K34" s="14">
        <f>IF($X34="","",IF(INDEX('Per Invoice'!K$2:K$401,$X34)="","",INDEX('Per Invoice'!K$2:K$401,$X34)))</f>
        <v/>
      </c>
      <c r="L34">
        <f>IF($X34="","",IF(INDEX('Per Invoice'!L$2:L$401,$X34)="","",INDEX('Per Invoice'!L$2:L$401,$X34)))</f>
        <v/>
      </c>
      <c r="M34" s="7">
        <f>IF($X34="","",IF(INDEX('Per Invoice'!M$2:M$401,$X34)="","",INDEX('Per Invoice'!M$2:M$401,$X34)))</f>
        <v/>
      </c>
      <c r="N34">
        <f>IF($X34="","",IF(INDEX('Per Invoice'!N$2:N$401,$X34)="","",INDEX('Per Invoice'!N$2:N$401,$X34)))</f>
        <v/>
      </c>
      <c r="O34" s="7">
        <f>IF($X34="","",IF(INDEX('Per Invoice'!O$2:O$401,$X34)="","",INDEX('Per Invoice'!O$2:O$401,$X34)))</f>
        <v/>
      </c>
      <c r="P34" s="7">
        <f>IF($X34="","",IF(INDEX('Per Invoice'!P$2:P$401,$X34)="","",INDEX('Per Invoice'!P$2:P$401,$X34)))</f>
        <v/>
      </c>
      <c r="Q34">
        <f>IF($X34="","",IF(INDEX('Per Invoice'!Q$2:Q$401,$X34)="","",INDEX('Per Invoice'!Q$2:Q$401,$X34)))</f>
        <v/>
      </c>
      <c r="R34" s="7">
        <f>IF($X34="","",IF(INDEX('Per Invoice'!R$2:R$401,$X34)="","",INDEX('Per Invoice'!R$2:R$401,$X34)))</f>
        <v/>
      </c>
      <c r="S34" s="7">
        <f>IF($X34="","",IF(INDEX('Per Invoice'!S$2:S$401,$X34)="","",INDEX('Per Invoice'!S$2:S$401,$X34)))</f>
        <v/>
      </c>
      <c r="T34" s="7">
        <f>IF($X34="","",IF(INDEX('Per Invoice'!T$2:T$401,$X34)="","",INDEX('Per Invoice'!T$2:T$401,$X34)))</f>
        <v/>
      </c>
      <c r="U34" s="7">
        <f>IF($X34="","",IF(INDEX('Per Invoice'!U$2:U$401,$X34)="","",INDEX('Per Invoice'!U$2:U$401,$X34)))</f>
        <v/>
      </c>
      <c r="V34" s="7">
        <f>IF($X34="","",IF(INDEX('Per Invoice'!V$2:V$401,$X34)="","",INDEX('Per Invoice'!V$2:V$401,$X34)))</f>
        <v/>
      </c>
      <c r="W34" s="7">
        <f>IF($X34="","",IF(INDEX('Per Invoice'!W$2:W$401,$X34)="","",INDEX('Per Invoice'!W$2:W$401,$X34)))</f>
        <v/>
      </c>
      <c r="X34" s="16">
        <f>IFERROR(MATCH(Settings!$C$33&amp;"|"&amp;ROWS($X$2:$X34),'Per Invoice'!$Y$2:$Y$401,0),"")</f>
        <v/>
      </c>
    </row>
    <row r="35">
      <c r="A35">
        <f>IF($X35="","",IF(INDEX('Per Invoice'!A$2:A$401,$X35)="","",INDEX('Per Invoice'!A$2:A$401,$X35)))</f>
        <v/>
      </c>
      <c r="B35">
        <f>IF($X35="","",IF(INDEX('Per Invoice'!B$2:B$401,$X35)="","",INDEX('Per Invoice'!B$2:B$401,$X35)))</f>
        <v/>
      </c>
      <c r="C35">
        <f>IF($X35="","",IF(INDEX('Per Invoice'!C$2:C$401,$X35)="","",INDEX('Per Invoice'!C$2:C$401,$X35)))</f>
        <v/>
      </c>
      <c r="D35">
        <f>IF($X35="","",IF(INDEX('Per Invoice'!D$2:D$401,$X35)="","",INDEX('Per Invoice'!D$2:D$401,$X35)))</f>
        <v/>
      </c>
      <c r="E35">
        <f>IF($X35="","",IF(INDEX('Per Invoice'!E$2:E$401,$X35)="","",INDEX('Per Invoice'!E$2:E$401,$X35)))</f>
        <v/>
      </c>
      <c r="F35">
        <f>IF($X35="","",IF(INDEX('Per Invoice'!F$2:F$401,$X35)="","",INDEX('Per Invoice'!F$2:F$401,$X35)))</f>
        <v/>
      </c>
      <c r="G35">
        <f>IF($X35="","",IF(INDEX('Per Invoice'!G$2:G$401,$X35)="","",INDEX('Per Invoice'!G$2:G$401,$X35)))</f>
        <v/>
      </c>
      <c r="H35">
        <f>IF($X35="","",IF(INDEX('Per Invoice'!H$2:H$401,$X35)="","",INDEX('Per Invoice'!H$2:H$401,$X35)))</f>
        <v/>
      </c>
      <c r="I35">
        <f>IF($X35="","",IF(INDEX('Per Invoice'!I$2:I$401,$X35)="","",INDEX('Per Invoice'!I$2:I$401,$X35)))</f>
        <v/>
      </c>
      <c r="J35">
        <f>IF($X35="","",IF(INDEX('Per Invoice'!J$2:J$401,$X35)="","",INDEX('Per Invoice'!J$2:J$401,$X35)))</f>
        <v/>
      </c>
      <c r="K35" s="14">
        <f>IF($X35="","",IF(INDEX('Per Invoice'!K$2:K$401,$X35)="","",INDEX('Per Invoice'!K$2:K$401,$X35)))</f>
        <v/>
      </c>
      <c r="L35">
        <f>IF($X35="","",IF(INDEX('Per Invoice'!L$2:L$401,$X35)="","",INDEX('Per Invoice'!L$2:L$401,$X35)))</f>
        <v/>
      </c>
      <c r="M35" s="7">
        <f>IF($X35="","",IF(INDEX('Per Invoice'!M$2:M$401,$X35)="","",INDEX('Per Invoice'!M$2:M$401,$X35)))</f>
        <v/>
      </c>
      <c r="N35">
        <f>IF($X35="","",IF(INDEX('Per Invoice'!N$2:N$401,$X35)="","",INDEX('Per Invoice'!N$2:N$401,$X35)))</f>
        <v/>
      </c>
      <c r="O35" s="7">
        <f>IF($X35="","",IF(INDEX('Per Invoice'!O$2:O$401,$X35)="","",INDEX('Per Invoice'!O$2:O$401,$X35)))</f>
        <v/>
      </c>
      <c r="P35" s="7">
        <f>IF($X35="","",IF(INDEX('Per Invoice'!P$2:P$401,$X35)="","",INDEX('Per Invoice'!P$2:P$401,$X35)))</f>
        <v/>
      </c>
      <c r="Q35">
        <f>IF($X35="","",IF(INDEX('Per Invoice'!Q$2:Q$401,$X35)="","",INDEX('Per Invoice'!Q$2:Q$401,$X35)))</f>
        <v/>
      </c>
      <c r="R35" s="7">
        <f>IF($X35="","",IF(INDEX('Per Invoice'!R$2:R$401,$X35)="","",INDEX('Per Invoice'!R$2:R$401,$X35)))</f>
        <v/>
      </c>
      <c r="S35" s="7">
        <f>IF($X35="","",IF(INDEX('Per Invoice'!S$2:S$401,$X35)="","",INDEX('Per Invoice'!S$2:S$401,$X35)))</f>
        <v/>
      </c>
      <c r="T35" s="7">
        <f>IF($X35="","",IF(INDEX('Per Invoice'!T$2:T$401,$X35)="","",INDEX('Per Invoice'!T$2:T$401,$X35)))</f>
        <v/>
      </c>
      <c r="U35" s="7">
        <f>IF($X35="","",IF(INDEX('Per Invoice'!U$2:U$401,$X35)="","",INDEX('Per Invoice'!U$2:U$401,$X35)))</f>
        <v/>
      </c>
      <c r="V35" s="7">
        <f>IF($X35="","",IF(INDEX('Per Invoice'!V$2:V$401,$X35)="","",INDEX('Per Invoice'!V$2:V$401,$X35)))</f>
        <v/>
      </c>
      <c r="W35" s="7">
        <f>IF($X35="","",IF(INDEX('Per Invoice'!W$2:W$401,$X35)="","",INDEX('Per Invoice'!W$2:W$401,$X35)))</f>
        <v/>
      </c>
      <c r="X35" s="16">
        <f>IFERROR(MATCH(Settings!$C$33&amp;"|"&amp;ROWS($X$2:$X35),'Per Invoice'!$Y$2:$Y$401,0),"")</f>
        <v/>
      </c>
    </row>
    <row r="36">
      <c r="A36">
        <f>IF($X36="","",IF(INDEX('Per Invoice'!A$2:A$401,$X36)="","",INDEX('Per Invoice'!A$2:A$401,$X36)))</f>
        <v/>
      </c>
      <c r="B36">
        <f>IF($X36="","",IF(INDEX('Per Invoice'!B$2:B$401,$X36)="","",INDEX('Per Invoice'!B$2:B$401,$X36)))</f>
        <v/>
      </c>
      <c r="C36">
        <f>IF($X36="","",IF(INDEX('Per Invoice'!C$2:C$401,$X36)="","",INDEX('Per Invoice'!C$2:C$401,$X36)))</f>
        <v/>
      </c>
      <c r="D36">
        <f>IF($X36="","",IF(INDEX('Per Invoice'!D$2:D$401,$X36)="","",INDEX('Per Invoice'!D$2:D$401,$X36)))</f>
        <v/>
      </c>
      <c r="E36">
        <f>IF($X36="","",IF(INDEX('Per Invoice'!E$2:E$401,$X36)="","",INDEX('Per Invoice'!E$2:E$401,$X36)))</f>
        <v/>
      </c>
      <c r="F36">
        <f>IF($X36="","",IF(INDEX('Per Invoice'!F$2:F$401,$X36)="","",INDEX('Per Invoice'!F$2:F$401,$X36)))</f>
        <v/>
      </c>
      <c r="G36">
        <f>IF($X36="","",IF(INDEX('Per Invoice'!G$2:G$401,$X36)="","",INDEX('Per Invoice'!G$2:G$401,$X36)))</f>
        <v/>
      </c>
      <c r="H36">
        <f>IF($X36="","",IF(INDEX('Per Invoice'!H$2:H$401,$X36)="","",INDEX('Per Invoice'!H$2:H$401,$X36)))</f>
        <v/>
      </c>
      <c r="I36">
        <f>IF($X36="","",IF(INDEX('Per Invoice'!I$2:I$401,$X36)="","",INDEX('Per Invoice'!I$2:I$401,$X36)))</f>
        <v/>
      </c>
      <c r="J36">
        <f>IF($X36="","",IF(INDEX('Per Invoice'!J$2:J$401,$X36)="","",INDEX('Per Invoice'!J$2:J$401,$X36)))</f>
        <v/>
      </c>
      <c r="K36" s="14">
        <f>IF($X36="","",IF(INDEX('Per Invoice'!K$2:K$401,$X36)="","",INDEX('Per Invoice'!K$2:K$401,$X36)))</f>
        <v/>
      </c>
      <c r="L36">
        <f>IF($X36="","",IF(INDEX('Per Invoice'!L$2:L$401,$X36)="","",INDEX('Per Invoice'!L$2:L$401,$X36)))</f>
        <v/>
      </c>
      <c r="M36" s="7">
        <f>IF($X36="","",IF(INDEX('Per Invoice'!M$2:M$401,$X36)="","",INDEX('Per Invoice'!M$2:M$401,$X36)))</f>
        <v/>
      </c>
      <c r="N36">
        <f>IF($X36="","",IF(INDEX('Per Invoice'!N$2:N$401,$X36)="","",INDEX('Per Invoice'!N$2:N$401,$X36)))</f>
        <v/>
      </c>
      <c r="O36" s="7">
        <f>IF($X36="","",IF(INDEX('Per Invoice'!O$2:O$401,$X36)="","",INDEX('Per Invoice'!O$2:O$401,$X36)))</f>
        <v/>
      </c>
      <c r="P36" s="7">
        <f>IF($X36="","",IF(INDEX('Per Invoice'!P$2:P$401,$X36)="","",INDEX('Per Invoice'!P$2:P$401,$X36)))</f>
        <v/>
      </c>
      <c r="Q36">
        <f>IF($X36="","",IF(INDEX('Per Invoice'!Q$2:Q$401,$X36)="","",INDEX('Per Invoice'!Q$2:Q$401,$X36)))</f>
        <v/>
      </c>
      <c r="R36" s="7">
        <f>IF($X36="","",IF(INDEX('Per Invoice'!R$2:R$401,$X36)="","",INDEX('Per Invoice'!R$2:R$401,$X36)))</f>
        <v/>
      </c>
      <c r="S36" s="7">
        <f>IF($X36="","",IF(INDEX('Per Invoice'!S$2:S$401,$X36)="","",INDEX('Per Invoice'!S$2:S$401,$X36)))</f>
        <v/>
      </c>
      <c r="T36" s="7">
        <f>IF($X36="","",IF(INDEX('Per Invoice'!T$2:T$401,$X36)="","",INDEX('Per Invoice'!T$2:T$401,$X36)))</f>
        <v/>
      </c>
      <c r="U36" s="7">
        <f>IF($X36="","",IF(INDEX('Per Invoice'!U$2:U$401,$X36)="","",INDEX('Per Invoice'!U$2:U$401,$X36)))</f>
        <v/>
      </c>
      <c r="V36" s="7">
        <f>IF($X36="","",IF(INDEX('Per Invoice'!V$2:V$401,$X36)="","",INDEX('Per Invoice'!V$2:V$401,$X36)))</f>
        <v/>
      </c>
      <c r="W36" s="7">
        <f>IF($X36="","",IF(INDEX('Per Invoice'!W$2:W$401,$X36)="","",INDEX('Per Invoice'!W$2:W$401,$X36)))</f>
        <v/>
      </c>
      <c r="X36" s="16">
        <f>IFERROR(MATCH(Settings!$C$33&amp;"|"&amp;ROWS($X$2:$X36),'Per Invoice'!$Y$2:$Y$401,0),"")</f>
        <v/>
      </c>
    </row>
    <row r="37">
      <c r="A37">
        <f>IF($X37="","",IF(INDEX('Per Invoice'!A$2:A$401,$X37)="","",INDEX('Per Invoice'!A$2:A$401,$X37)))</f>
        <v/>
      </c>
      <c r="B37">
        <f>IF($X37="","",IF(INDEX('Per Invoice'!B$2:B$401,$X37)="","",INDEX('Per Invoice'!B$2:B$401,$X37)))</f>
        <v/>
      </c>
      <c r="C37">
        <f>IF($X37="","",IF(INDEX('Per Invoice'!C$2:C$401,$X37)="","",INDEX('Per Invoice'!C$2:C$401,$X37)))</f>
        <v/>
      </c>
      <c r="D37">
        <f>IF($X37="","",IF(INDEX('Per Invoice'!D$2:D$401,$X37)="","",INDEX('Per Invoice'!D$2:D$401,$X37)))</f>
        <v/>
      </c>
      <c r="E37">
        <f>IF($X37="","",IF(INDEX('Per Invoice'!E$2:E$401,$X37)="","",INDEX('Per Invoice'!E$2:E$401,$X37)))</f>
        <v/>
      </c>
      <c r="F37">
        <f>IF($X37="","",IF(INDEX('Per Invoice'!F$2:F$401,$X37)="","",INDEX('Per Invoice'!F$2:F$401,$X37)))</f>
        <v/>
      </c>
      <c r="G37">
        <f>IF($X37="","",IF(INDEX('Per Invoice'!G$2:G$401,$X37)="","",INDEX('Per Invoice'!G$2:G$401,$X37)))</f>
        <v/>
      </c>
      <c r="H37">
        <f>IF($X37="","",IF(INDEX('Per Invoice'!H$2:H$401,$X37)="","",INDEX('Per Invoice'!H$2:H$401,$X37)))</f>
        <v/>
      </c>
      <c r="I37">
        <f>IF($X37="","",IF(INDEX('Per Invoice'!I$2:I$401,$X37)="","",INDEX('Per Invoice'!I$2:I$401,$X37)))</f>
        <v/>
      </c>
      <c r="J37">
        <f>IF($X37="","",IF(INDEX('Per Invoice'!J$2:J$401,$X37)="","",INDEX('Per Invoice'!J$2:J$401,$X37)))</f>
        <v/>
      </c>
      <c r="K37" s="14">
        <f>IF($X37="","",IF(INDEX('Per Invoice'!K$2:K$401,$X37)="","",INDEX('Per Invoice'!K$2:K$401,$X37)))</f>
        <v/>
      </c>
      <c r="L37">
        <f>IF($X37="","",IF(INDEX('Per Invoice'!L$2:L$401,$X37)="","",INDEX('Per Invoice'!L$2:L$401,$X37)))</f>
        <v/>
      </c>
      <c r="M37" s="7">
        <f>IF($X37="","",IF(INDEX('Per Invoice'!M$2:M$401,$X37)="","",INDEX('Per Invoice'!M$2:M$401,$X37)))</f>
        <v/>
      </c>
      <c r="N37">
        <f>IF($X37="","",IF(INDEX('Per Invoice'!N$2:N$401,$X37)="","",INDEX('Per Invoice'!N$2:N$401,$X37)))</f>
        <v/>
      </c>
      <c r="O37" s="7">
        <f>IF($X37="","",IF(INDEX('Per Invoice'!O$2:O$401,$X37)="","",INDEX('Per Invoice'!O$2:O$401,$X37)))</f>
        <v/>
      </c>
      <c r="P37" s="7">
        <f>IF($X37="","",IF(INDEX('Per Invoice'!P$2:P$401,$X37)="","",INDEX('Per Invoice'!P$2:P$401,$X37)))</f>
        <v/>
      </c>
      <c r="Q37">
        <f>IF($X37="","",IF(INDEX('Per Invoice'!Q$2:Q$401,$X37)="","",INDEX('Per Invoice'!Q$2:Q$401,$X37)))</f>
        <v/>
      </c>
      <c r="R37" s="7">
        <f>IF($X37="","",IF(INDEX('Per Invoice'!R$2:R$401,$X37)="","",INDEX('Per Invoice'!R$2:R$401,$X37)))</f>
        <v/>
      </c>
      <c r="S37" s="7">
        <f>IF($X37="","",IF(INDEX('Per Invoice'!S$2:S$401,$X37)="","",INDEX('Per Invoice'!S$2:S$401,$X37)))</f>
        <v/>
      </c>
      <c r="T37" s="7">
        <f>IF($X37="","",IF(INDEX('Per Invoice'!T$2:T$401,$X37)="","",INDEX('Per Invoice'!T$2:T$401,$X37)))</f>
        <v/>
      </c>
      <c r="U37" s="7">
        <f>IF($X37="","",IF(INDEX('Per Invoice'!U$2:U$401,$X37)="","",INDEX('Per Invoice'!U$2:U$401,$X37)))</f>
        <v/>
      </c>
      <c r="V37" s="7">
        <f>IF($X37="","",IF(INDEX('Per Invoice'!V$2:V$401,$X37)="","",INDEX('Per Invoice'!V$2:V$401,$X37)))</f>
        <v/>
      </c>
      <c r="W37" s="7">
        <f>IF($X37="","",IF(INDEX('Per Invoice'!W$2:W$401,$X37)="","",INDEX('Per Invoice'!W$2:W$401,$X37)))</f>
        <v/>
      </c>
      <c r="X37" s="16">
        <f>IFERROR(MATCH(Settings!$C$33&amp;"|"&amp;ROWS($X$2:$X37),'Per Invoice'!$Y$2:$Y$401,0),"")</f>
        <v/>
      </c>
    </row>
    <row r="38">
      <c r="A38">
        <f>IF($X38="","",IF(INDEX('Per Invoice'!A$2:A$401,$X38)="","",INDEX('Per Invoice'!A$2:A$401,$X38)))</f>
        <v/>
      </c>
      <c r="B38">
        <f>IF($X38="","",IF(INDEX('Per Invoice'!B$2:B$401,$X38)="","",INDEX('Per Invoice'!B$2:B$401,$X38)))</f>
        <v/>
      </c>
      <c r="C38">
        <f>IF($X38="","",IF(INDEX('Per Invoice'!C$2:C$401,$X38)="","",INDEX('Per Invoice'!C$2:C$401,$X38)))</f>
        <v/>
      </c>
      <c r="D38">
        <f>IF($X38="","",IF(INDEX('Per Invoice'!D$2:D$401,$X38)="","",INDEX('Per Invoice'!D$2:D$401,$X38)))</f>
        <v/>
      </c>
      <c r="E38">
        <f>IF($X38="","",IF(INDEX('Per Invoice'!E$2:E$401,$X38)="","",INDEX('Per Invoice'!E$2:E$401,$X38)))</f>
        <v/>
      </c>
      <c r="F38">
        <f>IF($X38="","",IF(INDEX('Per Invoice'!F$2:F$401,$X38)="","",INDEX('Per Invoice'!F$2:F$401,$X38)))</f>
        <v/>
      </c>
      <c r="G38">
        <f>IF($X38="","",IF(INDEX('Per Invoice'!G$2:G$401,$X38)="","",INDEX('Per Invoice'!G$2:G$401,$X38)))</f>
        <v/>
      </c>
      <c r="H38">
        <f>IF($X38="","",IF(INDEX('Per Invoice'!H$2:H$401,$X38)="","",INDEX('Per Invoice'!H$2:H$401,$X38)))</f>
        <v/>
      </c>
      <c r="I38">
        <f>IF($X38="","",IF(INDEX('Per Invoice'!I$2:I$401,$X38)="","",INDEX('Per Invoice'!I$2:I$401,$X38)))</f>
        <v/>
      </c>
      <c r="J38">
        <f>IF($X38="","",IF(INDEX('Per Invoice'!J$2:J$401,$X38)="","",INDEX('Per Invoice'!J$2:J$401,$X38)))</f>
        <v/>
      </c>
      <c r="K38" s="14">
        <f>IF($X38="","",IF(INDEX('Per Invoice'!K$2:K$401,$X38)="","",INDEX('Per Invoice'!K$2:K$401,$X38)))</f>
        <v/>
      </c>
      <c r="L38">
        <f>IF($X38="","",IF(INDEX('Per Invoice'!L$2:L$401,$X38)="","",INDEX('Per Invoice'!L$2:L$401,$X38)))</f>
        <v/>
      </c>
      <c r="M38" s="7">
        <f>IF($X38="","",IF(INDEX('Per Invoice'!M$2:M$401,$X38)="","",INDEX('Per Invoice'!M$2:M$401,$X38)))</f>
        <v/>
      </c>
      <c r="N38">
        <f>IF($X38="","",IF(INDEX('Per Invoice'!N$2:N$401,$X38)="","",INDEX('Per Invoice'!N$2:N$401,$X38)))</f>
        <v/>
      </c>
      <c r="O38" s="7">
        <f>IF($X38="","",IF(INDEX('Per Invoice'!O$2:O$401,$X38)="","",INDEX('Per Invoice'!O$2:O$401,$X38)))</f>
        <v/>
      </c>
      <c r="P38" s="7">
        <f>IF($X38="","",IF(INDEX('Per Invoice'!P$2:P$401,$X38)="","",INDEX('Per Invoice'!P$2:P$401,$X38)))</f>
        <v/>
      </c>
      <c r="Q38">
        <f>IF($X38="","",IF(INDEX('Per Invoice'!Q$2:Q$401,$X38)="","",INDEX('Per Invoice'!Q$2:Q$401,$X38)))</f>
        <v/>
      </c>
      <c r="R38" s="7">
        <f>IF($X38="","",IF(INDEX('Per Invoice'!R$2:R$401,$X38)="","",INDEX('Per Invoice'!R$2:R$401,$X38)))</f>
        <v/>
      </c>
      <c r="S38" s="7">
        <f>IF($X38="","",IF(INDEX('Per Invoice'!S$2:S$401,$X38)="","",INDEX('Per Invoice'!S$2:S$401,$X38)))</f>
        <v/>
      </c>
      <c r="T38" s="7">
        <f>IF($X38="","",IF(INDEX('Per Invoice'!T$2:T$401,$X38)="","",INDEX('Per Invoice'!T$2:T$401,$X38)))</f>
        <v/>
      </c>
      <c r="U38" s="7">
        <f>IF($X38="","",IF(INDEX('Per Invoice'!U$2:U$401,$X38)="","",INDEX('Per Invoice'!U$2:U$401,$X38)))</f>
        <v/>
      </c>
      <c r="V38" s="7">
        <f>IF($X38="","",IF(INDEX('Per Invoice'!V$2:V$401,$X38)="","",INDEX('Per Invoice'!V$2:V$401,$X38)))</f>
        <v/>
      </c>
      <c r="W38" s="7">
        <f>IF($X38="","",IF(INDEX('Per Invoice'!W$2:W$401,$X38)="","",INDEX('Per Invoice'!W$2:W$401,$X38)))</f>
        <v/>
      </c>
      <c r="X38" s="16">
        <f>IFERROR(MATCH(Settings!$C$33&amp;"|"&amp;ROWS($X$2:$X38),'Per Invoice'!$Y$2:$Y$401,0),"")</f>
        <v/>
      </c>
    </row>
    <row r="39">
      <c r="A39">
        <f>IF($X39="","",IF(INDEX('Per Invoice'!A$2:A$401,$X39)="","",INDEX('Per Invoice'!A$2:A$401,$X39)))</f>
        <v/>
      </c>
      <c r="B39">
        <f>IF($X39="","",IF(INDEX('Per Invoice'!B$2:B$401,$X39)="","",INDEX('Per Invoice'!B$2:B$401,$X39)))</f>
        <v/>
      </c>
      <c r="C39">
        <f>IF($X39="","",IF(INDEX('Per Invoice'!C$2:C$401,$X39)="","",INDEX('Per Invoice'!C$2:C$401,$X39)))</f>
        <v/>
      </c>
      <c r="D39">
        <f>IF($X39="","",IF(INDEX('Per Invoice'!D$2:D$401,$X39)="","",INDEX('Per Invoice'!D$2:D$401,$X39)))</f>
        <v/>
      </c>
      <c r="E39">
        <f>IF($X39="","",IF(INDEX('Per Invoice'!E$2:E$401,$X39)="","",INDEX('Per Invoice'!E$2:E$401,$X39)))</f>
        <v/>
      </c>
      <c r="F39">
        <f>IF($X39="","",IF(INDEX('Per Invoice'!F$2:F$401,$X39)="","",INDEX('Per Invoice'!F$2:F$401,$X39)))</f>
        <v/>
      </c>
      <c r="G39">
        <f>IF($X39="","",IF(INDEX('Per Invoice'!G$2:G$401,$X39)="","",INDEX('Per Invoice'!G$2:G$401,$X39)))</f>
        <v/>
      </c>
      <c r="H39">
        <f>IF($X39="","",IF(INDEX('Per Invoice'!H$2:H$401,$X39)="","",INDEX('Per Invoice'!H$2:H$401,$X39)))</f>
        <v/>
      </c>
      <c r="I39">
        <f>IF($X39="","",IF(INDEX('Per Invoice'!I$2:I$401,$X39)="","",INDEX('Per Invoice'!I$2:I$401,$X39)))</f>
        <v/>
      </c>
      <c r="J39">
        <f>IF($X39="","",IF(INDEX('Per Invoice'!J$2:J$401,$X39)="","",INDEX('Per Invoice'!J$2:J$401,$X39)))</f>
        <v/>
      </c>
      <c r="K39" s="14">
        <f>IF($X39="","",IF(INDEX('Per Invoice'!K$2:K$401,$X39)="","",INDEX('Per Invoice'!K$2:K$401,$X39)))</f>
        <v/>
      </c>
      <c r="L39">
        <f>IF($X39="","",IF(INDEX('Per Invoice'!L$2:L$401,$X39)="","",INDEX('Per Invoice'!L$2:L$401,$X39)))</f>
        <v/>
      </c>
      <c r="M39" s="7">
        <f>IF($X39="","",IF(INDEX('Per Invoice'!M$2:M$401,$X39)="","",INDEX('Per Invoice'!M$2:M$401,$X39)))</f>
        <v/>
      </c>
      <c r="N39">
        <f>IF($X39="","",IF(INDEX('Per Invoice'!N$2:N$401,$X39)="","",INDEX('Per Invoice'!N$2:N$401,$X39)))</f>
        <v/>
      </c>
      <c r="O39" s="7">
        <f>IF($X39="","",IF(INDEX('Per Invoice'!O$2:O$401,$X39)="","",INDEX('Per Invoice'!O$2:O$401,$X39)))</f>
        <v/>
      </c>
      <c r="P39" s="7">
        <f>IF($X39="","",IF(INDEX('Per Invoice'!P$2:P$401,$X39)="","",INDEX('Per Invoice'!P$2:P$401,$X39)))</f>
        <v/>
      </c>
      <c r="Q39">
        <f>IF($X39="","",IF(INDEX('Per Invoice'!Q$2:Q$401,$X39)="","",INDEX('Per Invoice'!Q$2:Q$401,$X39)))</f>
        <v/>
      </c>
      <c r="R39" s="7">
        <f>IF($X39="","",IF(INDEX('Per Invoice'!R$2:R$401,$X39)="","",INDEX('Per Invoice'!R$2:R$401,$X39)))</f>
        <v/>
      </c>
      <c r="S39" s="7">
        <f>IF($X39="","",IF(INDEX('Per Invoice'!S$2:S$401,$X39)="","",INDEX('Per Invoice'!S$2:S$401,$X39)))</f>
        <v/>
      </c>
      <c r="T39" s="7">
        <f>IF($X39="","",IF(INDEX('Per Invoice'!T$2:T$401,$X39)="","",INDEX('Per Invoice'!T$2:T$401,$X39)))</f>
        <v/>
      </c>
      <c r="U39" s="7">
        <f>IF($X39="","",IF(INDEX('Per Invoice'!U$2:U$401,$X39)="","",INDEX('Per Invoice'!U$2:U$401,$X39)))</f>
        <v/>
      </c>
      <c r="V39" s="7">
        <f>IF($X39="","",IF(INDEX('Per Invoice'!V$2:V$401,$X39)="","",INDEX('Per Invoice'!V$2:V$401,$X39)))</f>
        <v/>
      </c>
      <c r="W39" s="7">
        <f>IF($X39="","",IF(INDEX('Per Invoice'!W$2:W$401,$X39)="","",INDEX('Per Invoice'!W$2:W$401,$X39)))</f>
        <v/>
      </c>
      <c r="X39" s="16">
        <f>IFERROR(MATCH(Settings!$C$33&amp;"|"&amp;ROWS($X$2:$X39),'Per Invoice'!$Y$2:$Y$401,0),"")</f>
        <v/>
      </c>
    </row>
    <row r="40">
      <c r="A40">
        <f>IF($X40="","",IF(INDEX('Per Invoice'!A$2:A$401,$X40)="","",INDEX('Per Invoice'!A$2:A$401,$X40)))</f>
        <v/>
      </c>
      <c r="B40">
        <f>IF($X40="","",IF(INDEX('Per Invoice'!B$2:B$401,$X40)="","",INDEX('Per Invoice'!B$2:B$401,$X40)))</f>
        <v/>
      </c>
      <c r="C40">
        <f>IF($X40="","",IF(INDEX('Per Invoice'!C$2:C$401,$X40)="","",INDEX('Per Invoice'!C$2:C$401,$X40)))</f>
        <v/>
      </c>
      <c r="D40">
        <f>IF($X40="","",IF(INDEX('Per Invoice'!D$2:D$401,$X40)="","",INDEX('Per Invoice'!D$2:D$401,$X40)))</f>
        <v/>
      </c>
      <c r="E40">
        <f>IF($X40="","",IF(INDEX('Per Invoice'!E$2:E$401,$X40)="","",INDEX('Per Invoice'!E$2:E$401,$X40)))</f>
        <v/>
      </c>
      <c r="F40">
        <f>IF($X40="","",IF(INDEX('Per Invoice'!F$2:F$401,$X40)="","",INDEX('Per Invoice'!F$2:F$401,$X40)))</f>
        <v/>
      </c>
      <c r="G40">
        <f>IF($X40="","",IF(INDEX('Per Invoice'!G$2:G$401,$X40)="","",INDEX('Per Invoice'!G$2:G$401,$X40)))</f>
        <v/>
      </c>
      <c r="H40">
        <f>IF($X40="","",IF(INDEX('Per Invoice'!H$2:H$401,$X40)="","",INDEX('Per Invoice'!H$2:H$401,$X40)))</f>
        <v/>
      </c>
      <c r="I40">
        <f>IF($X40="","",IF(INDEX('Per Invoice'!I$2:I$401,$X40)="","",INDEX('Per Invoice'!I$2:I$401,$X40)))</f>
        <v/>
      </c>
      <c r="J40">
        <f>IF($X40="","",IF(INDEX('Per Invoice'!J$2:J$401,$X40)="","",INDEX('Per Invoice'!J$2:J$401,$X40)))</f>
        <v/>
      </c>
      <c r="K40" s="14">
        <f>IF($X40="","",IF(INDEX('Per Invoice'!K$2:K$401,$X40)="","",INDEX('Per Invoice'!K$2:K$401,$X40)))</f>
        <v/>
      </c>
      <c r="L40">
        <f>IF($X40="","",IF(INDEX('Per Invoice'!L$2:L$401,$X40)="","",INDEX('Per Invoice'!L$2:L$401,$X40)))</f>
        <v/>
      </c>
      <c r="M40" s="7">
        <f>IF($X40="","",IF(INDEX('Per Invoice'!M$2:M$401,$X40)="","",INDEX('Per Invoice'!M$2:M$401,$X40)))</f>
        <v/>
      </c>
      <c r="N40">
        <f>IF($X40="","",IF(INDEX('Per Invoice'!N$2:N$401,$X40)="","",INDEX('Per Invoice'!N$2:N$401,$X40)))</f>
        <v/>
      </c>
      <c r="O40" s="7">
        <f>IF($X40="","",IF(INDEX('Per Invoice'!O$2:O$401,$X40)="","",INDEX('Per Invoice'!O$2:O$401,$X40)))</f>
        <v/>
      </c>
      <c r="P40" s="7">
        <f>IF($X40="","",IF(INDEX('Per Invoice'!P$2:P$401,$X40)="","",INDEX('Per Invoice'!P$2:P$401,$X40)))</f>
        <v/>
      </c>
      <c r="Q40">
        <f>IF($X40="","",IF(INDEX('Per Invoice'!Q$2:Q$401,$X40)="","",INDEX('Per Invoice'!Q$2:Q$401,$X40)))</f>
        <v/>
      </c>
      <c r="R40" s="7">
        <f>IF($X40="","",IF(INDEX('Per Invoice'!R$2:R$401,$X40)="","",INDEX('Per Invoice'!R$2:R$401,$X40)))</f>
        <v/>
      </c>
      <c r="S40" s="7">
        <f>IF($X40="","",IF(INDEX('Per Invoice'!S$2:S$401,$X40)="","",INDEX('Per Invoice'!S$2:S$401,$X40)))</f>
        <v/>
      </c>
      <c r="T40" s="7">
        <f>IF($X40="","",IF(INDEX('Per Invoice'!T$2:T$401,$X40)="","",INDEX('Per Invoice'!T$2:T$401,$X40)))</f>
        <v/>
      </c>
      <c r="U40" s="7">
        <f>IF($X40="","",IF(INDEX('Per Invoice'!U$2:U$401,$X40)="","",INDEX('Per Invoice'!U$2:U$401,$X40)))</f>
        <v/>
      </c>
      <c r="V40" s="7">
        <f>IF($X40="","",IF(INDEX('Per Invoice'!V$2:V$401,$X40)="","",INDEX('Per Invoice'!V$2:V$401,$X40)))</f>
        <v/>
      </c>
      <c r="W40" s="7">
        <f>IF($X40="","",IF(INDEX('Per Invoice'!W$2:W$401,$X40)="","",INDEX('Per Invoice'!W$2:W$401,$X40)))</f>
        <v/>
      </c>
      <c r="X40" s="16">
        <f>IFERROR(MATCH(Settings!$C$33&amp;"|"&amp;ROWS($X$2:$X40),'Per Invoice'!$Y$2:$Y$401,0),"")</f>
        <v/>
      </c>
    </row>
    <row r="41">
      <c r="A41">
        <f>IF($X41="","",IF(INDEX('Per Invoice'!A$2:A$401,$X41)="","",INDEX('Per Invoice'!A$2:A$401,$X41)))</f>
        <v/>
      </c>
      <c r="B41">
        <f>IF($X41="","",IF(INDEX('Per Invoice'!B$2:B$401,$X41)="","",INDEX('Per Invoice'!B$2:B$401,$X41)))</f>
        <v/>
      </c>
      <c r="C41">
        <f>IF($X41="","",IF(INDEX('Per Invoice'!C$2:C$401,$X41)="","",INDEX('Per Invoice'!C$2:C$401,$X41)))</f>
        <v/>
      </c>
      <c r="D41">
        <f>IF($X41="","",IF(INDEX('Per Invoice'!D$2:D$401,$X41)="","",INDEX('Per Invoice'!D$2:D$401,$X41)))</f>
        <v/>
      </c>
      <c r="E41">
        <f>IF($X41="","",IF(INDEX('Per Invoice'!E$2:E$401,$X41)="","",INDEX('Per Invoice'!E$2:E$401,$X41)))</f>
        <v/>
      </c>
      <c r="F41">
        <f>IF($X41="","",IF(INDEX('Per Invoice'!F$2:F$401,$X41)="","",INDEX('Per Invoice'!F$2:F$401,$X41)))</f>
        <v/>
      </c>
      <c r="G41">
        <f>IF($X41="","",IF(INDEX('Per Invoice'!G$2:G$401,$X41)="","",INDEX('Per Invoice'!G$2:G$401,$X41)))</f>
        <v/>
      </c>
      <c r="H41">
        <f>IF($X41="","",IF(INDEX('Per Invoice'!H$2:H$401,$X41)="","",INDEX('Per Invoice'!H$2:H$401,$X41)))</f>
        <v/>
      </c>
      <c r="I41">
        <f>IF($X41="","",IF(INDEX('Per Invoice'!I$2:I$401,$X41)="","",INDEX('Per Invoice'!I$2:I$401,$X41)))</f>
        <v/>
      </c>
      <c r="J41">
        <f>IF($X41="","",IF(INDEX('Per Invoice'!J$2:J$401,$X41)="","",INDEX('Per Invoice'!J$2:J$401,$X41)))</f>
        <v/>
      </c>
      <c r="K41" s="14">
        <f>IF($X41="","",IF(INDEX('Per Invoice'!K$2:K$401,$X41)="","",INDEX('Per Invoice'!K$2:K$401,$X41)))</f>
        <v/>
      </c>
      <c r="L41">
        <f>IF($X41="","",IF(INDEX('Per Invoice'!L$2:L$401,$X41)="","",INDEX('Per Invoice'!L$2:L$401,$X41)))</f>
        <v/>
      </c>
      <c r="M41" s="7">
        <f>IF($X41="","",IF(INDEX('Per Invoice'!M$2:M$401,$X41)="","",INDEX('Per Invoice'!M$2:M$401,$X41)))</f>
        <v/>
      </c>
      <c r="N41">
        <f>IF($X41="","",IF(INDEX('Per Invoice'!N$2:N$401,$X41)="","",INDEX('Per Invoice'!N$2:N$401,$X41)))</f>
        <v/>
      </c>
      <c r="O41" s="7">
        <f>IF($X41="","",IF(INDEX('Per Invoice'!O$2:O$401,$X41)="","",INDEX('Per Invoice'!O$2:O$401,$X41)))</f>
        <v/>
      </c>
      <c r="P41" s="7">
        <f>IF($X41="","",IF(INDEX('Per Invoice'!P$2:P$401,$X41)="","",INDEX('Per Invoice'!P$2:P$401,$X41)))</f>
        <v/>
      </c>
      <c r="Q41">
        <f>IF($X41="","",IF(INDEX('Per Invoice'!Q$2:Q$401,$X41)="","",INDEX('Per Invoice'!Q$2:Q$401,$X41)))</f>
        <v/>
      </c>
      <c r="R41" s="7">
        <f>IF($X41="","",IF(INDEX('Per Invoice'!R$2:R$401,$X41)="","",INDEX('Per Invoice'!R$2:R$401,$X41)))</f>
        <v/>
      </c>
      <c r="S41" s="7">
        <f>IF($X41="","",IF(INDEX('Per Invoice'!S$2:S$401,$X41)="","",INDEX('Per Invoice'!S$2:S$401,$X41)))</f>
        <v/>
      </c>
      <c r="T41" s="7">
        <f>IF($X41="","",IF(INDEX('Per Invoice'!T$2:T$401,$X41)="","",INDEX('Per Invoice'!T$2:T$401,$X41)))</f>
        <v/>
      </c>
      <c r="U41" s="7">
        <f>IF($X41="","",IF(INDEX('Per Invoice'!U$2:U$401,$X41)="","",INDEX('Per Invoice'!U$2:U$401,$X41)))</f>
        <v/>
      </c>
      <c r="V41" s="7">
        <f>IF($X41="","",IF(INDEX('Per Invoice'!V$2:V$401,$X41)="","",INDEX('Per Invoice'!V$2:V$401,$X41)))</f>
        <v/>
      </c>
      <c r="W41" s="7">
        <f>IF($X41="","",IF(INDEX('Per Invoice'!W$2:W$401,$X41)="","",INDEX('Per Invoice'!W$2:W$401,$X41)))</f>
        <v/>
      </c>
      <c r="X41" s="16">
        <f>IFERROR(MATCH(Settings!$C$33&amp;"|"&amp;ROWS($X$2:$X41),'Per Invoice'!$Y$2:$Y$401,0),"")</f>
        <v/>
      </c>
    </row>
    <row r="42">
      <c r="A42">
        <f>IF($X42="","",IF(INDEX('Per Invoice'!A$2:A$401,$X42)="","",INDEX('Per Invoice'!A$2:A$401,$X42)))</f>
        <v/>
      </c>
      <c r="B42">
        <f>IF($X42="","",IF(INDEX('Per Invoice'!B$2:B$401,$X42)="","",INDEX('Per Invoice'!B$2:B$401,$X42)))</f>
        <v/>
      </c>
      <c r="C42">
        <f>IF($X42="","",IF(INDEX('Per Invoice'!C$2:C$401,$X42)="","",INDEX('Per Invoice'!C$2:C$401,$X42)))</f>
        <v/>
      </c>
      <c r="D42">
        <f>IF($X42="","",IF(INDEX('Per Invoice'!D$2:D$401,$X42)="","",INDEX('Per Invoice'!D$2:D$401,$X42)))</f>
        <v/>
      </c>
      <c r="E42">
        <f>IF($X42="","",IF(INDEX('Per Invoice'!E$2:E$401,$X42)="","",INDEX('Per Invoice'!E$2:E$401,$X42)))</f>
        <v/>
      </c>
      <c r="F42">
        <f>IF($X42="","",IF(INDEX('Per Invoice'!F$2:F$401,$X42)="","",INDEX('Per Invoice'!F$2:F$401,$X42)))</f>
        <v/>
      </c>
      <c r="G42">
        <f>IF($X42="","",IF(INDEX('Per Invoice'!G$2:G$401,$X42)="","",INDEX('Per Invoice'!G$2:G$401,$X42)))</f>
        <v/>
      </c>
      <c r="H42">
        <f>IF($X42="","",IF(INDEX('Per Invoice'!H$2:H$401,$X42)="","",INDEX('Per Invoice'!H$2:H$401,$X42)))</f>
        <v/>
      </c>
      <c r="I42">
        <f>IF($X42="","",IF(INDEX('Per Invoice'!I$2:I$401,$X42)="","",INDEX('Per Invoice'!I$2:I$401,$X42)))</f>
        <v/>
      </c>
      <c r="J42">
        <f>IF($X42="","",IF(INDEX('Per Invoice'!J$2:J$401,$X42)="","",INDEX('Per Invoice'!J$2:J$401,$X42)))</f>
        <v/>
      </c>
      <c r="K42" s="14">
        <f>IF($X42="","",IF(INDEX('Per Invoice'!K$2:K$401,$X42)="","",INDEX('Per Invoice'!K$2:K$401,$X42)))</f>
        <v/>
      </c>
      <c r="L42">
        <f>IF($X42="","",IF(INDEX('Per Invoice'!L$2:L$401,$X42)="","",INDEX('Per Invoice'!L$2:L$401,$X42)))</f>
        <v/>
      </c>
      <c r="M42" s="7">
        <f>IF($X42="","",IF(INDEX('Per Invoice'!M$2:M$401,$X42)="","",INDEX('Per Invoice'!M$2:M$401,$X42)))</f>
        <v/>
      </c>
      <c r="N42">
        <f>IF($X42="","",IF(INDEX('Per Invoice'!N$2:N$401,$X42)="","",INDEX('Per Invoice'!N$2:N$401,$X42)))</f>
        <v/>
      </c>
      <c r="O42" s="7">
        <f>IF($X42="","",IF(INDEX('Per Invoice'!O$2:O$401,$X42)="","",INDEX('Per Invoice'!O$2:O$401,$X42)))</f>
        <v/>
      </c>
      <c r="P42" s="7">
        <f>IF($X42="","",IF(INDEX('Per Invoice'!P$2:P$401,$X42)="","",INDEX('Per Invoice'!P$2:P$401,$X42)))</f>
        <v/>
      </c>
      <c r="Q42">
        <f>IF($X42="","",IF(INDEX('Per Invoice'!Q$2:Q$401,$X42)="","",INDEX('Per Invoice'!Q$2:Q$401,$X42)))</f>
        <v/>
      </c>
      <c r="R42" s="7">
        <f>IF($X42="","",IF(INDEX('Per Invoice'!R$2:R$401,$X42)="","",INDEX('Per Invoice'!R$2:R$401,$X42)))</f>
        <v/>
      </c>
      <c r="S42" s="7">
        <f>IF($X42="","",IF(INDEX('Per Invoice'!S$2:S$401,$X42)="","",INDEX('Per Invoice'!S$2:S$401,$X42)))</f>
        <v/>
      </c>
      <c r="T42" s="7">
        <f>IF($X42="","",IF(INDEX('Per Invoice'!T$2:T$401,$X42)="","",INDEX('Per Invoice'!T$2:T$401,$X42)))</f>
        <v/>
      </c>
      <c r="U42" s="7">
        <f>IF($X42="","",IF(INDEX('Per Invoice'!U$2:U$401,$X42)="","",INDEX('Per Invoice'!U$2:U$401,$X42)))</f>
        <v/>
      </c>
      <c r="V42" s="7">
        <f>IF($X42="","",IF(INDEX('Per Invoice'!V$2:V$401,$X42)="","",INDEX('Per Invoice'!V$2:V$401,$X42)))</f>
        <v/>
      </c>
      <c r="W42" s="7">
        <f>IF($X42="","",IF(INDEX('Per Invoice'!W$2:W$401,$X42)="","",INDEX('Per Invoice'!W$2:W$401,$X42)))</f>
        <v/>
      </c>
      <c r="X42" s="16">
        <f>IFERROR(MATCH(Settings!$C$33&amp;"|"&amp;ROWS($X$2:$X42),'Per Invoice'!$Y$2:$Y$401,0),"")</f>
        <v/>
      </c>
    </row>
    <row r="43">
      <c r="A43">
        <f>IF($X43="","",IF(INDEX('Per Invoice'!A$2:A$401,$X43)="","",INDEX('Per Invoice'!A$2:A$401,$X43)))</f>
        <v/>
      </c>
      <c r="B43">
        <f>IF($X43="","",IF(INDEX('Per Invoice'!B$2:B$401,$X43)="","",INDEX('Per Invoice'!B$2:B$401,$X43)))</f>
        <v/>
      </c>
      <c r="C43">
        <f>IF($X43="","",IF(INDEX('Per Invoice'!C$2:C$401,$X43)="","",INDEX('Per Invoice'!C$2:C$401,$X43)))</f>
        <v/>
      </c>
      <c r="D43">
        <f>IF($X43="","",IF(INDEX('Per Invoice'!D$2:D$401,$X43)="","",INDEX('Per Invoice'!D$2:D$401,$X43)))</f>
        <v/>
      </c>
      <c r="E43">
        <f>IF($X43="","",IF(INDEX('Per Invoice'!E$2:E$401,$X43)="","",INDEX('Per Invoice'!E$2:E$401,$X43)))</f>
        <v/>
      </c>
      <c r="F43">
        <f>IF($X43="","",IF(INDEX('Per Invoice'!F$2:F$401,$X43)="","",INDEX('Per Invoice'!F$2:F$401,$X43)))</f>
        <v/>
      </c>
      <c r="G43">
        <f>IF($X43="","",IF(INDEX('Per Invoice'!G$2:G$401,$X43)="","",INDEX('Per Invoice'!G$2:G$401,$X43)))</f>
        <v/>
      </c>
      <c r="H43">
        <f>IF($X43="","",IF(INDEX('Per Invoice'!H$2:H$401,$X43)="","",INDEX('Per Invoice'!H$2:H$401,$X43)))</f>
        <v/>
      </c>
      <c r="I43">
        <f>IF($X43="","",IF(INDEX('Per Invoice'!I$2:I$401,$X43)="","",INDEX('Per Invoice'!I$2:I$401,$X43)))</f>
        <v/>
      </c>
      <c r="J43">
        <f>IF($X43="","",IF(INDEX('Per Invoice'!J$2:J$401,$X43)="","",INDEX('Per Invoice'!J$2:J$401,$X43)))</f>
        <v/>
      </c>
      <c r="K43" s="14">
        <f>IF($X43="","",IF(INDEX('Per Invoice'!K$2:K$401,$X43)="","",INDEX('Per Invoice'!K$2:K$401,$X43)))</f>
        <v/>
      </c>
      <c r="L43">
        <f>IF($X43="","",IF(INDEX('Per Invoice'!L$2:L$401,$X43)="","",INDEX('Per Invoice'!L$2:L$401,$X43)))</f>
        <v/>
      </c>
      <c r="M43" s="7">
        <f>IF($X43="","",IF(INDEX('Per Invoice'!M$2:M$401,$X43)="","",INDEX('Per Invoice'!M$2:M$401,$X43)))</f>
        <v/>
      </c>
      <c r="N43">
        <f>IF($X43="","",IF(INDEX('Per Invoice'!N$2:N$401,$X43)="","",INDEX('Per Invoice'!N$2:N$401,$X43)))</f>
        <v/>
      </c>
      <c r="O43" s="7">
        <f>IF($X43="","",IF(INDEX('Per Invoice'!O$2:O$401,$X43)="","",INDEX('Per Invoice'!O$2:O$401,$X43)))</f>
        <v/>
      </c>
      <c r="P43" s="7">
        <f>IF($X43="","",IF(INDEX('Per Invoice'!P$2:P$401,$X43)="","",INDEX('Per Invoice'!P$2:P$401,$X43)))</f>
        <v/>
      </c>
      <c r="Q43">
        <f>IF($X43="","",IF(INDEX('Per Invoice'!Q$2:Q$401,$X43)="","",INDEX('Per Invoice'!Q$2:Q$401,$X43)))</f>
        <v/>
      </c>
      <c r="R43" s="7">
        <f>IF($X43="","",IF(INDEX('Per Invoice'!R$2:R$401,$X43)="","",INDEX('Per Invoice'!R$2:R$401,$X43)))</f>
        <v/>
      </c>
      <c r="S43" s="7">
        <f>IF($X43="","",IF(INDEX('Per Invoice'!S$2:S$401,$X43)="","",INDEX('Per Invoice'!S$2:S$401,$X43)))</f>
        <v/>
      </c>
      <c r="T43" s="7">
        <f>IF($X43="","",IF(INDEX('Per Invoice'!T$2:T$401,$X43)="","",INDEX('Per Invoice'!T$2:T$401,$X43)))</f>
        <v/>
      </c>
      <c r="U43" s="7">
        <f>IF($X43="","",IF(INDEX('Per Invoice'!U$2:U$401,$X43)="","",INDEX('Per Invoice'!U$2:U$401,$X43)))</f>
        <v/>
      </c>
      <c r="V43" s="7">
        <f>IF($X43="","",IF(INDEX('Per Invoice'!V$2:V$401,$X43)="","",INDEX('Per Invoice'!V$2:V$401,$X43)))</f>
        <v/>
      </c>
      <c r="W43" s="7">
        <f>IF($X43="","",IF(INDEX('Per Invoice'!W$2:W$401,$X43)="","",INDEX('Per Invoice'!W$2:W$401,$X43)))</f>
        <v/>
      </c>
      <c r="X43" s="16">
        <f>IFERROR(MATCH(Settings!$C$33&amp;"|"&amp;ROWS($X$2:$X43),'Per Invoice'!$Y$2:$Y$401,0),"")</f>
        <v/>
      </c>
    </row>
    <row r="44">
      <c r="A44">
        <f>IF($X44="","",IF(INDEX('Per Invoice'!A$2:A$401,$X44)="","",INDEX('Per Invoice'!A$2:A$401,$X44)))</f>
        <v/>
      </c>
      <c r="B44">
        <f>IF($X44="","",IF(INDEX('Per Invoice'!B$2:B$401,$X44)="","",INDEX('Per Invoice'!B$2:B$401,$X44)))</f>
        <v/>
      </c>
      <c r="C44">
        <f>IF($X44="","",IF(INDEX('Per Invoice'!C$2:C$401,$X44)="","",INDEX('Per Invoice'!C$2:C$401,$X44)))</f>
        <v/>
      </c>
      <c r="D44">
        <f>IF($X44="","",IF(INDEX('Per Invoice'!D$2:D$401,$X44)="","",INDEX('Per Invoice'!D$2:D$401,$X44)))</f>
        <v/>
      </c>
      <c r="E44">
        <f>IF($X44="","",IF(INDEX('Per Invoice'!E$2:E$401,$X44)="","",INDEX('Per Invoice'!E$2:E$401,$X44)))</f>
        <v/>
      </c>
      <c r="F44">
        <f>IF($X44="","",IF(INDEX('Per Invoice'!F$2:F$401,$X44)="","",INDEX('Per Invoice'!F$2:F$401,$X44)))</f>
        <v/>
      </c>
      <c r="G44">
        <f>IF($X44="","",IF(INDEX('Per Invoice'!G$2:G$401,$X44)="","",INDEX('Per Invoice'!G$2:G$401,$X44)))</f>
        <v/>
      </c>
      <c r="H44">
        <f>IF($X44="","",IF(INDEX('Per Invoice'!H$2:H$401,$X44)="","",INDEX('Per Invoice'!H$2:H$401,$X44)))</f>
        <v/>
      </c>
      <c r="I44">
        <f>IF($X44="","",IF(INDEX('Per Invoice'!I$2:I$401,$X44)="","",INDEX('Per Invoice'!I$2:I$401,$X44)))</f>
        <v/>
      </c>
      <c r="J44">
        <f>IF($X44="","",IF(INDEX('Per Invoice'!J$2:J$401,$X44)="","",INDEX('Per Invoice'!J$2:J$401,$X44)))</f>
        <v/>
      </c>
      <c r="K44" s="14">
        <f>IF($X44="","",IF(INDEX('Per Invoice'!K$2:K$401,$X44)="","",INDEX('Per Invoice'!K$2:K$401,$X44)))</f>
        <v/>
      </c>
      <c r="L44">
        <f>IF($X44="","",IF(INDEX('Per Invoice'!L$2:L$401,$X44)="","",INDEX('Per Invoice'!L$2:L$401,$X44)))</f>
        <v/>
      </c>
      <c r="M44" s="7">
        <f>IF($X44="","",IF(INDEX('Per Invoice'!M$2:M$401,$X44)="","",INDEX('Per Invoice'!M$2:M$401,$X44)))</f>
        <v/>
      </c>
      <c r="N44">
        <f>IF($X44="","",IF(INDEX('Per Invoice'!N$2:N$401,$X44)="","",INDEX('Per Invoice'!N$2:N$401,$X44)))</f>
        <v/>
      </c>
      <c r="O44" s="7">
        <f>IF($X44="","",IF(INDEX('Per Invoice'!O$2:O$401,$X44)="","",INDEX('Per Invoice'!O$2:O$401,$X44)))</f>
        <v/>
      </c>
      <c r="P44" s="7">
        <f>IF($X44="","",IF(INDEX('Per Invoice'!P$2:P$401,$X44)="","",INDEX('Per Invoice'!P$2:P$401,$X44)))</f>
        <v/>
      </c>
      <c r="Q44">
        <f>IF($X44="","",IF(INDEX('Per Invoice'!Q$2:Q$401,$X44)="","",INDEX('Per Invoice'!Q$2:Q$401,$X44)))</f>
        <v/>
      </c>
      <c r="R44" s="7">
        <f>IF($X44="","",IF(INDEX('Per Invoice'!R$2:R$401,$X44)="","",INDEX('Per Invoice'!R$2:R$401,$X44)))</f>
        <v/>
      </c>
      <c r="S44" s="7">
        <f>IF($X44="","",IF(INDEX('Per Invoice'!S$2:S$401,$X44)="","",INDEX('Per Invoice'!S$2:S$401,$X44)))</f>
        <v/>
      </c>
      <c r="T44" s="7">
        <f>IF($X44="","",IF(INDEX('Per Invoice'!T$2:T$401,$X44)="","",INDEX('Per Invoice'!T$2:T$401,$X44)))</f>
        <v/>
      </c>
      <c r="U44" s="7">
        <f>IF($X44="","",IF(INDEX('Per Invoice'!U$2:U$401,$X44)="","",INDEX('Per Invoice'!U$2:U$401,$X44)))</f>
        <v/>
      </c>
      <c r="V44" s="7">
        <f>IF($X44="","",IF(INDEX('Per Invoice'!V$2:V$401,$X44)="","",INDEX('Per Invoice'!V$2:V$401,$X44)))</f>
        <v/>
      </c>
      <c r="W44" s="7">
        <f>IF($X44="","",IF(INDEX('Per Invoice'!W$2:W$401,$X44)="","",INDEX('Per Invoice'!W$2:W$401,$X44)))</f>
        <v/>
      </c>
      <c r="X44" s="16">
        <f>IFERROR(MATCH(Settings!$C$33&amp;"|"&amp;ROWS($X$2:$X44),'Per Invoice'!$Y$2:$Y$401,0),"")</f>
        <v/>
      </c>
    </row>
    <row r="45">
      <c r="A45">
        <f>IF($X45="","",IF(INDEX('Per Invoice'!A$2:A$401,$X45)="","",INDEX('Per Invoice'!A$2:A$401,$X45)))</f>
        <v/>
      </c>
      <c r="B45">
        <f>IF($X45="","",IF(INDEX('Per Invoice'!B$2:B$401,$X45)="","",INDEX('Per Invoice'!B$2:B$401,$X45)))</f>
        <v/>
      </c>
      <c r="C45">
        <f>IF($X45="","",IF(INDEX('Per Invoice'!C$2:C$401,$X45)="","",INDEX('Per Invoice'!C$2:C$401,$X45)))</f>
        <v/>
      </c>
      <c r="D45">
        <f>IF($X45="","",IF(INDEX('Per Invoice'!D$2:D$401,$X45)="","",INDEX('Per Invoice'!D$2:D$401,$X45)))</f>
        <v/>
      </c>
      <c r="E45">
        <f>IF($X45="","",IF(INDEX('Per Invoice'!E$2:E$401,$X45)="","",INDEX('Per Invoice'!E$2:E$401,$X45)))</f>
        <v/>
      </c>
      <c r="F45">
        <f>IF($X45="","",IF(INDEX('Per Invoice'!F$2:F$401,$X45)="","",INDEX('Per Invoice'!F$2:F$401,$X45)))</f>
        <v/>
      </c>
      <c r="G45">
        <f>IF($X45="","",IF(INDEX('Per Invoice'!G$2:G$401,$X45)="","",INDEX('Per Invoice'!G$2:G$401,$X45)))</f>
        <v/>
      </c>
      <c r="H45">
        <f>IF($X45="","",IF(INDEX('Per Invoice'!H$2:H$401,$X45)="","",INDEX('Per Invoice'!H$2:H$401,$X45)))</f>
        <v/>
      </c>
      <c r="I45">
        <f>IF($X45="","",IF(INDEX('Per Invoice'!I$2:I$401,$X45)="","",INDEX('Per Invoice'!I$2:I$401,$X45)))</f>
        <v/>
      </c>
      <c r="J45">
        <f>IF($X45="","",IF(INDEX('Per Invoice'!J$2:J$401,$X45)="","",INDEX('Per Invoice'!J$2:J$401,$X45)))</f>
        <v/>
      </c>
      <c r="K45" s="14">
        <f>IF($X45="","",IF(INDEX('Per Invoice'!K$2:K$401,$X45)="","",INDEX('Per Invoice'!K$2:K$401,$X45)))</f>
        <v/>
      </c>
      <c r="L45">
        <f>IF($X45="","",IF(INDEX('Per Invoice'!L$2:L$401,$X45)="","",INDEX('Per Invoice'!L$2:L$401,$X45)))</f>
        <v/>
      </c>
      <c r="M45" s="7">
        <f>IF($X45="","",IF(INDEX('Per Invoice'!M$2:M$401,$X45)="","",INDEX('Per Invoice'!M$2:M$401,$X45)))</f>
        <v/>
      </c>
      <c r="N45">
        <f>IF($X45="","",IF(INDEX('Per Invoice'!N$2:N$401,$X45)="","",INDEX('Per Invoice'!N$2:N$401,$X45)))</f>
        <v/>
      </c>
      <c r="O45" s="7">
        <f>IF($X45="","",IF(INDEX('Per Invoice'!O$2:O$401,$X45)="","",INDEX('Per Invoice'!O$2:O$401,$X45)))</f>
        <v/>
      </c>
      <c r="P45" s="7">
        <f>IF($X45="","",IF(INDEX('Per Invoice'!P$2:P$401,$X45)="","",INDEX('Per Invoice'!P$2:P$401,$X45)))</f>
        <v/>
      </c>
      <c r="Q45">
        <f>IF($X45="","",IF(INDEX('Per Invoice'!Q$2:Q$401,$X45)="","",INDEX('Per Invoice'!Q$2:Q$401,$X45)))</f>
        <v/>
      </c>
      <c r="R45" s="7">
        <f>IF($X45="","",IF(INDEX('Per Invoice'!R$2:R$401,$X45)="","",INDEX('Per Invoice'!R$2:R$401,$X45)))</f>
        <v/>
      </c>
      <c r="S45" s="7">
        <f>IF($X45="","",IF(INDEX('Per Invoice'!S$2:S$401,$X45)="","",INDEX('Per Invoice'!S$2:S$401,$X45)))</f>
        <v/>
      </c>
      <c r="T45" s="7">
        <f>IF($X45="","",IF(INDEX('Per Invoice'!T$2:T$401,$X45)="","",INDEX('Per Invoice'!T$2:T$401,$X45)))</f>
        <v/>
      </c>
      <c r="U45" s="7">
        <f>IF($X45="","",IF(INDEX('Per Invoice'!U$2:U$401,$X45)="","",INDEX('Per Invoice'!U$2:U$401,$X45)))</f>
        <v/>
      </c>
      <c r="V45" s="7">
        <f>IF($X45="","",IF(INDEX('Per Invoice'!V$2:V$401,$X45)="","",INDEX('Per Invoice'!V$2:V$401,$X45)))</f>
        <v/>
      </c>
      <c r="W45" s="7">
        <f>IF($X45="","",IF(INDEX('Per Invoice'!W$2:W$401,$X45)="","",INDEX('Per Invoice'!W$2:W$401,$X45)))</f>
        <v/>
      </c>
      <c r="X45" s="16">
        <f>IFERROR(MATCH(Settings!$C$33&amp;"|"&amp;ROWS($X$2:$X45),'Per Invoice'!$Y$2:$Y$401,0),"")</f>
        <v/>
      </c>
    </row>
    <row r="46">
      <c r="A46">
        <f>IF($X46="","",IF(INDEX('Per Invoice'!A$2:A$401,$X46)="","",INDEX('Per Invoice'!A$2:A$401,$X46)))</f>
        <v/>
      </c>
      <c r="B46">
        <f>IF($X46="","",IF(INDEX('Per Invoice'!B$2:B$401,$X46)="","",INDEX('Per Invoice'!B$2:B$401,$X46)))</f>
        <v/>
      </c>
      <c r="C46">
        <f>IF($X46="","",IF(INDEX('Per Invoice'!C$2:C$401,$X46)="","",INDEX('Per Invoice'!C$2:C$401,$X46)))</f>
        <v/>
      </c>
      <c r="D46">
        <f>IF($X46="","",IF(INDEX('Per Invoice'!D$2:D$401,$X46)="","",INDEX('Per Invoice'!D$2:D$401,$X46)))</f>
        <v/>
      </c>
      <c r="E46">
        <f>IF($X46="","",IF(INDEX('Per Invoice'!E$2:E$401,$X46)="","",INDEX('Per Invoice'!E$2:E$401,$X46)))</f>
        <v/>
      </c>
      <c r="F46">
        <f>IF($X46="","",IF(INDEX('Per Invoice'!F$2:F$401,$X46)="","",INDEX('Per Invoice'!F$2:F$401,$X46)))</f>
        <v/>
      </c>
      <c r="G46">
        <f>IF($X46="","",IF(INDEX('Per Invoice'!G$2:G$401,$X46)="","",INDEX('Per Invoice'!G$2:G$401,$X46)))</f>
        <v/>
      </c>
      <c r="H46">
        <f>IF($X46="","",IF(INDEX('Per Invoice'!H$2:H$401,$X46)="","",INDEX('Per Invoice'!H$2:H$401,$X46)))</f>
        <v/>
      </c>
      <c r="I46">
        <f>IF($X46="","",IF(INDEX('Per Invoice'!I$2:I$401,$X46)="","",INDEX('Per Invoice'!I$2:I$401,$X46)))</f>
        <v/>
      </c>
      <c r="J46">
        <f>IF($X46="","",IF(INDEX('Per Invoice'!J$2:J$401,$X46)="","",INDEX('Per Invoice'!J$2:J$401,$X46)))</f>
        <v/>
      </c>
      <c r="K46" s="14">
        <f>IF($X46="","",IF(INDEX('Per Invoice'!K$2:K$401,$X46)="","",INDEX('Per Invoice'!K$2:K$401,$X46)))</f>
        <v/>
      </c>
      <c r="L46">
        <f>IF($X46="","",IF(INDEX('Per Invoice'!L$2:L$401,$X46)="","",INDEX('Per Invoice'!L$2:L$401,$X46)))</f>
        <v/>
      </c>
      <c r="M46" s="7">
        <f>IF($X46="","",IF(INDEX('Per Invoice'!M$2:M$401,$X46)="","",INDEX('Per Invoice'!M$2:M$401,$X46)))</f>
        <v/>
      </c>
      <c r="N46">
        <f>IF($X46="","",IF(INDEX('Per Invoice'!N$2:N$401,$X46)="","",INDEX('Per Invoice'!N$2:N$401,$X46)))</f>
        <v/>
      </c>
      <c r="O46" s="7">
        <f>IF($X46="","",IF(INDEX('Per Invoice'!O$2:O$401,$X46)="","",INDEX('Per Invoice'!O$2:O$401,$X46)))</f>
        <v/>
      </c>
      <c r="P46" s="7">
        <f>IF($X46="","",IF(INDEX('Per Invoice'!P$2:P$401,$X46)="","",INDEX('Per Invoice'!P$2:P$401,$X46)))</f>
        <v/>
      </c>
      <c r="Q46">
        <f>IF($X46="","",IF(INDEX('Per Invoice'!Q$2:Q$401,$X46)="","",INDEX('Per Invoice'!Q$2:Q$401,$X46)))</f>
        <v/>
      </c>
      <c r="R46" s="7">
        <f>IF($X46="","",IF(INDEX('Per Invoice'!R$2:R$401,$X46)="","",INDEX('Per Invoice'!R$2:R$401,$X46)))</f>
        <v/>
      </c>
      <c r="S46" s="7">
        <f>IF($X46="","",IF(INDEX('Per Invoice'!S$2:S$401,$X46)="","",INDEX('Per Invoice'!S$2:S$401,$X46)))</f>
        <v/>
      </c>
      <c r="T46" s="7">
        <f>IF($X46="","",IF(INDEX('Per Invoice'!T$2:T$401,$X46)="","",INDEX('Per Invoice'!T$2:T$401,$X46)))</f>
        <v/>
      </c>
      <c r="U46" s="7">
        <f>IF($X46="","",IF(INDEX('Per Invoice'!U$2:U$401,$X46)="","",INDEX('Per Invoice'!U$2:U$401,$X46)))</f>
        <v/>
      </c>
      <c r="V46" s="7">
        <f>IF($X46="","",IF(INDEX('Per Invoice'!V$2:V$401,$X46)="","",INDEX('Per Invoice'!V$2:V$401,$X46)))</f>
        <v/>
      </c>
      <c r="W46" s="7">
        <f>IF($X46="","",IF(INDEX('Per Invoice'!W$2:W$401,$X46)="","",INDEX('Per Invoice'!W$2:W$401,$X46)))</f>
        <v/>
      </c>
      <c r="X46" s="16">
        <f>IFERROR(MATCH(Settings!$C$33&amp;"|"&amp;ROWS($X$2:$X46),'Per Invoice'!$Y$2:$Y$401,0),"")</f>
        <v/>
      </c>
    </row>
    <row r="47">
      <c r="A47">
        <f>IF($X47="","",IF(INDEX('Per Invoice'!A$2:A$401,$X47)="","",INDEX('Per Invoice'!A$2:A$401,$X47)))</f>
        <v/>
      </c>
      <c r="B47">
        <f>IF($X47="","",IF(INDEX('Per Invoice'!B$2:B$401,$X47)="","",INDEX('Per Invoice'!B$2:B$401,$X47)))</f>
        <v/>
      </c>
      <c r="C47">
        <f>IF($X47="","",IF(INDEX('Per Invoice'!C$2:C$401,$X47)="","",INDEX('Per Invoice'!C$2:C$401,$X47)))</f>
        <v/>
      </c>
      <c r="D47">
        <f>IF($X47="","",IF(INDEX('Per Invoice'!D$2:D$401,$X47)="","",INDEX('Per Invoice'!D$2:D$401,$X47)))</f>
        <v/>
      </c>
      <c r="E47">
        <f>IF($X47="","",IF(INDEX('Per Invoice'!E$2:E$401,$X47)="","",INDEX('Per Invoice'!E$2:E$401,$X47)))</f>
        <v/>
      </c>
      <c r="F47">
        <f>IF($X47="","",IF(INDEX('Per Invoice'!F$2:F$401,$X47)="","",INDEX('Per Invoice'!F$2:F$401,$X47)))</f>
        <v/>
      </c>
      <c r="G47">
        <f>IF($X47="","",IF(INDEX('Per Invoice'!G$2:G$401,$X47)="","",INDEX('Per Invoice'!G$2:G$401,$X47)))</f>
        <v/>
      </c>
      <c r="H47">
        <f>IF($X47="","",IF(INDEX('Per Invoice'!H$2:H$401,$X47)="","",INDEX('Per Invoice'!H$2:H$401,$X47)))</f>
        <v/>
      </c>
      <c r="I47">
        <f>IF($X47="","",IF(INDEX('Per Invoice'!I$2:I$401,$X47)="","",INDEX('Per Invoice'!I$2:I$401,$X47)))</f>
        <v/>
      </c>
      <c r="J47">
        <f>IF($X47="","",IF(INDEX('Per Invoice'!J$2:J$401,$X47)="","",INDEX('Per Invoice'!J$2:J$401,$X47)))</f>
        <v/>
      </c>
      <c r="K47" s="14">
        <f>IF($X47="","",IF(INDEX('Per Invoice'!K$2:K$401,$X47)="","",INDEX('Per Invoice'!K$2:K$401,$X47)))</f>
        <v/>
      </c>
      <c r="L47">
        <f>IF($X47="","",IF(INDEX('Per Invoice'!L$2:L$401,$X47)="","",INDEX('Per Invoice'!L$2:L$401,$X47)))</f>
        <v/>
      </c>
      <c r="M47" s="7">
        <f>IF($X47="","",IF(INDEX('Per Invoice'!M$2:M$401,$X47)="","",INDEX('Per Invoice'!M$2:M$401,$X47)))</f>
        <v/>
      </c>
      <c r="N47">
        <f>IF($X47="","",IF(INDEX('Per Invoice'!N$2:N$401,$X47)="","",INDEX('Per Invoice'!N$2:N$401,$X47)))</f>
        <v/>
      </c>
      <c r="O47" s="7">
        <f>IF($X47="","",IF(INDEX('Per Invoice'!O$2:O$401,$X47)="","",INDEX('Per Invoice'!O$2:O$401,$X47)))</f>
        <v/>
      </c>
      <c r="P47" s="7">
        <f>IF($X47="","",IF(INDEX('Per Invoice'!P$2:P$401,$X47)="","",INDEX('Per Invoice'!P$2:P$401,$X47)))</f>
        <v/>
      </c>
      <c r="Q47">
        <f>IF($X47="","",IF(INDEX('Per Invoice'!Q$2:Q$401,$X47)="","",INDEX('Per Invoice'!Q$2:Q$401,$X47)))</f>
        <v/>
      </c>
      <c r="R47" s="7">
        <f>IF($X47="","",IF(INDEX('Per Invoice'!R$2:R$401,$X47)="","",INDEX('Per Invoice'!R$2:R$401,$X47)))</f>
        <v/>
      </c>
      <c r="S47" s="7">
        <f>IF($X47="","",IF(INDEX('Per Invoice'!S$2:S$401,$X47)="","",INDEX('Per Invoice'!S$2:S$401,$X47)))</f>
        <v/>
      </c>
      <c r="T47" s="7">
        <f>IF($X47="","",IF(INDEX('Per Invoice'!T$2:T$401,$X47)="","",INDEX('Per Invoice'!T$2:T$401,$X47)))</f>
        <v/>
      </c>
      <c r="U47" s="7">
        <f>IF($X47="","",IF(INDEX('Per Invoice'!U$2:U$401,$X47)="","",INDEX('Per Invoice'!U$2:U$401,$X47)))</f>
        <v/>
      </c>
      <c r="V47" s="7">
        <f>IF($X47="","",IF(INDEX('Per Invoice'!V$2:V$401,$X47)="","",INDEX('Per Invoice'!V$2:V$401,$X47)))</f>
        <v/>
      </c>
      <c r="W47" s="7">
        <f>IF($X47="","",IF(INDEX('Per Invoice'!W$2:W$401,$X47)="","",INDEX('Per Invoice'!W$2:W$401,$X47)))</f>
        <v/>
      </c>
      <c r="X47" s="16">
        <f>IFERROR(MATCH(Settings!$C$33&amp;"|"&amp;ROWS($X$2:$X47),'Per Invoice'!$Y$2:$Y$401,0),"")</f>
        <v/>
      </c>
    </row>
    <row r="48">
      <c r="A48">
        <f>IF($X48="","",IF(INDEX('Per Invoice'!A$2:A$401,$X48)="","",INDEX('Per Invoice'!A$2:A$401,$X48)))</f>
        <v/>
      </c>
      <c r="B48">
        <f>IF($X48="","",IF(INDEX('Per Invoice'!B$2:B$401,$X48)="","",INDEX('Per Invoice'!B$2:B$401,$X48)))</f>
        <v/>
      </c>
      <c r="C48">
        <f>IF($X48="","",IF(INDEX('Per Invoice'!C$2:C$401,$X48)="","",INDEX('Per Invoice'!C$2:C$401,$X48)))</f>
        <v/>
      </c>
      <c r="D48">
        <f>IF($X48="","",IF(INDEX('Per Invoice'!D$2:D$401,$X48)="","",INDEX('Per Invoice'!D$2:D$401,$X48)))</f>
        <v/>
      </c>
      <c r="E48">
        <f>IF($X48="","",IF(INDEX('Per Invoice'!E$2:E$401,$X48)="","",INDEX('Per Invoice'!E$2:E$401,$X48)))</f>
        <v/>
      </c>
      <c r="F48">
        <f>IF($X48="","",IF(INDEX('Per Invoice'!F$2:F$401,$X48)="","",INDEX('Per Invoice'!F$2:F$401,$X48)))</f>
        <v/>
      </c>
      <c r="G48">
        <f>IF($X48="","",IF(INDEX('Per Invoice'!G$2:G$401,$X48)="","",INDEX('Per Invoice'!G$2:G$401,$X48)))</f>
        <v/>
      </c>
      <c r="H48">
        <f>IF($X48="","",IF(INDEX('Per Invoice'!H$2:H$401,$X48)="","",INDEX('Per Invoice'!H$2:H$401,$X48)))</f>
        <v/>
      </c>
      <c r="I48">
        <f>IF($X48="","",IF(INDEX('Per Invoice'!I$2:I$401,$X48)="","",INDEX('Per Invoice'!I$2:I$401,$X48)))</f>
        <v/>
      </c>
      <c r="J48">
        <f>IF($X48="","",IF(INDEX('Per Invoice'!J$2:J$401,$X48)="","",INDEX('Per Invoice'!J$2:J$401,$X48)))</f>
        <v/>
      </c>
      <c r="K48" s="14">
        <f>IF($X48="","",IF(INDEX('Per Invoice'!K$2:K$401,$X48)="","",INDEX('Per Invoice'!K$2:K$401,$X48)))</f>
        <v/>
      </c>
      <c r="L48">
        <f>IF($X48="","",IF(INDEX('Per Invoice'!L$2:L$401,$X48)="","",INDEX('Per Invoice'!L$2:L$401,$X48)))</f>
        <v/>
      </c>
      <c r="M48" s="7">
        <f>IF($X48="","",IF(INDEX('Per Invoice'!M$2:M$401,$X48)="","",INDEX('Per Invoice'!M$2:M$401,$X48)))</f>
        <v/>
      </c>
      <c r="N48">
        <f>IF($X48="","",IF(INDEX('Per Invoice'!N$2:N$401,$X48)="","",INDEX('Per Invoice'!N$2:N$401,$X48)))</f>
        <v/>
      </c>
      <c r="O48" s="7">
        <f>IF($X48="","",IF(INDEX('Per Invoice'!O$2:O$401,$X48)="","",INDEX('Per Invoice'!O$2:O$401,$X48)))</f>
        <v/>
      </c>
      <c r="P48" s="7">
        <f>IF($X48="","",IF(INDEX('Per Invoice'!P$2:P$401,$X48)="","",INDEX('Per Invoice'!P$2:P$401,$X48)))</f>
        <v/>
      </c>
      <c r="Q48">
        <f>IF($X48="","",IF(INDEX('Per Invoice'!Q$2:Q$401,$X48)="","",INDEX('Per Invoice'!Q$2:Q$401,$X48)))</f>
        <v/>
      </c>
      <c r="R48" s="7">
        <f>IF($X48="","",IF(INDEX('Per Invoice'!R$2:R$401,$X48)="","",INDEX('Per Invoice'!R$2:R$401,$X48)))</f>
        <v/>
      </c>
      <c r="S48" s="7">
        <f>IF($X48="","",IF(INDEX('Per Invoice'!S$2:S$401,$X48)="","",INDEX('Per Invoice'!S$2:S$401,$X48)))</f>
        <v/>
      </c>
      <c r="T48" s="7">
        <f>IF($X48="","",IF(INDEX('Per Invoice'!T$2:T$401,$X48)="","",INDEX('Per Invoice'!T$2:T$401,$X48)))</f>
        <v/>
      </c>
      <c r="U48" s="7">
        <f>IF($X48="","",IF(INDEX('Per Invoice'!U$2:U$401,$X48)="","",INDEX('Per Invoice'!U$2:U$401,$X48)))</f>
        <v/>
      </c>
      <c r="V48" s="7">
        <f>IF($X48="","",IF(INDEX('Per Invoice'!V$2:V$401,$X48)="","",INDEX('Per Invoice'!V$2:V$401,$X48)))</f>
        <v/>
      </c>
      <c r="W48" s="7">
        <f>IF($X48="","",IF(INDEX('Per Invoice'!W$2:W$401,$X48)="","",INDEX('Per Invoice'!W$2:W$401,$X48)))</f>
        <v/>
      </c>
      <c r="X48" s="16">
        <f>IFERROR(MATCH(Settings!$C$33&amp;"|"&amp;ROWS($X$2:$X48),'Per Invoice'!$Y$2:$Y$401,0),"")</f>
        <v/>
      </c>
    </row>
    <row r="49">
      <c r="A49">
        <f>IF($X49="","",IF(INDEX('Per Invoice'!A$2:A$401,$X49)="","",INDEX('Per Invoice'!A$2:A$401,$X49)))</f>
        <v/>
      </c>
      <c r="B49">
        <f>IF($X49="","",IF(INDEX('Per Invoice'!B$2:B$401,$X49)="","",INDEX('Per Invoice'!B$2:B$401,$X49)))</f>
        <v/>
      </c>
      <c r="C49">
        <f>IF($X49="","",IF(INDEX('Per Invoice'!C$2:C$401,$X49)="","",INDEX('Per Invoice'!C$2:C$401,$X49)))</f>
        <v/>
      </c>
      <c r="D49">
        <f>IF($X49="","",IF(INDEX('Per Invoice'!D$2:D$401,$X49)="","",INDEX('Per Invoice'!D$2:D$401,$X49)))</f>
        <v/>
      </c>
      <c r="E49">
        <f>IF($X49="","",IF(INDEX('Per Invoice'!E$2:E$401,$X49)="","",INDEX('Per Invoice'!E$2:E$401,$X49)))</f>
        <v/>
      </c>
      <c r="F49">
        <f>IF($X49="","",IF(INDEX('Per Invoice'!F$2:F$401,$X49)="","",INDEX('Per Invoice'!F$2:F$401,$X49)))</f>
        <v/>
      </c>
      <c r="G49">
        <f>IF($X49="","",IF(INDEX('Per Invoice'!G$2:G$401,$X49)="","",INDEX('Per Invoice'!G$2:G$401,$X49)))</f>
        <v/>
      </c>
      <c r="H49">
        <f>IF($X49="","",IF(INDEX('Per Invoice'!H$2:H$401,$X49)="","",INDEX('Per Invoice'!H$2:H$401,$X49)))</f>
        <v/>
      </c>
      <c r="I49">
        <f>IF($X49="","",IF(INDEX('Per Invoice'!I$2:I$401,$X49)="","",INDEX('Per Invoice'!I$2:I$401,$X49)))</f>
        <v/>
      </c>
      <c r="J49">
        <f>IF($X49="","",IF(INDEX('Per Invoice'!J$2:J$401,$X49)="","",INDEX('Per Invoice'!J$2:J$401,$X49)))</f>
        <v/>
      </c>
      <c r="K49" s="14">
        <f>IF($X49="","",IF(INDEX('Per Invoice'!K$2:K$401,$X49)="","",INDEX('Per Invoice'!K$2:K$401,$X49)))</f>
        <v/>
      </c>
      <c r="L49">
        <f>IF($X49="","",IF(INDEX('Per Invoice'!L$2:L$401,$X49)="","",INDEX('Per Invoice'!L$2:L$401,$X49)))</f>
        <v/>
      </c>
      <c r="M49" s="7">
        <f>IF($X49="","",IF(INDEX('Per Invoice'!M$2:M$401,$X49)="","",INDEX('Per Invoice'!M$2:M$401,$X49)))</f>
        <v/>
      </c>
      <c r="N49">
        <f>IF($X49="","",IF(INDEX('Per Invoice'!N$2:N$401,$X49)="","",INDEX('Per Invoice'!N$2:N$401,$X49)))</f>
        <v/>
      </c>
      <c r="O49" s="7">
        <f>IF($X49="","",IF(INDEX('Per Invoice'!O$2:O$401,$X49)="","",INDEX('Per Invoice'!O$2:O$401,$X49)))</f>
        <v/>
      </c>
      <c r="P49" s="7">
        <f>IF($X49="","",IF(INDEX('Per Invoice'!P$2:P$401,$X49)="","",INDEX('Per Invoice'!P$2:P$401,$X49)))</f>
        <v/>
      </c>
      <c r="Q49">
        <f>IF($X49="","",IF(INDEX('Per Invoice'!Q$2:Q$401,$X49)="","",INDEX('Per Invoice'!Q$2:Q$401,$X49)))</f>
        <v/>
      </c>
      <c r="R49" s="7">
        <f>IF($X49="","",IF(INDEX('Per Invoice'!R$2:R$401,$X49)="","",INDEX('Per Invoice'!R$2:R$401,$X49)))</f>
        <v/>
      </c>
      <c r="S49" s="7">
        <f>IF($X49="","",IF(INDEX('Per Invoice'!S$2:S$401,$X49)="","",INDEX('Per Invoice'!S$2:S$401,$X49)))</f>
        <v/>
      </c>
      <c r="T49" s="7">
        <f>IF($X49="","",IF(INDEX('Per Invoice'!T$2:T$401,$X49)="","",INDEX('Per Invoice'!T$2:T$401,$X49)))</f>
        <v/>
      </c>
      <c r="U49" s="7">
        <f>IF($X49="","",IF(INDEX('Per Invoice'!U$2:U$401,$X49)="","",INDEX('Per Invoice'!U$2:U$401,$X49)))</f>
        <v/>
      </c>
      <c r="V49" s="7">
        <f>IF($X49="","",IF(INDEX('Per Invoice'!V$2:V$401,$X49)="","",INDEX('Per Invoice'!V$2:V$401,$X49)))</f>
        <v/>
      </c>
      <c r="W49" s="7">
        <f>IF($X49="","",IF(INDEX('Per Invoice'!W$2:W$401,$X49)="","",INDEX('Per Invoice'!W$2:W$401,$X49)))</f>
        <v/>
      </c>
      <c r="X49" s="16">
        <f>IFERROR(MATCH(Settings!$C$33&amp;"|"&amp;ROWS($X$2:$X49),'Per Invoice'!$Y$2:$Y$401,0),"")</f>
        <v/>
      </c>
    </row>
    <row r="50">
      <c r="A50">
        <f>IF($X50="","",IF(INDEX('Per Invoice'!A$2:A$401,$X50)="","",INDEX('Per Invoice'!A$2:A$401,$X50)))</f>
        <v/>
      </c>
      <c r="B50">
        <f>IF($X50="","",IF(INDEX('Per Invoice'!B$2:B$401,$X50)="","",INDEX('Per Invoice'!B$2:B$401,$X50)))</f>
        <v/>
      </c>
      <c r="C50">
        <f>IF($X50="","",IF(INDEX('Per Invoice'!C$2:C$401,$X50)="","",INDEX('Per Invoice'!C$2:C$401,$X50)))</f>
        <v/>
      </c>
      <c r="D50">
        <f>IF($X50="","",IF(INDEX('Per Invoice'!D$2:D$401,$X50)="","",INDEX('Per Invoice'!D$2:D$401,$X50)))</f>
        <v/>
      </c>
      <c r="E50">
        <f>IF($X50="","",IF(INDEX('Per Invoice'!E$2:E$401,$X50)="","",INDEX('Per Invoice'!E$2:E$401,$X50)))</f>
        <v/>
      </c>
      <c r="F50">
        <f>IF($X50="","",IF(INDEX('Per Invoice'!F$2:F$401,$X50)="","",INDEX('Per Invoice'!F$2:F$401,$X50)))</f>
        <v/>
      </c>
      <c r="G50">
        <f>IF($X50="","",IF(INDEX('Per Invoice'!G$2:G$401,$X50)="","",INDEX('Per Invoice'!G$2:G$401,$X50)))</f>
        <v/>
      </c>
      <c r="H50">
        <f>IF($X50="","",IF(INDEX('Per Invoice'!H$2:H$401,$X50)="","",INDEX('Per Invoice'!H$2:H$401,$X50)))</f>
        <v/>
      </c>
      <c r="I50">
        <f>IF($X50="","",IF(INDEX('Per Invoice'!I$2:I$401,$X50)="","",INDEX('Per Invoice'!I$2:I$401,$X50)))</f>
        <v/>
      </c>
      <c r="J50">
        <f>IF($X50="","",IF(INDEX('Per Invoice'!J$2:J$401,$X50)="","",INDEX('Per Invoice'!J$2:J$401,$X50)))</f>
        <v/>
      </c>
      <c r="K50" s="14">
        <f>IF($X50="","",IF(INDEX('Per Invoice'!K$2:K$401,$X50)="","",INDEX('Per Invoice'!K$2:K$401,$X50)))</f>
        <v/>
      </c>
      <c r="L50">
        <f>IF($X50="","",IF(INDEX('Per Invoice'!L$2:L$401,$X50)="","",INDEX('Per Invoice'!L$2:L$401,$X50)))</f>
        <v/>
      </c>
      <c r="M50" s="7">
        <f>IF($X50="","",IF(INDEX('Per Invoice'!M$2:M$401,$X50)="","",INDEX('Per Invoice'!M$2:M$401,$X50)))</f>
        <v/>
      </c>
      <c r="N50">
        <f>IF($X50="","",IF(INDEX('Per Invoice'!N$2:N$401,$X50)="","",INDEX('Per Invoice'!N$2:N$401,$X50)))</f>
        <v/>
      </c>
      <c r="O50" s="7">
        <f>IF($X50="","",IF(INDEX('Per Invoice'!O$2:O$401,$X50)="","",INDEX('Per Invoice'!O$2:O$401,$X50)))</f>
        <v/>
      </c>
      <c r="P50" s="7">
        <f>IF($X50="","",IF(INDEX('Per Invoice'!P$2:P$401,$X50)="","",INDEX('Per Invoice'!P$2:P$401,$X50)))</f>
        <v/>
      </c>
      <c r="Q50">
        <f>IF($X50="","",IF(INDEX('Per Invoice'!Q$2:Q$401,$X50)="","",INDEX('Per Invoice'!Q$2:Q$401,$X50)))</f>
        <v/>
      </c>
      <c r="R50" s="7">
        <f>IF($X50="","",IF(INDEX('Per Invoice'!R$2:R$401,$X50)="","",INDEX('Per Invoice'!R$2:R$401,$X50)))</f>
        <v/>
      </c>
      <c r="S50" s="7">
        <f>IF($X50="","",IF(INDEX('Per Invoice'!S$2:S$401,$X50)="","",INDEX('Per Invoice'!S$2:S$401,$X50)))</f>
        <v/>
      </c>
      <c r="T50" s="7">
        <f>IF($X50="","",IF(INDEX('Per Invoice'!T$2:T$401,$X50)="","",INDEX('Per Invoice'!T$2:T$401,$X50)))</f>
        <v/>
      </c>
      <c r="U50" s="7">
        <f>IF($X50="","",IF(INDEX('Per Invoice'!U$2:U$401,$X50)="","",INDEX('Per Invoice'!U$2:U$401,$X50)))</f>
        <v/>
      </c>
      <c r="V50" s="7">
        <f>IF($X50="","",IF(INDEX('Per Invoice'!V$2:V$401,$X50)="","",INDEX('Per Invoice'!V$2:V$401,$X50)))</f>
        <v/>
      </c>
      <c r="W50" s="7">
        <f>IF($X50="","",IF(INDEX('Per Invoice'!W$2:W$401,$X50)="","",INDEX('Per Invoice'!W$2:W$401,$X50)))</f>
        <v/>
      </c>
      <c r="X50" s="16">
        <f>IFERROR(MATCH(Settings!$C$33&amp;"|"&amp;ROWS($X$2:$X50),'Per Invoice'!$Y$2:$Y$401,0),"")</f>
        <v/>
      </c>
    </row>
    <row r="51">
      <c r="A51">
        <f>IF($X51="","",IF(INDEX('Per Invoice'!A$2:A$401,$X51)="","",INDEX('Per Invoice'!A$2:A$401,$X51)))</f>
        <v/>
      </c>
      <c r="B51">
        <f>IF($X51="","",IF(INDEX('Per Invoice'!B$2:B$401,$X51)="","",INDEX('Per Invoice'!B$2:B$401,$X51)))</f>
        <v/>
      </c>
      <c r="C51">
        <f>IF($X51="","",IF(INDEX('Per Invoice'!C$2:C$401,$X51)="","",INDEX('Per Invoice'!C$2:C$401,$X51)))</f>
        <v/>
      </c>
      <c r="D51">
        <f>IF($X51="","",IF(INDEX('Per Invoice'!D$2:D$401,$X51)="","",INDEX('Per Invoice'!D$2:D$401,$X51)))</f>
        <v/>
      </c>
      <c r="E51">
        <f>IF($X51="","",IF(INDEX('Per Invoice'!E$2:E$401,$X51)="","",INDEX('Per Invoice'!E$2:E$401,$X51)))</f>
        <v/>
      </c>
      <c r="F51">
        <f>IF($X51="","",IF(INDEX('Per Invoice'!F$2:F$401,$X51)="","",INDEX('Per Invoice'!F$2:F$401,$X51)))</f>
        <v/>
      </c>
      <c r="G51">
        <f>IF($X51="","",IF(INDEX('Per Invoice'!G$2:G$401,$X51)="","",INDEX('Per Invoice'!G$2:G$401,$X51)))</f>
        <v/>
      </c>
      <c r="H51">
        <f>IF($X51="","",IF(INDEX('Per Invoice'!H$2:H$401,$X51)="","",INDEX('Per Invoice'!H$2:H$401,$X51)))</f>
        <v/>
      </c>
      <c r="I51">
        <f>IF($X51="","",IF(INDEX('Per Invoice'!I$2:I$401,$X51)="","",INDEX('Per Invoice'!I$2:I$401,$X51)))</f>
        <v/>
      </c>
      <c r="J51">
        <f>IF($X51="","",IF(INDEX('Per Invoice'!J$2:J$401,$X51)="","",INDEX('Per Invoice'!J$2:J$401,$X51)))</f>
        <v/>
      </c>
      <c r="K51" s="14">
        <f>IF($X51="","",IF(INDEX('Per Invoice'!K$2:K$401,$X51)="","",INDEX('Per Invoice'!K$2:K$401,$X51)))</f>
        <v/>
      </c>
      <c r="L51">
        <f>IF($X51="","",IF(INDEX('Per Invoice'!L$2:L$401,$X51)="","",INDEX('Per Invoice'!L$2:L$401,$X51)))</f>
        <v/>
      </c>
      <c r="M51" s="7">
        <f>IF($X51="","",IF(INDEX('Per Invoice'!M$2:M$401,$X51)="","",INDEX('Per Invoice'!M$2:M$401,$X51)))</f>
        <v/>
      </c>
      <c r="N51">
        <f>IF($X51="","",IF(INDEX('Per Invoice'!N$2:N$401,$X51)="","",INDEX('Per Invoice'!N$2:N$401,$X51)))</f>
        <v/>
      </c>
      <c r="O51" s="7">
        <f>IF($X51="","",IF(INDEX('Per Invoice'!O$2:O$401,$X51)="","",INDEX('Per Invoice'!O$2:O$401,$X51)))</f>
        <v/>
      </c>
      <c r="P51" s="7">
        <f>IF($X51="","",IF(INDEX('Per Invoice'!P$2:P$401,$X51)="","",INDEX('Per Invoice'!P$2:P$401,$X51)))</f>
        <v/>
      </c>
      <c r="Q51">
        <f>IF($X51="","",IF(INDEX('Per Invoice'!Q$2:Q$401,$X51)="","",INDEX('Per Invoice'!Q$2:Q$401,$X51)))</f>
        <v/>
      </c>
      <c r="R51" s="7">
        <f>IF($X51="","",IF(INDEX('Per Invoice'!R$2:R$401,$X51)="","",INDEX('Per Invoice'!R$2:R$401,$X51)))</f>
        <v/>
      </c>
      <c r="S51" s="7">
        <f>IF($X51="","",IF(INDEX('Per Invoice'!S$2:S$401,$X51)="","",INDEX('Per Invoice'!S$2:S$401,$X51)))</f>
        <v/>
      </c>
      <c r="T51" s="7">
        <f>IF($X51="","",IF(INDEX('Per Invoice'!T$2:T$401,$X51)="","",INDEX('Per Invoice'!T$2:T$401,$X51)))</f>
        <v/>
      </c>
      <c r="U51" s="7">
        <f>IF($X51="","",IF(INDEX('Per Invoice'!U$2:U$401,$X51)="","",INDEX('Per Invoice'!U$2:U$401,$X51)))</f>
        <v/>
      </c>
      <c r="V51" s="7">
        <f>IF($X51="","",IF(INDEX('Per Invoice'!V$2:V$401,$X51)="","",INDEX('Per Invoice'!V$2:V$401,$X51)))</f>
        <v/>
      </c>
      <c r="W51" s="7">
        <f>IF($X51="","",IF(INDEX('Per Invoice'!W$2:W$401,$X51)="","",INDEX('Per Invoice'!W$2:W$401,$X51)))</f>
        <v/>
      </c>
      <c r="X51" s="16">
        <f>IFERROR(MATCH(Settings!$C$33&amp;"|"&amp;ROWS($X$2:$X51),'Per Invoice'!$Y$2:$Y$401,0),"")</f>
        <v/>
      </c>
    </row>
    <row r="52">
      <c r="A52">
        <f>IF($X52="","",IF(INDEX('Per Invoice'!A$2:A$401,$X52)="","",INDEX('Per Invoice'!A$2:A$401,$X52)))</f>
        <v/>
      </c>
      <c r="B52">
        <f>IF($X52="","",IF(INDEX('Per Invoice'!B$2:B$401,$X52)="","",INDEX('Per Invoice'!B$2:B$401,$X52)))</f>
        <v/>
      </c>
      <c r="C52">
        <f>IF($X52="","",IF(INDEX('Per Invoice'!C$2:C$401,$X52)="","",INDEX('Per Invoice'!C$2:C$401,$X52)))</f>
        <v/>
      </c>
      <c r="D52">
        <f>IF($X52="","",IF(INDEX('Per Invoice'!D$2:D$401,$X52)="","",INDEX('Per Invoice'!D$2:D$401,$X52)))</f>
        <v/>
      </c>
      <c r="E52">
        <f>IF($X52="","",IF(INDEX('Per Invoice'!E$2:E$401,$X52)="","",INDEX('Per Invoice'!E$2:E$401,$X52)))</f>
        <v/>
      </c>
      <c r="F52">
        <f>IF($X52="","",IF(INDEX('Per Invoice'!F$2:F$401,$X52)="","",INDEX('Per Invoice'!F$2:F$401,$X52)))</f>
        <v/>
      </c>
      <c r="G52">
        <f>IF($X52="","",IF(INDEX('Per Invoice'!G$2:G$401,$X52)="","",INDEX('Per Invoice'!G$2:G$401,$X52)))</f>
        <v/>
      </c>
      <c r="H52">
        <f>IF($X52="","",IF(INDEX('Per Invoice'!H$2:H$401,$X52)="","",INDEX('Per Invoice'!H$2:H$401,$X52)))</f>
        <v/>
      </c>
      <c r="I52">
        <f>IF($X52="","",IF(INDEX('Per Invoice'!I$2:I$401,$X52)="","",INDEX('Per Invoice'!I$2:I$401,$X52)))</f>
        <v/>
      </c>
      <c r="J52">
        <f>IF($X52="","",IF(INDEX('Per Invoice'!J$2:J$401,$X52)="","",INDEX('Per Invoice'!J$2:J$401,$X52)))</f>
        <v/>
      </c>
      <c r="K52" s="14">
        <f>IF($X52="","",IF(INDEX('Per Invoice'!K$2:K$401,$X52)="","",INDEX('Per Invoice'!K$2:K$401,$X52)))</f>
        <v/>
      </c>
      <c r="L52">
        <f>IF($X52="","",IF(INDEX('Per Invoice'!L$2:L$401,$X52)="","",INDEX('Per Invoice'!L$2:L$401,$X52)))</f>
        <v/>
      </c>
      <c r="M52" s="7">
        <f>IF($X52="","",IF(INDEX('Per Invoice'!M$2:M$401,$X52)="","",INDEX('Per Invoice'!M$2:M$401,$X52)))</f>
        <v/>
      </c>
      <c r="N52">
        <f>IF($X52="","",IF(INDEX('Per Invoice'!N$2:N$401,$X52)="","",INDEX('Per Invoice'!N$2:N$401,$X52)))</f>
        <v/>
      </c>
      <c r="O52" s="7">
        <f>IF($X52="","",IF(INDEX('Per Invoice'!O$2:O$401,$X52)="","",INDEX('Per Invoice'!O$2:O$401,$X52)))</f>
        <v/>
      </c>
      <c r="P52" s="7">
        <f>IF($X52="","",IF(INDEX('Per Invoice'!P$2:P$401,$X52)="","",INDEX('Per Invoice'!P$2:P$401,$X52)))</f>
        <v/>
      </c>
      <c r="Q52">
        <f>IF($X52="","",IF(INDEX('Per Invoice'!Q$2:Q$401,$X52)="","",INDEX('Per Invoice'!Q$2:Q$401,$X52)))</f>
        <v/>
      </c>
      <c r="R52" s="7">
        <f>IF($X52="","",IF(INDEX('Per Invoice'!R$2:R$401,$X52)="","",INDEX('Per Invoice'!R$2:R$401,$X52)))</f>
        <v/>
      </c>
      <c r="S52" s="7">
        <f>IF($X52="","",IF(INDEX('Per Invoice'!S$2:S$401,$X52)="","",INDEX('Per Invoice'!S$2:S$401,$X52)))</f>
        <v/>
      </c>
      <c r="T52" s="7">
        <f>IF($X52="","",IF(INDEX('Per Invoice'!T$2:T$401,$X52)="","",INDEX('Per Invoice'!T$2:T$401,$X52)))</f>
        <v/>
      </c>
      <c r="U52" s="7">
        <f>IF($X52="","",IF(INDEX('Per Invoice'!U$2:U$401,$X52)="","",INDEX('Per Invoice'!U$2:U$401,$X52)))</f>
        <v/>
      </c>
      <c r="V52" s="7">
        <f>IF($X52="","",IF(INDEX('Per Invoice'!V$2:V$401,$X52)="","",INDEX('Per Invoice'!V$2:V$401,$X52)))</f>
        <v/>
      </c>
      <c r="W52" s="7">
        <f>IF($X52="","",IF(INDEX('Per Invoice'!W$2:W$401,$X52)="","",INDEX('Per Invoice'!W$2:W$401,$X52)))</f>
        <v/>
      </c>
      <c r="X52" s="16">
        <f>IFERROR(MATCH(Settings!$C$33&amp;"|"&amp;ROWS($X$2:$X52),'Per Invoice'!$Y$2:$Y$401,0),"")</f>
        <v/>
      </c>
    </row>
    <row r="53">
      <c r="A53">
        <f>IF($X53="","",IF(INDEX('Per Invoice'!A$2:A$401,$X53)="","",INDEX('Per Invoice'!A$2:A$401,$X53)))</f>
        <v/>
      </c>
      <c r="B53">
        <f>IF($X53="","",IF(INDEX('Per Invoice'!B$2:B$401,$X53)="","",INDEX('Per Invoice'!B$2:B$401,$X53)))</f>
        <v/>
      </c>
      <c r="C53">
        <f>IF($X53="","",IF(INDEX('Per Invoice'!C$2:C$401,$X53)="","",INDEX('Per Invoice'!C$2:C$401,$X53)))</f>
        <v/>
      </c>
      <c r="D53">
        <f>IF($X53="","",IF(INDEX('Per Invoice'!D$2:D$401,$X53)="","",INDEX('Per Invoice'!D$2:D$401,$X53)))</f>
        <v/>
      </c>
      <c r="E53">
        <f>IF($X53="","",IF(INDEX('Per Invoice'!E$2:E$401,$X53)="","",INDEX('Per Invoice'!E$2:E$401,$X53)))</f>
        <v/>
      </c>
      <c r="F53">
        <f>IF($X53="","",IF(INDEX('Per Invoice'!F$2:F$401,$X53)="","",INDEX('Per Invoice'!F$2:F$401,$X53)))</f>
        <v/>
      </c>
      <c r="G53">
        <f>IF($X53="","",IF(INDEX('Per Invoice'!G$2:G$401,$X53)="","",INDEX('Per Invoice'!G$2:G$401,$X53)))</f>
        <v/>
      </c>
      <c r="H53">
        <f>IF($X53="","",IF(INDEX('Per Invoice'!H$2:H$401,$X53)="","",INDEX('Per Invoice'!H$2:H$401,$X53)))</f>
        <v/>
      </c>
      <c r="I53">
        <f>IF($X53="","",IF(INDEX('Per Invoice'!I$2:I$401,$X53)="","",INDEX('Per Invoice'!I$2:I$401,$X53)))</f>
        <v/>
      </c>
      <c r="J53">
        <f>IF($X53="","",IF(INDEX('Per Invoice'!J$2:J$401,$X53)="","",INDEX('Per Invoice'!J$2:J$401,$X53)))</f>
        <v/>
      </c>
      <c r="K53" s="14">
        <f>IF($X53="","",IF(INDEX('Per Invoice'!K$2:K$401,$X53)="","",INDEX('Per Invoice'!K$2:K$401,$X53)))</f>
        <v/>
      </c>
      <c r="L53">
        <f>IF($X53="","",IF(INDEX('Per Invoice'!L$2:L$401,$X53)="","",INDEX('Per Invoice'!L$2:L$401,$X53)))</f>
        <v/>
      </c>
      <c r="M53" s="7">
        <f>IF($X53="","",IF(INDEX('Per Invoice'!M$2:M$401,$X53)="","",INDEX('Per Invoice'!M$2:M$401,$X53)))</f>
        <v/>
      </c>
      <c r="N53">
        <f>IF($X53="","",IF(INDEX('Per Invoice'!N$2:N$401,$X53)="","",INDEX('Per Invoice'!N$2:N$401,$X53)))</f>
        <v/>
      </c>
      <c r="O53" s="7">
        <f>IF($X53="","",IF(INDEX('Per Invoice'!O$2:O$401,$X53)="","",INDEX('Per Invoice'!O$2:O$401,$X53)))</f>
        <v/>
      </c>
      <c r="P53" s="7">
        <f>IF($X53="","",IF(INDEX('Per Invoice'!P$2:P$401,$X53)="","",INDEX('Per Invoice'!P$2:P$401,$X53)))</f>
        <v/>
      </c>
      <c r="Q53">
        <f>IF($X53="","",IF(INDEX('Per Invoice'!Q$2:Q$401,$X53)="","",INDEX('Per Invoice'!Q$2:Q$401,$X53)))</f>
        <v/>
      </c>
      <c r="R53" s="7">
        <f>IF($X53="","",IF(INDEX('Per Invoice'!R$2:R$401,$X53)="","",INDEX('Per Invoice'!R$2:R$401,$X53)))</f>
        <v/>
      </c>
      <c r="S53" s="7">
        <f>IF($X53="","",IF(INDEX('Per Invoice'!S$2:S$401,$X53)="","",INDEX('Per Invoice'!S$2:S$401,$X53)))</f>
        <v/>
      </c>
      <c r="T53" s="7">
        <f>IF($X53="","",IF(INDEX('Per Invoice'!T$2:T$401,$X53)="","",INDEX('Per Invoice'!T$2:T$401,$X53)))</f>
        <v/>
      </c>
      <c r="U53" s="7">
        <f>IF($X53="","",IF(INDEX('Per Invoice'!U$2:U$401,$X53)="","",INDEX('Per Invoice'!U$2:U$401,$X53)))</f>
        <v/>
      </c>
      <c r="V53" s="7">
        <f>IF($X53="","",IF(INDEX('Per Invoice'!V$2:V$401,$X53)="","",INDEX('Per Invoice'!V$2:V$401,$X53)))</f>
        <v/>
      </c>
      <c r="W53" s="7">
        <f>IF($X53="","",IF(INDEX('Per Invoice'!W$2:W$401,$X53)="","",INDEX('Per Invoice'!W$2:W$401,$X53)))</f>
        <v/>
      </c>
      <c r="X53" s="16">
        <f>IFERROR(MATCH(Settings!$C$33&amp;"|"&amp;ROWS($X$2:$X53),'Per Invoice'!$Y$2:$Y$401,0),"")</f>
        <v/>
      </c>
    </row>
    <row r="54">
      <c r="A54">
        <f>IF($X54="","",IF(INDEX('Per Invoice'!A$2:A$401,$X54)="","",INDEX('Per Invoice'!A$2:A$401,$X54)))</f>
        <v/>
      </c>
      <c r="B54">
        <f>IF($X54="","",IF(INDEX('Per Invoice'!B$2:B$401,$X54)="","",INDEX('Per Invoice'!B$2:B$401,$X54)))</f>
        <v/>
      </c>
      <c r="C54">
        <f>IF($X54="","",IF(INDEX('Per Invoice'!C$2:C$401,$X54)="","",INDEX('Per Invoice'!C$2:C$401,$X54)))</f>
        <v/>
      </c>
      <c r="D54">
        <f>IF($X54="","",IF(INDEX('Per Invoice'!D$2:D$401,$X54)="","",INDEX('Per Invoice'!D$2:D$401,$X54)))</f>
        <v/>
      </c>
      <c r="E54">
        <f>IF($X54="","",IF(INDEX('Per Invoice'!E$2:E$401,$X54)="","",INDEX('Per Invoice'!E$2:E$401,$X54)))</f>
        <v/>
      </c>
      <c r="F54">
        <f>IF($X54="","",IF(INDEX('Per Invoice'!F$2:F$401,$X54)="","",INDEX('Per Invoice'!F$2:F$401,$X54)))</f>
        <v/>
      </c>
      <c r="G54">
        <f>IF($X54="","",IF(INDEX('Per Invoice'!G$2:G$401,$X54)="","",INDEX('Per Invoice'!G$2:G$401,$X54)))</f>
        <v/>
      </c>
      <c r="H54">
        <f>IF($X54="","",IF(INDEX('Per Invoice'!H$2:H$401,$X54)="","",INDEX('Per Invoice'!H$2:H$401,$X54)))</f>
        <v/>
      </c>
      <c r="I54">
        <f>IF($X54="","",IF(INDEX('Per Invoice'!I$2:I$401,$X54)="","",INDEX('Per Invoice'!I$2:I$401,$X54)))</f>
        <v/>
      </c>
      <c r="J54">
        <f>IF($X54="","",IF(INDEX('Per Invoice'!J$2:J$401,$X54)="","",INDEX('Per Invoice'!J$2:J$401,$X54)))</f>
        <v/>
      </c>
      <c r="K54" s="14">
        <f>IF($X54="","",IF(INDEX('Per Invoice'!K$2:K$401,$X54)="","",INDEX('Per Invoice'!K$2:K$401,$X54)))</f>
        <v/>
      </c>
      <c r="L54">
        <f>IF($X54="","",IF(INDEX('Per Invoice'!L$2:L$401,$X54)="","",INDEX('Per Invoice'!L$2:L$401,$X54)))</f>
        <v/>
      </c>
      <c r="M54" s="7">
        <f>IF($X54="","",IF(INDEX('Per Invoice'!M$2:M$401,$X54)="","",INDEX('Per Invoice'!M$2:M$401,$X54)))</f>
        <v/>
      </c>
      <c r="N54">
        <f>IF($X54="","",IF(INDEX('Per Invoice'!N$2:N$401,$X54)="","",INDEX('Per Invoice'!N$2:N$401,$X54)))</f>
        <v/>
      </c>
      <c r="O54" s="7">
        <f>IF($X54="","",IF(INDEX('Per Invoice'!O$2:O$401,$X54)="","",INDEX('Per Invoice'!O$2:O$401,$X54)))</f>
        <v/>
      </c>
      <c r="P54" s="7">
        <f>IF($X54="","",IF(INDEX('Per Invoice'!P$2:P$401,$X54)="","",INDEX('Per Invoice'!P$2:P$401,$X54)))</f>
        <v/>
      </c>
      <c r="Q54">
        <f>IF($X54="","",IF(INDEX('Per Invoice'!Q$2:Q$401,$X54)="","",INDEX('Per Invoice'!Q$2:Q$401,$X54)))</f>
        <v/>
      </c>
      <c r="R54" s="7">
        <f>IF($X54="","",IF(INDEX('Per Invoice'!R$2:R$401,$X54)="","",INDEX('Per Invoice'!R$2:R$401,$X54)))</f>
        <v/>
      </c>
      <c r="S54" s="7">
        <f>IF($X54="","",IF(INDEX('Per Invoice'!S$2:S$401,$X54)="","",INDEX('Per Invoice'!S$2:S$401,$X54)))</f>
        <v/>
      </c>
      <c r="T54" s="7">
        <f>IF($X54="","",IF(INDEX('Per Invoice'!T$2:T$401,$X54)="","",INDEX('Per Invoice'!T$2:T$401,$X54)))</f>
        <v/>
      </c>
      <c r="U54" s="7">
        <f>IF($X54="","",IF(INDEX('Per Invoice'!U$2:U$401,$X54)="","",INDEX('Per Invoice'!U$2:U$401,$X54)))</f>
        <v/>
      </c>
      <c r="V54" s="7">
        <f>IF($X54="","",IF(INDEX('Per Invoice'!V$2:V$401,$X54)="","",INDEX('Per Invoice'!V$2:V$401,$X54)))</f>
        <v/>
      </c>
      <c r="W54" s="7">
        <f>IF($X54="","",IF(INDEX('Per Invoice'!W$2:W$401,$X54)="","",INDEX('Per Invoice'!W$2:W$401,$X54)))</f>
        <v/>
      </c>
      <c r="X54" s="16">
        <f>IFERROR(MATCH(Settings!$C$33&amp;"|"&amp;ROWS($X$2:$X54),'Per Invoice'!$Y$2:$Y$401,0),"")</f>
        <v/>
      </c>
    </row>
    <row r="55">
      <c r="A55">
        <f>IF($X55="","",IF(INDEX('Per Invoice'!A$2:A$401,$X55)="","",INDEX('Per Invoice'!A$2:A$401,$X55)))</f>
        <v/>
      </c>
      <c r="B55">
        <f>IF($X55="","",IF(INDEX('Per Invoice'!B$2:B$401,$X55)="","",INDEX('Per Invoice'!B$2:B$401,$X55)))</f>
        <v/>
      </c>
      <c r="C55">
        <f>IF($X55="","",IF(INDEX('Per Invoice'!C$2:C$401,$X55)="","",INDEX('Per Invoice'!C$2:C$401,$X55)))</f>
        <v/>
      </c>
      <c r="D55">
        <f>IF($X55="","",IF(INDEX('Per Invoice'!D$2:D$401,$X55)="","",INDEX('Per Invoice'!D$2:D$401,$X55)))</f>
        <v/>
      </c>
      <c r="E55">
        <f>IF($X55="","",IF(INDEX('Per Invoice'!E$2:E$401,$X55)="","",INDEX('Per Invoice'!E$2:E$401,$X55)))</f>
        <v/>
      </c>
      <c r="F55">
        <f>IF($X55="","",IF(INDEX('Per Invoice'!F$2:F$401,$X55)="","",INDEX('Per Invoice'!F$2:F$401,$X55)))</f>
        <v/>
      </c>
      <c r="G55">
        <f>IF($X55="","",IF(INDEX('Per Invoice'!G$2:G$401,$X55)="","",INDEX('Per Invoice'!G$2:G$401,$X55)))</f>
        <v/>
      </c>
      <c r="H55">
        <f>IF($X55="","",IF(INDEX('Per Invoice'!H$2:H$401,$X55)="","",INDEX('Per Invoice'!H$2:H$401,$X55)))</f>
        <v/>
      </c>
      <c r="I55">
        <f>IF($X55="","",IF(INDEX('Per Invoice'!I$2:I$401,$X55)="","",INDEX('Per Invoice'!I$2:I$401,$X55)))</f>
        <v/>
      </c>
      <c r="J55">
        <f>IF($X55="","",IF(INDEX('Per Invoice'!J$2:J$401,$X55)="","",INDEX('Per Invoice'!J$2:J$401,$X55)))</f>
        <v/>
      </c>
      <c r="K55" s="14">
        <f>IF($X55="","",IF(INDEX('Per Invoice'!K$2:K$401,$X55)="","",INDEX('Per Invoice'!K$2:K$401,$X55)))</f>
        <v/>
      </c>
      <c r="L55">
        <f>IF($X55="","",IF(INDEX('Per Invoice'!L$2:L$401,$X55)="","",INDEX('Per Invoice'!L$2:L$401,$X55)))</f>
        <v/>
      </c>
      <c r="M55" s="7">
        <f>IF($X55="","",IF(INDEX('Per Invoice'!M$2:M$401,$X55)="","",INDEX('Per Invoice'!M$2:M$401,$X55)))</f>
        <v/>
      </c>
      <c r="N55">
        <f>IF($X55="","",IF(INDEX('Per Invoice'!N$2:N$401,$X55)="","",INDEX('Per Invoice'!N$2:N$401,$X55)))</f>
        <v/>
      </c>
      <c r="O55" s="7">
        <f>IF($X55="","",IF(INDEX('Per Invoice'!O$2:O$401,$X55)="","",INDEX('Per Invoice'!O$2:O$401,$X55)))</f>
        <v/>
      </c>
      <c r="P55" s="7">
        <f>IF($X55="","",IF(INDEX('Per Invoice'!P$2:P$401,$X55)="","",INDEX('Per Invoice'!P$2:P$401,$X55)))</f>
        <v/>
      </c>
      <c r="Q55">
        <f>IF($X55="","",IF(INDEX('Per Invoice'!Q$2:Q$401,$X55)="","",INDEX('Per Invoice'!Q$2:Q$401,$X55)))</f>
        <v/>
      </c>
      <c r="R55" s="7">
        <f>IF($X55="","",IF(INDEX('Per Invoice'!R$2:R$401,$X55)="","",INDEX('Per Invoice'!R$2:R$401,$X55)))</f>
        <v/>
      </c>
      <c r="S55" s="7">
        <f>IF($X55="","",IF(INDEX('Per Invoice'!S$2:S$401,$X55)="","",INDEX('Per Invoice'!S$2:S$401,$X55)))</f>
        <v/>
      </c>
      <c r="T55" s="7">
        <f>IF($X55="","",IF(INDEX('Per Invoice'!T$2:T$401,$X55)="","",INDEX('Per Invoice'!T$2:T$401,$X55)))</f>
        <v/>
      </c>
      <c r="U55" s="7">
        <f>IF($X55="","",IF(INDEX('Per Invoice'!U$2:U$401,$X55)="","",INDEX('Per Invoice'!U$2:U$401,$X55)))</f>
        <v/>
      </c>
      <c r="V55" s="7">
        <f>IF($X55="","",IF(INDEX('Per Invoice'!V$2:V$401,$X55)="","",INDEX('Per Invoice'!V$2:V$401,$X55)))</f>
        <v/>
      </c>
      <c r="W55" s="7">
        <f>IF($X55="","",IF(INDEX('Per Invoice'!W$2:W$401,$X55)="","",INDEX('Per Invoice'!W$2:W$401,$X55)))</f>
        <v/>
      </c>
      <c r="X55" s="16">
        <f>IFERROR(MATCH(Settings!$C$33&amp;"|"&amp;ROWS($X$2:$X55),'Per Invoice'!$Y$2:$Y$401,0),"")</f>
        <v/>
      </c>
    </row>
    <row r="56">
      <c r="A56">
        <f>IF($X56="","",IF(INDEX('Per Invoice'!A$2:A$401,$X56)="","",INDEX('Per Invoice'!A$2:A$401,$X56)))</f>
        <v/>
      </c>
      <c r="B56">
        <f>IF($X56="","",IF(INDEX('Per Invoice'!B$2:B$401,$X56)="","",INDEX('Per Invoice'!B$2:B$401,$X56)))</f>
        <v/>
      </c>
      <c r="C56">
        <f>IF($X56="","",IF(INDEX('Per Invoice'!C$2:C$401,$X56)="","",INDEX('Per Invoice'!C$2:C$401,$X56)))</f>
        <v/>
      </c>
      <c r="D56">
        <f>IF($X56="","",IF(INDEX('Per Invoice'!D$2:D$401,$X56)="","",INDEX('Per Invoice'!D$2:D$401,$X56)))</f>
        <v/>
      </c>
      <c r="E56">
        <f>IF($X56="","",IF(INDEX('Per Invoice'!E$2:E$401,$X56)="","",INDEX('Per Invoice'!E$2:E$401,$X56)))</f>
        <v/>
      </c>
      <c r="F56">
        <f>IF($X56="","",IF(INDEX('Per Invoice'!F$2:F$401,$X56)="","",INDEX('Per Invoice'!F$2:F$401,$X56)))</f>
        <v/>
      </c>
      <c r="G56">
        <f>IF($X56="","",IF(INDEX('Per Invoice'!G$2:G$401,$X56)="","",INDEX('Per Invoice'!G$2:G$401,$X56)))</f>
        <v/>
      </c>
      <c r="H56">
        <f>IF($X56="","",IF(INDEX('Per Invoice'!H$2:H$401,$X56)="","",INDEX('Per Invoice'!H$2:H$401,$X56)))</f>
        <v/>
      </c>
      <c r="I56">
        <f>IF($X56="","",IF(INDEX('Per Invoice'!I$2:I$401,$X56)="","",INDEX('Per Invoice'!I$2:I$401,$X56)))</f>
        <v/>
      </c>
      <c r="J56">
        <f>IF($X56="","",IF(INDEX('Per Invoice'!J$2:J$401,$X56)="","",INDEX('Per Invoice'!J$2:J$401,$X56)))</f>
        <v/>
      </c>
      <c r="K56" s="14">
        <f>IF($X56="","",IF(INDEX('Per Invoice'!K$2:K$401,$X56)="","",INDEX('Per Invoice'!K$2:K$401,$X56)))</f>
        <v/>
      </c>
      <c r="L56">
        <f>IF($X56="","",IF(INDEX('Per Invoice'!L$2:L$401,$X56)="","",INDEX('Per Invoice'!L$2:L$401,$X56)))</f>
        <v/>
      </c>
      <c r="M56" s="7">
        <f>IF($X56="","",IF(INDEX('Per Invoice'!M$2:M$401,$X56)="","",INDEX('Per Invoice'!M$2:M$401,$X56)))</f>
        <v/>
      </c>
      <c r="N56">
        <f>IF($X56="","",IF(INDEX('Per Invoice'!N$2:N$401,$X56)="","",INDEX('Per Invoice'!N$2:N$401,$X56)))</f>
        <v/>
      </c>
      <c r="O56" s="7">
        <f>IF($X56="","",IF(INDEX('Per Invoice'!O$2:O$401,$X56)="","",INDEX('Per Invoice'!O$2:O$401,$X56)))</f>
        <v/>
      </c>
      <c r="P56" s="7">
        <f>IF($X56="","",IF(INDEX('Per Invoice'!P$2:P$401,$X56)="","",INDEX('Per Invoice'!P$2:P$401,$X56)))</f>
        <v/>
      </c>
      <c r="Q56">
        <f>IF($X56="","",IF(INDEX('Per Invoice'!Q$2:Q$401,$X56)="","",INDEX('Per Invoice'!Q$2:Q$401,$X56)))</f>
        <v/>
      </c>
      <c r="R56" s="7">
        <f>IF($X56="","",IF(INDEX('Per Invoice'!R$2:R$401,$X56)="","",INDEX('Per Invoice'!R$2:R$401,$X56)))</f>
        <v/>
      </c>
      <c r="S56" s="7">
        <f>IF($X56="","",IF(INDEX('Per Invoice'!S$2:S$401,$X56)="","",INDEX('Per Invoice'!S$2:S$401,$X56)))</f>
        <v/>
      </c>
      <c r="T56" s="7">
        <f>IF($X56="","",IF(INDEX('Per Invoice'!T$2:T$401,$X56)="","",INDEX('Per Invoice'!T$2:T$401,$X56)))</f>
        <v/>
      </c>
      <c r="U56" s="7">
        <f>IF($X56="","",IF(INDEX('Per Invoice'!U$2:U$401,$X56)="","",INDEX('Per Invoice'!U$2:U$401,$X56)))</f>
        <v/>
      </c>
      <c r="V56" s="7">
        <f>IF($X56="","",IF(INDEX('Per Invoice'!V$2:V$401,$X56)="","",INDEX('Per Invoice'!V$2:V$401,$X56)))</f>
        <v/>
      </c>
      <c r="W56" s="7">
        <f>IF($X56="","",IF(INDEX('Per Invoice'!W$2:W$401,$X56)="","",INDEX('Per Invoice'!W$2:W$401,$X56)))</f>
        <v/>
      </c>
      <c r="X56" s="16">
        <f>IFERROR(MATCH(Settings!$C$33&amp;"|"&amp;ROWS($X$2:$X56),'Per Invoice'!$Y$2:$Y$401,0),"")</f>
        <v/>
      </c>
    </row>
    <row r="57">
      <c r="A57">
        <f>IF($X57="","",IF(INDEX('Per Invoice'!A$2:A$401,$X57)="","",INDEX('Per Invoice'!A$2:A$401,$X57)))</f>
        <v/>
      </c>
      <c r="B57">
        <f>IF($X57="","",IF(INDEX('Per Invoice'!B$2:B$401,$X57)="","",INDEX('Per Invoice'!B$2:B$401,$X57)))</f>
        <v/>
      </c>
      <c r="C57">
        <f>IF($X57="","",IF(INDEX('Per Invoice'!C$2:C$401,$X57)="","",INDEX('Per Invoice'!C$2:C$401,$X57)))</f>
        <v/>
      </c>
      <c r="D57">
        <f>IF($X57="","",IF(INDEX('Per Invoice'!D$2:D$401,$X57)="","",INDEX('Per Invoice'!D$2:D$401,$X57)))</f>
        <v/>
      </c>
      <c r="E57">
        <f>IF($X57="","",IF(INDEX('Per Invoice'!E$2:E$401,$X57)="","",INDEX('Per Invoice'!E$2:E$401,$X57)))</f>
        <v/>
      </c>
      <c r="F57">
        <f>IF($X57="","",IF(INDEX('Per Invoice'!F$2:F$401,$X57)="","",INDEX('Per Invoice'!F$2:F$401,$X57)))</f>
        <v/>
      </c>
      <c r="G57">
        <f>IF($X57="","",IF(INDEX('Per Invoice'!G$2:G$401,$X57)="","",INDEX('Per Invoice'!G$2:G$401,$X57)))</f>
        <v/>
      </c>
      <c r="H57">
        <f>IF($X57="","",IF(INDEX('Per Invoice'!H$2:H$401,$X57)="","",INDEX('Per Invoice'!H$2:H$401,$X57)))</f>
        <v/>
      </c>
      <c r="I57">
        <f>IF($X57="","",IF(INDEX('Per Invoice'!I$2:I$401,$X57)="","",INDEX('Per Invoice'!I$2:I$401,$X57)))</f>
        <v/>
      </c>
      <c r="J57">
        <f>IF($X57="","",IF(INDEX('Per Invoice'!J$2:J$401,$X57)="","",INDEX('Per Invoice'!J$2:J$401,$X57)))</f>
        <v/>
      </c>
      <c r="K57" s="14">
        <f>IF($X57="","",IF(INDEX('Per Invoice'!K$2:K$401,$X57)="","",INDEX('Per Invoice'!K$2:K$401,$X57)))</f>
        <v/>
      </c>
      <c r="L57">
        <f>IF($X57="","",IF(INDEX('Per Invoice'!L$2:L$401,$X57)="","",INDEX('Per Invoice'!L$2:L$401,$X57)))</f>
        <v/>
      </c>
      <c r="M57" s="7">
        <f>IF($X57="","",IF(INDEX('Per Invoice'!M$2:M$401,$X57)="","",INDEX('Per Invoice'!M$2:M$401,$X57)))</f>
        <v/>
      </c>
      <c r="N57">
        <f>IF($X57="","",IF(INDEX('Per Invoice'!N$2:N$401,$X57)="","",INDEX('Per Invoice'!N$2:N$401,$X57)))</f>
        <v/>
      </c>
      <c r="O57" s="7">
        <f>IF($X57="","",IF(INDEX('Per Invoice'!O$2:O$401,$X57)="","",INDEX('Per Invoice'!O$2:O$401,$X57)))</f>
        <v/>
      </c>
      <c r="P57" s="7">
        <f>IF($X57="","",IF(INDEX('Per Invoice'!P$2:P$401,$X57)="","",INDEX('Per Invoice'!P$2:P$401,$X57)))</f>
        <v/>
      </c>
      <c r="Q57">
        <f>IF($X57="","",IF(INDEX('Per Invoice'!Q$2:Q$401,$X57)="","",INDEX('Per Invoice'!Q$2:Q$401,$X57)))</f>
        <v/>
      </c>
      <c r="R57" s="7">
        <f>IF($X57="","",IF(INDEX('Per Invoice'!R$2:R$401,$X57)="","",INDEX('Per Invoice'!R$2:R$401,$X57)))</f>
        <v/>
      </c>
      <c r="S57" s="7">
        <f>IF($X57="","",IF(INDEX('Per Invoice'!S$2:S$401,$X57)="","",INDEX('Per Invoice'!S$2:S$401,$X57)))</f>
        <v/>
      </c>
      <c r="T57" s="7">
        <f>IF($X57="","",IF(INDEX('Per Invoice'!T$2:T$401,$X57)="","",INDEX('Per Invoice'!T$2:T$401,$X57)))</f>
        <v/>
      </c>
      <c r="U57" s="7">
        <f>IF($X57="","",IF(INDEX('Per Invoice'!U$2:U$401,$X57)="","",INDEX('Per Invoice'!U$2:U$401,$X57)))</f>
        <v/>
      </c>
      <c r="V57" s="7">
        <f>IF($X57="","",IF(INDEX('Per Invoice'!V$2:V$401,$X57)="","",INDEX('Per Invoice'!V$2:V$401,$X57)))</f>
        <v/>
      </c>
      <c r="W57" s="7">
        <f>IF($X57="","",IF(INDEX('Per Invoice'!W$2:W$401,$X57)="","",INDEX('Per Invoice'!W$2:W$401,$X57)))</f>
        <v/>
      </c>
      <c r="X57" s="16">
        <f>IFERROR(MATCH(Settings!$C$33&amp;"|"&amp;ROWS($X$2:$X57),'Per Invoice'!$Y$2:$Y$401,0),"")</f>
        <v/>
      </c>
    </row>
    <row r="58">
      <c r="A58">
        <f>IF($X58="","",IF(INDEX('Per Invoice'!A$2:A$401,$X58)="","",INDEX('Per Invoice'!A$2:A$401,$X58)))</f>
        <v/>
      </c>
      <c r="B58">
        <f>IF($X58="","",IF(INDEX('Per Invoice'!B$2:B$401,$X58)="","",INDEX('Per Invoice'!B$2:B$401,$X58)))</f>
        <v/>
      </c>
      <c r="C58">
        <f>IF($X58="","",IF(INDEX('Per Invoice'!C$2:C$401,$X58)="","",INDEX('Per Invoice'!C$2:C$401,$X58)))</f>
        <v/>
      </c>
      <c r="D58">
        <f>IF($X58="","",IF(INDEX('Per Invoice'!D$2:D$401,$X58)="","",INDEX('Per Invoice'!D$2:D$401,$X58)))</f>
        <v/>
      </c>
      <c r="E58">
        <f>IF($X58="","",IF(INDEX('Per Invoice'!E$2:E$401,$X58)="","",INDEX('Per Invoice'!E$2:E$401,$X58)))</f>
        <v/>
      </c>
      <c r="F58">
        <f>IF($X58="","",IF(INDEX('Per Invoice'!F$2:F$401,$X58)="","",INDEX('Per Invoice'!F$2:F$401,$X58)))</f>
        <v/>
      </c>
      <c r="G58">
        <f>IF($X58="","",IF(INDEX('Per Invoice'!G$2:G$401,$X58)="","",INDEX('Per Invoice'!G$2:G$401,$X58)))</f>
        <v/>
      </c>
      <c r="H58">
        <f>IF($X58="","",IF(INDEX('Per Invoice'!H$2:H$401,$X58)="","",INDEX('Per Invoice'!H$2:H$401,$X58)))</f>
        <v/>
      </c>
      <c r="I58">
        <f>IF($X58="","",IF(INDEX('Per Invoice'!I$2:I$401,$X58)="","",INDEX('Per Invoice'!I$2:I$401,$X58)))</f>
        <v/>
      </c>
      <c r="J58">
        <f>IF($X58="","",IF(INDEX('Per Invoice'!J$2:J$401,$X58)="","",INDEX('Per Invoice'!J$2:J$401,$X58)))</f>
        <v/>
      </c>
      <c r="K58" s="14">
        <f>IF($X58="","",IF(INDEX('Per Invoice'!K$2:K$401,$X58)="","",INDEX('Per Invoice'!K$2:K$401,$X58)))</f>
        <v/>
      </c>
      <c r="L58">
        <f>IF($X58="","",IF(INDEX('Per Invoice'!L$2:L$401,$X58)="","",INDEX('Per Invoice'!L$2:L$401,$X58)))</f>
        <v/>
      </c>
      <c r="M58" s="7">
        <f>IF($X58="","",IF(INDEX('Per Invoice'!M$2:M$401,$X58)="","",INDEX('Per Invoice'!M$2:M$401,$X58)))</f>
        <v/>
      </c>
      <c r="N58">
        <f>IF($X58="","",IF(INDEX('Per Invoice'!N$2:N$401,$X58)="","",INDEX('Per Invoice'!N$2:N$401,$X58)))</f>
        <v/>
      </c>
      <c r="O58" s="7">
        <f>IF($X58="","",IF(INDEX('Per Invoice'!O$2:O$401,$X58)="","",INDEX('Per Invoice'!O$2:O$401,$X58)))</f>
        <v/>
      </c>
      <c r="P58" s="7">
        <f>IF($X58="","",IF(INDEX('Per Invoice'!P$2:P$401,$X58)="","",INDEX('Per Invoice'!P$2:P$401,$X58)))</f>
        <v/>
      </c>
      <c r="Q58">
        <f>IF($X58="","",IF(INDEX('Per Invoice'!Q$2:Q$401,$X58)="","",INDEX('Per Invoice'!Q$2:Q$401,$X58)))</f>
        <v/>
      </c>
      <c r="R58" s="7">
        <f>IF($X58="","",IF(INDEX('Per Invoice'!R$2:R$401,$X58)="","",INDEX('Per Invoice'!R$2:R$401,$X58)))</f>
        <v/>
      </c>
      <c r="S58" s="7">
        <f>IF($X58="","",IF(INDEX('Per Invoice'!S$2:S$401,$X58)="","",INDEX('Per Invoice'!S$2:S$401,$X58)))</f>
        <v/>
      </c>
      <c r="T58" s="7">
        <f>IF($X58="","",IF(INDEX('Per Invoice'!T$2:T$401,$X58)="","",INDEX('Per Invoice'!T$2:T$401,$X58)))</f>
        <v/>
      </c>
      <c r="U58" s="7">
        <f>IF($X58="","",IF(INDEX('Per Invoice'!U$2:U$401,$X58)="","",INDEX('Per Invoice'!U$2:U$401,$X58)))</f>
        <v/>
      </c>
      <c r="V58" s="7">
        <f>IF($X58="","",IF(INDEX('Per Invoice'!V$2:V$401,$X58)="","",INDEX('Per Invoice'!V$2:V$401,$X58)))</f>
        <v/>
      </c>
      <c r="W58" s="7">
        <f>IF($X58="","",IF(INDEX('Per Invoice'!W$2:W$401,$X58)="","",INDEX('Per Invoice'!W$2:W$401,$X58)))</f>
        <v/>
      </c>
      <c r="X58" s="16">
        <f>IFERROR(MATCH(Settings!$C$33&amp;"|"&amp;ROWS($X$2:$X58),'Per Invoice'!$Y$2:$Y$401,0),"")</f>
        <v/>
      </c>
    </row>
    <row r="59">
      <c r="A59">
        <f>IF($X59="","",IF(INDEX('Per Invoice'!A$2:A$401,$X59)="","",INDEX('Per Invoice'!A$2:A$401,$X59)))</f>
        <v/>
      </c>
      <c r="B59">
        <f>IF($X59="","",IF(INDEX('Per Invoice'!B$2:B$401,$X59)="","",INDEX('Per Invoice'!B$2:B$401,$X59)))</f>
        <v/>
      </c>
      <c r="C59">
        <f>IF($X59="","",IF(INDEX('Per Invoice'!C$2:C$401,$X59)="","",INDEX('Per Invoice'!C$2:C$401,$X59)))</f>
        <v/>
      </c>
      <c r="D59">
        <f>IF($X59="","",IF(INDEX('Per Invoice'!D$2:D$401,$X59)="","",INDEX('Per Invoice'!D$2:D$401,$X59)))</f>
        <v/>
      </c>
      <c r="E59">
        <f>IF($X59="","",IF(INDEX('Per Invoice'!E$2:E$401,$X59)="","",INDEX('Per Invoice'!E$2:E$401,$X59)))</f>
        <v/>
      </c>
      <c r="F59">
        <f>IF($X59="","",IF(INDEX('Per Invoice'!F$2:F$401,$X59)="","",INDEX('Per Invoice'!F$2:F$401,$X59)))</f>
        <v/>
      </c>
      <c r="G59">
        <f>IF($X59="","",IF(INDEX('Per Invoice'!G$2:G$401,$X59)="","",INDEX('Per Invoice'!G$2:G$401,$X59)))</f>
        <v/>
      </c>
      <c r="H59">
        <f>IF($X59="","",IF(INDEX('Per Invoice'!H$2:H$401,$X59)="","",INDEX('Per Invoice'!H$2:H$401,$X59)))</f>
        <v/>
      </c>
      <c r="I59">
        <f>IF($X59="","",IF(INDEX('Per Invoice'!I$2:I$401,$X59)="","",INDEX('Per Invoice'!I$2:I$401,$X59)))</f>
        <v/>
      </c>
      <c r="J59">
        <f>IF($X59="","",IF(INDEX('Per Invoice'!J$2:J$401,$X59)="","",INDEX('Per Invoice'!J$2:J$401,$X59)))</f>
        <v/>
      </c>
      <c r="K59" s="14">
        <f>IF($X59="","",IF(INDEX('Per Invoice'!K$2:K$401,$X59)="","",INDEX('Per Invoice'!K$2:K$401,$X59)))</f>
        <v/>
      </c>
      <c r="L59">
        <f>IF($X59="","",IF(INDEX('Per Invoice'!L$2:L$401,$X59)="","",INDEX('Per Invoice'!L$2:L$401,$X59)))</f>
        <v/>
      </c>
      <c r="M59" s="7">
        <f>IF($X59="","",IF(INDEX('Per Invoice'!M$2:M$401,$X59)="","",INDEX('Per Invoice'!M$2:M$401,$X59)))</f>
        <v/>
      </c>
      <c r="N59">
        <f>IF($X59="","",IF(INDEX('Per Invoice'!N$2:N$401,$X59)="","",INDEX('Per Invoice'!N$2:N$401,$X59)))</f>
        <v/>
      </c>
      <c r="O59" s="7">
        <f>IF($X59="","",IF(INDEX('Per Invoice'!O$2:O$401,$X59)="","",INDEX('Per Invoice'!O$2:O$401,$X59)))</f>
        <v/>
      </c>
      <c r="P59" s="7">
        <f>IF($X59="","",IF(INDEX('Per Invoice'!P$2:P$401,$X59)="","",INDEX('Per Invoice'!P$2:P$401,$X59)))</f>
        <v/>
      </c>
      <c r="Q59">
        <f>IF($X59="","",IF(INDEX('Per Invoice'!Q$2:Q$401,$X59)="","",INDEX('Per Invoice'!Q$2:Q$401,$X59)))</f>
        <v/>
      </c>
      <c r="R59" s="7">
        <f>IF($X59="","",IF(INDEX('Per Invoice'!R$2:R$401,$X59)="","",INDEX('Per Invoice'!R$2:R$401,$X59)))</f>
        <v/>
      </c>
      <c r="S59" s="7">
        <f>IF($X59="","",IF(INDEX('Per Invoice'!S$2:S$401,$X59)="","",INDEX('Per Invoice'!S$2:S$401,$X59)))</f>
        <v/>
      </c>
      <c r="T59" s="7">
        <f>IF($X59="","",IF(INDEX('Per Invoice'!T$2:T$401,$X59)="","",INDEX('Per Invoice'!T$2:T$401,$X59)))</f>
        <v/>
      </c>
      <c r="U59" s="7">
        <f>IF($X59="","",IF(INDEX('Per Invoice'!U$2:U$401,$X59)="","",INDEX('Per Invoice'!U$2:U$401,$X59)))</f>
        <v/>
      </c>
      <c r="V59" s="7">
        <f>IF($X59="","",IF(INDEX('Per Invoice'!V$2:V$401,$X59)="","",INDEX('Per Invoice'!V$2:V$401,$X59)))</f>
        <v/>
      </c>
      <c r="W59" s="7">
        <f>IF($X59="","",IF(INDEX('Per Invoice'!W$2:W$401,$X59)="","",INDEX('Per Invoice'!W$2:W$401,$X59)))</f>
        <v/>
      </c>
      <c r="X59" s="16">
        <f>IFERROR(MATCH(Settings!$C$33&amp;"|"&amp;ROWS($X$2:$X59),'Per Invoice'!$Y$2:$Y$401,0),"")</f>
        <v/>
      </c>
    </row>
    <row r="60">
      <c r="A60">
        <f>IF($X60="","",IF(INDEX('Per Invoice'!A$2:A$401,$X60)="","",INDEX('Per Invoice'!A$2:A$401,$X60)))</f>
        <v/>
      </c>
      <c r="B60">
        <f>IF($X60="","",IF(INDEX('Per Invoice'!B$2:B$401,$X60)="","",INDEX('Per Invoice'!B$2:B$401,$X60)))</f>
        <v/>
      </c>
      <c r="C60">
        <f>IF($X60="","",IF(INDEX('Per Invoice'!C$2:C$401,$X60)="","",INDEX('Per Invoice'!C$2:C$401,$X60)))</f>
        <v/>
      </c>
      <c r="D60">
        <f>IF($X60="","",IF(INDEX('Per Invoice'!D$2:D$401,$X60)="","",INDEX('Per Invoice'!D$2:D$401,$X60)))</f>
        <v/>
      </c>
      <c r="E60">
        <f>IF($X60="","",IF(INDEX('Per Invoice'!E$2:E$401,$X60)="","",INDEX('Per Invoice'!E$2:E$401,$X60)))</f>
        <v/>
      </c>
      <c r="F60">
        <f>IF($X60="","",IF(INDEX('Per Invoice'!F$2:F$401,$X60)="","",INDEX('Per Invoice'!F$2:F$401,$X60)))</f>
        <v/>
      </c>
      <c r="G60">
        <f>IF($X60="","",IF(INDEX('Per Invoice'!G$2:G$401,$X60)="","",INDEX('Per Invoice'!G$2:G$401,$X60)))</f>
        <v/>
      </c>
      <c r="H60">
        <f>IF($X60="","",IF(INDEX('Per Invoice'!H$2:H$401,$X60)="","",INDEX('Per Invoice'!H$2:H$401,$X60)))</f>
        <v/>
      </c>
      <c r="I60">
        <f>IF($X60="","",IF(INDEX('Per Invoice'!I$2:I$401,$X60)="","",INDEX('Per Invoice'!I$2:I$401,$X60)))</f>
        <v/>
      </c>
      <c r="J60">
        <f>IF($X60="","",IF(INDEX('Per Invoice'!J$2:J$401,$X60)="","",INDEX('Per Invoice'!J$2:J$401,$X60)))</f>
        <v/>
      </c>
      <c r="K60" s="14">
        <f>IF($X60="","",IF(INDEX('Per Invoice'!K$2:K$401,$X60)="","",INDEX('Per Invoice'!K$2:K$401,$X60)))</f>
        <v/>
      </c>
      <c r="L60">
        <f>IF($X60="","",IF(INDEX('Per Invoice'!L$2:L$401,$X60)="","",INDEX('Per Invoice'!L$2:L$401,$X60)))</f>
        <v/>
      </c>
      <c r="M60" s="7">
        <f>IF($X60="","",IF(INDEX('Per Invoice'!M$2:M$401,$X60)="","",INDEX('Per Invoice'!M$2:M$401,$X60)))</f>
        <v/>
      </c>
      <c r="N60">
        <f>IF($X60="","",IF(INDEX('Per Invoice'!N$2:N$401,$X60)="","",INDEX('Per Invoice'!N$2:N$401,$X60)))</f>
        <v/>
      </c>
      <c r="O60" s="7">
        <f>IF($X60="","",IF(INDEX('Per Invoice'!O$2:O$401,$X60)="","",INDEX('Per Invoice'!O$2:O$401,$X60)))</f>
        <v/>
      </c>
      <c r="P60" s="7">
        <f>IF($X60="","",IF(INDEX('Per Invoice'!P$2:P$401,$X60)="","",INDEX('Per Invoice'!P$2:P$401,$X60)))</f>
        <v/>
      </c>
      <c r="Q60">
        <f>IF($X60="","",IF(INDEX('Per Invoice'!Q$2:Q$401,$X60)="","",INDEX('Per Invoice'!Q$2:Q$401,$X60)))</f>
        <v/>
      </c>
      <c r="R60" s="7">
        <f>IF($X60="","",IF(INDEX('Per Invoice'!R$2:R$401,$X60)="","",INDEX('Per Invoice'!R$2:R$401,$X60)))</f>
        <v/>
      </c>
      <c r="S60" s="7">
        <f>IF($X60="","",IF(INDEX('Per Invoice'!S$2:S$401,$X60)="","",INDEX('Per Invoice'!S$2:S$401,$X60)))</f>
        <v/>
      </c>
      <c r="T60" s="7">
        <f>IF($X60="","",IF(INDEX('Per Invoice'!T$2:T$401,$X60)="","",INDEX('Per Invoice'!T$2:T$401,$X60)))</f>
        <v/>
      </c>
      <c r="U60" s="7">
        <f>IF($X60="","",IF(INDEX('Per Invoice'!U$2:U$401,$X60)="","",INDEX('Per Invoice'!U$2:U$401,$X60)))</f>
        <v/>
      </c>
      <c r="V60" s="7">
        <f>IF($X60="","",IF(INDEX('Per Invoice'!V$2:V$401,$X60)="","",INDEX('Per Invoice'!V$2:V$401,$X60)))</f>
        <v/>
      </c>
      <c r="W60" s="7">
        <f>IF($X60="","",IF(INDEX('Per Invoice'!W$2:W$401,$X60)="","",INDEX('Per Invoice'!W$2:W$401,$X60)))</f>
        <v/>
      </c>
      <c r="X60" s="16">
        <f>IFERROR(MATCH(Settings!$C$33&amp;"|"&amp;ROWS($X$2:$X60),'Per Invoice'!$Y$2:$Y$401,0),"")</f>
        <v/>
      </c>
    </row>
    <row r="61">
      <c r="A61">
        <f>IF($X61="","",IF(INDEX('Per Invoice'!A$2:A$401,$X61)="","",INDEX('Per Invoice'!A$2:A$401,$X61)))</f>
        <v/>
      </c>
      <c r="B61">
        <f>IF($X61="","",IF(INDEX('Per Invoice'!B$2:B$401,$X61)="","",INDEX('Per Invoice'!B$2:B$401,$X61)))</f>
        <v/>
      </c>
      <c r="C61">
        <f>IF($X61="","",IF(INDEX('Per Invoice'!C$2:C$401,$X61)="","",INDEX('Per Invoice'!C$2:C$401,$X61)))</f>
        <v/>
      </c>
      <c r="D61">
        <f>IF($X61="","",IF(INDEX('Per Invoice'!D$2:D$401,$X61)="","",INDEX('Per Invoice'!D$2:D$401,$X61)))</f>
        <v/>
      </c>
      <c r="E61">
        <f>IF($X61="","",IF(INDEX('Per Invoice'!E$2:E$401,$X61)="","",INDEX('Per Invoice'!E$2:E$401,$X61)))</f>
        <v/>
      </c>
      <c r="F61">
        <f>IF($X61="","",IF(INDEX('Per Invoice'!F$2:F$401,$X61)="","",INDEX('Per Invoice'!F$2:F$401,$X61)))</f>
        <v/>
      </c>
      <c r="G61">
        <f>IF($X61="","",IF(INDEX('Per Invoice'!G$2:G$401,$X61)="","",INDEX('Per Invoice'!G$2:G$401,$X61)))</f>
        <v/>
      </c>
      <c r="H61">
        <f>IF($X61="","",IF(INDEX('Per Invoice'!H$2:H$401,$X61)="","",INDEX('Per Invoice'!H$2:H$401,$X61)))</f>
        <v/>
      </c>
      <c r="I61">
        <f>IF($X61="","",IF(INDEX('Per Invoice'!I$2:I$401,$X61)="","",INDEX('Per Invoice'!I$2:I$401,$X61)))</f>
        <v/>
      </c>
      <c r="J61">
        <f>IF($X61="","",IF(INDEX('Per Invoice'!J$2:J$401,$X61)="","",INDEX('Per Invoice'!J$2:J$401,$X61)))</f>
        <v/>
      </c>
      <c r="K61" s="14">
        <f>IF($X61="","",IF(INDEX('Per Invoice'!K$2:K$401,$X61)="","",INDEX('Per Invoice'!K$2:K$401,$X61)))</f>
        <v/>
      </c>
      <c r="L61">
        <f>IF($X61="","",IF(INDEX('Per Invoice'!L$2:L$401,$X61)="","",INDEX('Per Invoice'!L$2:L$401,$X61)))</f>
        <v/>
      </c>
      <c r="M61" s="7">
        <f>IF($X61="","",IF(INDEX('Per Invoice'!M$2:M$401,$X61)="","",INDEX('Per Invoice'!M$2:M$401,$X61)))</f>
        <v/>
      </c>
      <c r="N61">
        <f>IF($X61="","",IF(INDEX('Per Invoice'!N$2:N$401,$X61)="","",INDEX('Per Invoice'!N$2:N$401,$X61)))</f>
        <v/>
      </c>
      <c r="O61" s="7">
        <f>IF($X61="","",IF(INDEX('Per Invoice'!O$2:O$401,$X61)="","",INDEX('Per Invoice'!O$2:O$401,$X61)))</f>
        <v/>
      </c>
      <c r="P61" s="7">
        <f>IF($X61="","",IF(INDEX('Per Invoice'!P$2:P$401,$X61)="","",INDEX('Per Invoice'!P$2:P$401,$X61)))</f>
        <v/>
      </c>
      <c r="Q61">
        <f>IF($X61="","",IF(INDEX('Per Invoice'!Q$2:Q$401,$X61)="","",INDEX('Per Invoice'!Q$2:Q$401,$X61)))</f>
        <v/>
      </c>
      <c r="R61" s="7">
        <f>IF($X61="","",IF(INDEX('Per Invoice'!R$2:R$401,$X61)="","",INDEX('Per Invoice'!R$2:R$401,$X61)))</f>
        <v/>
      </c>
      <c r="S61" s="7">
        <f>IF($X61="","",IF(INDEX('Per Invoice'!S$2:S$401,$X61)="","",INDEX('Per Invoice'!S$2:S$401,$X61)))</f>
        <v/>
      </c>
      <c r="T61" s="7">
        <f>IF($X61="","",IF(INDEX('Per Invoice'!T$2:T$401,$X61)="","",INDEX('Per Invoice'!T$2:T$401,$X61)))</f>
        <v/>
      </c>
      <c r="U61" s="7">
        <f>IF($X61="","",IF(INDEX('Per Invoice'!U$2:U$401,$X61)="","",INDEX('Per Invoice'!U$2:U$401,$X61)))</f>
        <v/>
      </c>
      <c r="V61" s="7">
        <f>IF($X61="","",IF(INDEX('Per Invoice'!V$2:V$401,$X61)="","",INDEX('Per Invoice'!V$2:V$401,$X61)))</f>
        <v/>
      </c>
      <c r="W61" s="7">
        <f>IF($X61="","",IF(INDEX('Per Invoice'!W$2:W$401,$X61)="","",INDEX('Per Invoice'!W$2:W$401,$X61)))</f>
        <v/>
      </c>
      <c r="X61" s="16">
        <f>IFERROR(MATCH(Settings!$C$33&amp;"|"&amp;ROWS($X$2:$X61),'Per Invoice'!$Y$2:$Y$401,0),"")</f>
        <v/>
      </c>
    </row>
    <row r="62">
      <c r="A62">
        <f>IF($X62="","",IF(INDEX('Per Invoice'!A$2:A$401,$X62)="","",INDEX('Per Invoice'!A$2:A$401,$X62)))</f>
        <v/>
      </c>
      <c r="B62">
        <f>IF($X62="","",IF(INDEX('Per Invoice'!B$2:B$401,$X62)="","",INDEX('Per Invoice'!B$2:B$401,$X62)))</f>
        <v/>
      </c>
      <c r="C62">
        <f>IF($X62="","",IF(INDEX('Per Invoice'!C$2:C$401,$X62)="","",INDEX('Per Invoice'!C$2:C$401,$X62)))</f>
        <v/>
      </c>
      <c r="D62">
        <f>IF($X62="","",IF(INDEX('Per Invoice'!D$2:D$401,$X62)="","",INDEX('Per Invoice'!D$2:D$401,$X62)))</f>
        <v/>
      </c>
      <c r="E62">
        <f>IF($X62="","",IF(INDEX('Per Invoice'!E$2:E$401,$X62)="","",INDEX('Per Invoice'!E$2:E$401,$X62)))</f>
        <v/>
      </c>
      <c r="F62">
        <f>IF($X62="","",IF(INDEX('Per Invoice'!F$2:F$401,$X62)="","",INDEX('Per Invoice'!F$2:F$401,$X62)))</f>
        <v/>
      </c>
      <c r="G62">
        <f>IF($X62="","",IF(INDEX('Per Invoice'!G$2:G$401,$X62)="","",INDEX('Per Invoice'!G$2:G$401,$X62)))</f>
        <v/>
      </c>
      <c r="H62">
        <f>IF($X62="","",IF(INDEX('Per Invoice'!H$2:H$401,$X62)="","",INDEX('Per Invoice'!H$2:H$401,$X62)))</f>
        <v/>
      </c>
      <c r="I62">
        <f>IF($X62="","",IF(INDEX('Per Invoice'!I$2:I$401,$X62)="","",INDEX('Per Invoice'!I$2:I$401,$X62)))</f>
        <v/>
      </c>
      <c r="J62">
        <f>IF($X62="","",IF(INDEX('Per Invoice'!J$2:J$401,$X62)="","",INDEX('Per Invoice'!J$2:J$401,$X62)))</f>
        <v/>
      </c>
      <c r="K62" s="14">
        <f>IF($X62="","",IF(INDEX('Per Invoice'!K$2:K$401,$X62)="","",INDEX('Per Invoice'!K$2:K$401,$X62)))</f>
        <v/>
      </c>
      <c r="L62">
        <f>IF($X62="","",IF(INDEX('Per Invoice'!L$2:L$401,$X62)="","",INDEX('Per Invoice'!L$2:L$401,$X62)))</f>
        <v/>
      </c>
      <c r="M62" s="7">
        <f>IF($X62="","",IF(INDEX('Per Invoice'!M$2:M$401,$X62)="","",INDEX('Per Invoice'!M$2:M$401,$X62)))</f>
        <v/>
      </c>
      <c r="N62">
        <f>IF($X62="","",IF(INDEX('Per Invoice'!N$2:N$401,$X62)="","",INDEX('Per Invoice'!N$2:N$401,$X62)))</f>
        <v/>
      </c>
      <c r="O62" s="7">
        <f>IF($X62="","",IF(INDEX('Per Invoice'!O$2:O$401,$X62)="","",INDEX('Per Invoice'!O$2:O$401,$X62)))</f>
        <v/>
      </c>
      <c r="P62" s="7">
        <f>IF($X62="","",IF(INDEX('Per Invoice'!P$2:P$401,$X62)="","",INDEX('Per Invoice'!P$2:P$401,$X62)))</f>
        <v/>
      </c>
      <c r="Q62">
        <f>IF($X62="","",IF(INDEX('Per Invoice'!Q$2:Q$401,$X62)="","",INDEX('Per Invoice'!Q$2:Q$401,$X62)))</f>
        <v/>
      </c>
      <c r="R62" s="7">
        <f>IF($X62="","",IF(INDEX('Per Invoice'!R$2:R$401,$X62)="","",INDEX('Per Invoice'!R$2:R$401,$X62)))</f>
        <v/>
      </c>
      <c r="S62" s="7">
        <f>IF($X62="","",IF(INDEX('Per Invoice'!S$2:S$401,$X62)="","",INDEX('Per Invoice'!S$2:S$401,$X62)))</f>
        <v/>
      </c>
      <c r="T62" s="7">
        <f>IF($X62="","",IF(INDEX('Per Invoice'!T$2:T$401,$X62)="","",INDEX('Per Invoice'!T$2:T$401,$X62)))</f>
        <v/>
      </c>
      <c r="U62" s="7">
        <f>IF($X62="","",IF(INDEX('Per Invoice'!U$2:U$401,$X62)="","",INDEX('Per Invoice'!U$2:U$401,$X62)))</f>
        <v/>
      </c>
      <c r="V62" s="7">
        <f>IF($X62="","",IF(INDEX('Per Invoice'!V$2:V$401,$X62)="","",INDEX('Per Invoice'!V$2:V$401,$X62)))</f>
        <v/>
      </c>
      <c r="W62" s="7">
        <f>IF($X62="","",IF(INDEX('Per Invoice'!W$2:W$401,$X62)="","",INDEX('Per Invoice'!W$2:W$401,$X62)))</f>
        <v/>
      </c>
      <c r="X62" s="16">
        <f>IFERROR(MATCH(Settings!$C$33&amp;"|"&amp;ROWS($X$2:$X62),'Per Invoice'!$Y$2:$Y$401,0),"")</f>
        <v/>
      </c>
    </row>
    <row r="63">
      <c r="A63">
        <f>IF($X63="","",IF(INDEX('Per Invoice'!A$2:A$401,$X63)="","",INDEX('Per Invoice'!A$2:A$401,$X63)))</f>
        <v/>
      </c>
      <c r="B63">
        <f>IF($X63="","",IF(INDEX('Per Invoice'!B$2:B$401,$X63)="","",INDEX('Per Invoice'!B$2:B$401,$X63)))</f>
        <v/>
      </c>
      <c r="C63">
        <f>IF($X63="","",IF(INDEX('Per Invoice'!C$2:C$401,$X63)="","",INDEX('Per Invoice'!C$2:C$401,$X63)))</f>
        <v/>
      </c>
      <c r="D63">
        <f>IF($X63="","",IF(INDEX('Per Invoice'!D$2:D$401,$X63)="","",INDEX('Per Invoice'!D$2:D$401,$X63)))</f>
        <v/>
      </c>
      <c r="E63">
        <f>IF($X63="","",IF(INDEX('Per Invoice'!E$2:E$401,$X63)="","",INDEX('Per Invoice'!E$2:E$401,$X63)))</f>
        <v/>
      </c>
      <c r="F63">
        <f>IF($X63="","",IF(INDEX('Per Invoice'!F$2:F$401,$X63)="","",INDEX('Per Invoice'!F$2:F$401,$X63)))</f>
        <v/>
      </c>
      <c r="G63">
        <f>IF($X63="","",IF(INDEX('Per Invoice'!G$2:G$401,$X63)="","",INDEX('Per Invoice'!G$2:G$401,$X63)))</f>
        <v/>
      </c>
      <c r="H63">
        <f>IF($X63="","",IF(INDEX('Per Invoice'!H$2:H$401,$X63)="","",INDEX('Per Invoice'!H$2:H$401,$X63)))</f>
        <v/>
      </c>
      <c r="I63">
        <f>IF($X63="","",IF(INDEX('Per Invoice'!I$2:I$401,$X63)="","",INDEX('Per Invoice'!I$2:I$401,$X63)))</f>
        <v/>
      </c>
      <c r="J63">
        <f>IF($X63="","",IF(INDEX('Per Invoice'!J$2:J$401,$X63)="","",INDEX('Per Invoice'!J$2:J$401,$X63)))</f>
        <v/>
      </c>
      <c r="K63" s="14">
        <f>IF($X63="","",IF(INDEX('Per Invoice'!K$2:K$401,$X63)="","",INDEX('Per Invoice'!K$2:K$401,$X63)))</f>
        <v/>
      </c>
      <c r="L63">
        <f>IF($X63="","",IF(INDEX('Per Invoice'!L$2:L$401,$X63)="","",INDEX('Per Invoice'!L$2:L$401,$X63)))</f>
        <v/>
      </c>
      <c r="M63" s="7">
        <f>IF($X63="","",IF(INDEX('Per Invoice'!M$2:M$401,$X63)="","",INDEX('Per Invoice'!M$2:M$401,$X63)))</f>
        <v/>
      </c>
      <c r="N63">
        <f>IF($X63="","",IF(INDEX('Per Invoice'!N$2:N$401,$X63)="","",INDEX('Per Invoice'!N$2:N$401,$X63)))</f>
        <v/>
      </c>
      <c r="O63" s="7">
        <f>IF($X63="","",IF(INDEX('Per Invoice'!O$2:O$401,$X63)="","",INDEX('Per Invoice'!O$2:O$401,$X63)))</f>
        <v/>
      </c>
      <c r="P63" s="7">
        <f>IF($X63="","",IF(INDEX('Per Invoice'!P$2:P$401,$X63)="","",INDEX('Per Invoice'!P$2:P$401,$X63)))</f>
        <v/>
      </c>
      <c r="Q63">
        <f>IF($X63="","",IF(INDEX('Per Invoice'!Q$2:Q$401,$X63)="","",INDEX('Per Invoice'!Q$2:Q$401,$X63)))</f>
        <v/>
      </c>
      <c r="R63" s="7">
        <f>IF($X63="","",IF(INDEX('Per Invoice'!R$2:R$401,$X63)="","",INDEX('Per Invoice'!R$2:R$401,$X63)))</f>
        <v/>
      </c>
      <c r="S63" s="7">
        <f>IF($X63="","",IF(INDEX('Per Invoice'!S$2:S$401,$X63)="","",INDEX('Per Invoice'!S$2:S$401,$X63)))</f>
        <v/>
      </c>
      <c r="T63" s="7">
        <f>IF($X63="","",IF(INDEX('Per Invoice'!T$2:T$401,$X63)="","",INDEX('Per Invoice'!T$2:T$401,$X63)))</f>
        <v/>
      </c>
      <c r="U63" s="7">
        <f>IF($X63="","",IF(INDEX('Per Invoice'!U$2:U$401,$X63)="","",INDEX('Per Invoice'!U$2:U$401,$X63)))</f>
        <v/>
      </c>
      <c r="V63" s="7">
        <f>IF($X63="","",IF(INDEX('Per Invoice'!V$2:V$401,$X63)="","",INDEX('Per Invoice'!V$2:V$401,$X63)))</f>
        <v/>
      </c>
      <c r="W63" s="7">
        <f>IF($X63="","",IF(INDEX('Per Invoice'!W$2:W$401,$X63)="","",INDEX('Per Invoice'!W$2:W$401,$X63)))</f>
        <v/>
      </c>
      <c r="X63" s="16">
        <f>IFERROR(MATCH(Settings!$C$33&amp;"|"&amp;ROWS($X$2:$X63),'Per Invoice'!$Y$2:$Y$401,0),"")</f>
        <v/>
      </c>
    </row>
    <row r="64">
      <c r="A64">
        <f>IF($X64="","",IF(INDEX('Per Invoice'!A$2:A$401,$X64)="","",INDEX('Per Invoice'!A$2:A$401,$X64)))</f>
        <v/>
      </c>
      <c r="B64">
        <f>IF($X64="","",IF(INDEX('Per Invoice'!B$2:B$401,$X64)="","",INDEX('Per Invoice'!B$2:B$401,$X64)))</f>
        <v/>
      </c>
      <c r="C64">
        <f>IF($X64="","",IF(INDEX('Per Invoice'!C$2:C$401,$X64)="","",INDEX('Per Invoice'!C$2:C$401,$X64)))</f>
        <v/>
      </c>
      <c r="D64">
        <f>IF($X64="","",IF(INDEX('Per Invoice'!D$2:D$401,$X64)="","",INDEX('Per Invoice'!D$2:D$401,$X64)))</f>
        <v/>
      </c>
      <c r="E64">
        <f>IF($X64="","",IF(INDEX('Per Invoice'!E$2:E$401,$X64)="","",INDEX('Per Invoice'!E$2:E$401,$X64)))</f>
        <v/>
      </c>
      <c r="F64">
        <f>IF($X64="","",IF(INDEX('Per Invoice'!F$2:F$401,$X64)="","",INDEX('Per Invoice'!F$2:F$401,$X64)))</f>
        <v/>
      </c>
      <c r="G64">
        <f>IF($X64="","",IF(INDEX('Per Invoice'!G$2:G$401,$X64)="","",INDEX('Per Invoice'!G$2:G$401,$X64)))</f>
        <v/>
      </c>
      <c r="H64">
        <f>IF($X64="","",IF(INDEX('Per Invoice'!H$2:H$401,$X64)="","",INDEX('Per Invoice'!H$2:H$401,$X64)))</f>
        <v/>
      </c>
      <c r="I64">
        <f>IF($X64="","",IF(INDEX('Per Invoice'!I$2:I$401,$X64)="","",INDEX('Per Invoice'!I$2:I$401,$X64)))</f>
        <v/>
      </c>
      <c r="J64">
        <f>IF($X64="","",IF(INDEX('Per Invoice'!J$2:J$401,$X64)="","",INDEX('Per Invoice'!J$2:J$401,$X64)))</f>
        <v/>
      </c>
      <c r="K64" s="14">
        <f>IF($X64="","",IF(INDEX('Per Invoice'!K$2:K$401,$X64)="","",INDEX('Per Invoice'!K$2:K$401,$X64)))</f>
        <v/>
      </c>
      <c r="L64">
        <f>IF($X64="","",IF(INDEX('Per Invoice'!L$2:L$401,$X64)="","",INDEX('Per Invoice'!L$2:L$401,$X64)))</f>
        <v/>
      </c>
      <c r="M64" s="7">
        <f>IF($X64="","",IF(INDEX('Per Invoice'!M$2:M$401,$X64)="","",INDEX('Per Invoice'!M$2:M$401,$X64)))</f>
        <v/>
      </c>
      <c r="N64">
        <f>IF($X64="","",IF(INDEX('Per Invoice'!N$2:N$401,$X64)="","",INDEX('Per Invoice'!N$2:N$401,$X64)))</f>
        <v/>
      </c>
      <c r="O64" s="7">
        <f>IF($X64="","",IF(INDEX('Per Invoice'!O$2:O$401,$X64)="","",INDEX('Per Invoice'!O$2:O$401,$X64)))</f>
        <v/>
      </c>
      <c r="P64" s="7">
        <f>IF($X64="","",IF(INDEX('Per Invoice'!P$2:P$401,$X64)="","",INDEX('Per Invoice'!P$2:P$401,$X64)))</f>
        <v/>
      </c>
      <c r="Q64">
        <f>IF($X64="","",IF(INDEX('Per Invoice'!Q$2:Q$401,$X64)="","",INDEX('Per Invoice'!Q$2:Q$401,$X64)))</f>
        <v/>
      </c>
      <c r="R64" s="7">
        <f>IF($X64="","",IF(INDEX('Per Invoice'!R$2:R$401,$X64)="","",INDEX('Per Invoice'!R$2:R$401,$X64)))</f>
        <v/>
      </c>
      <c r="S64" s="7">
        <f>IF($X64="","",IF(INDEX('Per Invoice'!S$2:S$401,$X64)="","",INDEX('Per Invoice'!S$2:S$401,$X64)))</f>
        <v/>
      </c>
      <c r="T64" s="7">
        <f>IF($X64="","",IF(INDEX('Per Invoice'!T$2:T$401,$X64)="","",INDEX('Per Invoice'!T$2:T$401,$X64)))</f>
        <v/>
      </c>
      <c r="U64" s="7">
        <f>IF($X64="","",IF(INDEX('Per Invoice'!U$2:U$401,$X64)="","",INDEX('Per Invoice'!U$2:U$401,$X64)))</f>
        <v/>
      </c>
      <c r="V64" s="7">
        <f>IF($X64="","",IF(INDEX('Per Invoice'!V$2:V$401,$X64)="","",INDEX('Per Invoice'!V$2:V$401,$X64)))</f>
        <v/>
      </c>
      <c r="W64" s="7">
        <f>IF($X64="","",IF(INDEX('Per Invoice'!W$2:W$401,$X64)="","",INDEX('Per Invoice'!W$2:W$401,$X64)))</f>
        <v/>
      </c>
      <c r="X64" s="16">
        <f>IFERROR(MATCH(Settings!$C$33&amp;"|"&amp;ROWS($X$2:$X64),'Per Invoice'!$Y$2:$Y$401,0),"")</f>
        <v/>
      </c>
    </row>
    <row r="65">
      <c r="A65">
        <f>IF($X65="","",IF(INDEX('Per Invoice'!A$2:A$401,$X65)="","",INDEX('Per Invoice'!A$2:A$401,$X65)))</f>
        <v/>
      </c>
      <c r="B65">
        <f>IF($X65="","",IF(INDEX('Per Invoice'!B$2:B$401,$X65)="","",INDEX('Per Invoice'!B$2:B$401,$X65)))</f>
        <v/>
      </c>
      <c r="C65">
        <f>IF($X65="","",IF(INDEX('Per Invoice'!C$2:C$401,$X65)="","",INDEX('Per Invoice'!C$2:C$401,$X65)))</f>
        <v/>
      </c>
      <c r="D65">
        <f>IF($X65="","",IF(INDEX('Per Invoice'!D$2:D$401,$X65)="","",INDEX('Per Invoice'!D$2:D$401,$X65)))</f>
        <v/>
      </c>
      <c r="E65">
        <f>IF($X65="","",IF(INDEX('Per Invoice'!E$2:E$401,$X65)="","",INDEX('Per Invoice'!E$2:E$401,$X65)))</f>
        <v/>
      </c>
      <c r="F65">
        <f>IF($X65="","",IF(INDEX('Per Invoice'!F$2:F$401,$X65)="","",INDEX('Per Invoice'!F$2:F$401,$X65)))</f>
        <v/>
      </c>
      <c r="G65">
        <f>IF($X65="","",IF(INDEX('Per Invoice'!G$2:G$401,$X65)="","",INDEX('Per Invoice'!G$2:G$401,$X65)))</f>
        <v/>
      </c>
      <c r="H65">
        <f>IF($X65="","",IF(INDEX('Per Invoice'!H$2:H$401,$X65)="","",INDEX('Per Invoice'!H$2:H$401,$X65)))</f>
        <v/>
      </c>
      <c r="I65">
        <f>IF($X65="","",IF(INDEX('Per Invoice'!I$2:I$401,$X65)="","",INDEX('Per Invoice'!I$2:I$401,$X65)))</f>
        <v/>
      </c>
      <c r="J65">
        <f>IF($X65="","",IF(INDEX('Per Invoice'!J$2:J$401,$X65)="","",INDEX('Per Invoice'!J$2:J$401,$X65)))</f>
        <v/>
      </c>
      <c r="K65" s="14">
        <f>IF($X65="","",IF(INDEX('Per Invoice'!K$2:K$401,$X65)="","",INDEX('Per Invoice'!K$2:K$401,$X65)))</f>
        <v/>
      </c>
      <c r="L65">
        <f>IF($X65="","",IF(INDEX('Per Invoice'!L$2:L$401,$X65)="","",INDEX('Per Invoice'!L$2:L$401,$X65)))</f>
        <v/>
      </c>
      <c r="M65" s="7">
        <f>IF($X65="","",IF(INDEX('Per Invoice'!M$2:M$401,$X65)="","",INDEX('Per Invoice'!M$2:M$401,$X65)))</f>
        <v/>
      </c>
      <c r="N65">
        <f>IF($X65="","",IF(INDEX('Per Invoice'!N$2:N$401,$X65)="","",INDEX('Per Invoice'!N$2:N$401,$X65)))</f>
        <v/>
      </c>
      <c r="O65" s="7">
        <f>IF($X65="","",IF(INDEX('Per Invoice'!O$2:O$401,$X65)="","",INDEX('Per Invoice'!O$2:O$401,$X65)))</f>
        <v/>
      </c>
      <c r="P65" s="7">
        <f>IF($X65="","",IF(INDEX('Per Invoice'!P$2:P$401,$X65)="","",INDEX('Per Invoice'!P$2:P$401,$X65)))</f>
        <v/>
      </c>
      <c r="Q65">
        <f>IF($X65="","",IF(INDEX('Per Invoice'!Q$2:Q$401,$X65)="","",INDEX('Per Invoice'!Q$2:Q$401,$X65)))</f>
        <v/>
      </c>
      <c r="R65" s="7">
        <f>IF($X65="","",IF(INDEX('Per Invoice'!R$2:R$401,$X65)="","",INDEX('Per Invoice'!R$2:R$401,$X65)))</f>
        <v/>
      </c>
      <c r="S65" s="7">
        <f>IF($X65="","",IF(INDEX('Per Invoice'!S$2:S$401,$X65)="","",INDEX('Per Invoice'!S$2:S$401,$X65)))</f>
        <v/>
      </c>
      <c r="T65" s="7">
        <f>IF($X65="","",IF(INDEX('Per Invoice'!T$2:T$401,$X65)="","",INDEX('Per Invoice'!T$2:T$401,$X65)))</f>
        <v/>
      </c>
      <c r="U65" s="7">
        <f>IF($X65="","",IF(INDEX('Per Invoice'!U$2:U$401,$X65)="","",INDEX('Per Invoice'!U$2:U$401,$X65)))</f>
        <v/>
      </c>
      <c r="V65" s="7">
        <f>IF($X65="","",IF(INDEX('Per Invoice'!V$2:V$401,$X65)="","",INDEX('Per Invoice'!V$2:V$401,$X65)))</f>
        <v/>
      </c>
      <c r="W65" s="7">
        <f>IF($X65="","",IF(INDEX('Per Invoice'!W$2:W$401,$X65)="","",INDEX('Per Invoice'!W$2:W$401,$X65)))</f>
        <v/>
      </c>
      <c r="X65" s="16">
        <f>IFERROR(MATCH(Settings!$C$33&amp;"|"&amp;ROWS($X$2:$X65),'Per Invoice'!$Y$2:$Y$401,0),"")</f>
        <v/>
      </c>
    </row>
    <row r="66">
      <c r="A66">
        <f>IF($X66="","",IF(INDEX('Per Invoice'!A$2:A$401,$X66)="","",INDEX('Per Invoice'!A$2:A$401,$X66)))</f>
        <v/>
      </c>
      <c r="B66">
        <f>IF($X66="","",IF(INDEX('Per Invoice'!B$2:B$401,$X66)="","",INDEX('Per Invoice'!B$2:B$401,$X66)))</f>
        <v/>
      </c>
      <c r="C66">
        <f>IF($X66="","",IF(INDEX('Per Invoice'!C$2:C$401,$X66)="","",INDEX('Per Invoice'!C$2:C$401,$X66)))</f>
        <v/>
      </c>
      <c r="D66">
        <f>IF($X66="","",IF(INDEX('Per Invoice'!D$2:D$401,$X66)="","",INDEX('Per Invoice'!D$2:D$401,$X66)))</f>
        <v/>
      </c>
      <c r="E66">
        <f>IF($X66="","",IF(INDEX('Per Invoice'!E$2:E$401,$X66)="","",INDEX('Per Invoice'!E$2:E$401,$X66)))</f>
        <v/>
      </c>
      <c r="F66">
        <f>IF($X66="","",IF(INDEX('Per Invoice'!F$2:F$401,$X66)="","",INDEX('Per Invoice'!F$2:F$401,$X66)))</f>
        <v/>
      </c>
      <c r="G66">
        <f>IF($X66="","",IF(INDEX('Per Invoice'!G$2:G$401,$X66)="","",INDEX('Per Invoice'!G$2:G$401,$X66)))</f>
        <v/>
      </c>
      <c r="H66">
        <f>IF($X66="","",IF(INDEX('Per Invoice'!H$2:H$401,$X66)="","",INDEX('Per Invoice'!H$2:H$401,$X66)))</f>
        <v/>
      </c>
      <c r="I66">
        <f>IF($X66="","",IF(INDEX('Per Invoice'!I$2:I$401,$X66)="","",INDEX('Per Invoice'!I$2:I$401,$X66)))</f>
        <v/>
      </c>
      <c r="J66">
        <f>IF($X66="","",IF(INDEX('Per Invoice'!J$2:J$401,$X66)="","",INDEX('Per Invoice'!J$2:J$401,$X66)))</f>
        <v/>
      </c>
      <c r="K66" s="14">
        <f>IF($X66="","",IF(INDEX('Per Invoice'!K$2:K$401,$X66)="","",INDEX('Per Invoice'!K$2:K$401,$X66)))</f>
        <v/>
      </c>
      <c r="L66">
        <f>IF($X66="","",IF(INDEX('Per Invoice'!L$2:L$401,$X66)="","",INDEX('Per Invoice'!L$2:L$401,$X66)))</f>
        <v/>
      </c>
      <c r="M66" s="7">
        <f>IF($X66="","",IF(INDEX('Per Invoice'!M$2:M$401,$X66)="","",INDEX('Per Invoice'!M$2:M$401,$X66)))</f>
        <v/>
      </c>
      <c r="N66">
        <f>IF($X66="","",IF(INDEX('Per Invoice'!N$2:N$401,$X66)="","",INDEX('Per Invoice'!N$2:N$401,$X66)))</f>
        <v/>
      </c>
      <c r="O66" s="7">
        <f>IF($X66="","",IF(INDEX('Per Invoice'!O$2:O$401,$X66)="","",INDEX('Per Invoice'!O$2:O$401,$X66)))</f>
        <v/>
      </c>
      <c r="P66" s="7">
        <f>IF($X66="","",IF(INDEX('Per Invoice'!P$2:P$401,$X66)="","",INDEX('Per Invoice'!P$2:P$401,$X66)))</f>
        <v/>
      </c>
      <c r="Q66">
        <f>IF($X66="","",IF(INDEX('Per Invoice'!Q$2:Q$401,$X66)="","",INDEX('Per Invoice'!Q$2:Q$401,$X66)))</f>
        <v/>
      </c>
      <c r="R66" s="7">
        <f>IF($X66="","",IF(INDEX('Per Invoice'!R$2:R$401,$X66)="","",INDEX('Per Invoice'!R$2:R$401,$X66)))</f>
        <v/>
      </c>
      <c r="S66" s="7">
        <f>IF($X66="","",IF(INDEX('Per Invoice'!S$2:S$401,$X66)="","",INDEX('Per Invoice'!S$2:S$401,$X66)))</f>
        <v/>
      </c>
      <c r="T66" s="7">
        <f>IF($X66="","",IF(INDEX('Per Invoice'!T$2:T$401,$X66)="","",INDEX('Per Invoice'!T$2:T$401,$X66)))</f>
        <v/>
      </c>
      <c r="U66" s="7">
        <f>IF($X66="","",IF(INDEX('Per Invoice'!U$2:U$401,$X66)="","",INDEX('Per Invoice'!U$2:U$401,$X66)))</f>
        <v/>
      </c>
      <c r="V66" s="7">
        <f>IF($X66="","",IF(INDEX('Per Invoice'!V$2:V$401,$X66)="","",INDEX('Per Invoice'!V$2:V$401,$X66)))</f>
        <v/>
      </c>
      <c r="W66" s="7">
        <f>IF($X66="","",IF(INDEX('Per Invoice'!W$2:W$401,$X66)="","",INDEX('Per Invoice'!W$2:W$401,$X66)))</f>
        <v/>
      </c>
      <c r="X66" s="16">
        <f>IFERROR(MATCH(Settings!$C$33&amp;"|"&amp;ROWS($X$2:$X66),'Per Invoice'!$Y$2:$Y$401,0),"")</f>
        <v/>
      </c>
    </row>
    <row r="67">
      <c r="A67">
        <f>IF($X67="","",IF(INDEX('Per Invoice'!A$2:A$401,$X67)="","",INDEX('Per Invoice'!A$2:A$401,$X67)))</f>
        <v/>
      </c>
      <c r="B67">
        <f>IF($X67="","",IF(INDEX('Per Invoice'!B$2:B$401,$X67)="","",INDEX('Per Invoice'!B$2:B$401,$X67)))</f>
        <v/>
      </c>
      <c r="C67">
        <f>IF($X67="","",IF(INDEX('Per Invoice'!C$2:C$401,$X67)="","",INDEX('Per Invoice'!C$2:C$401,$X67)))</f>
        <v/>
      </c>
      <c r="D67">
        <f>IF($X67="","",IF(INDEX('Per Invoice'!D$2:D$401,$X67)="","",INDEX('Per Invoice'!D$2:D$401,$X67)))</f>
        <v/>
      </c>
      <c r="E67">
        <f>IF($X67="","",IF(INDEX('Per Invoice'!E$2:E$401,$X67)="","",INDEX('Per Invoice'!E$2:E$401,$X67)))</f>
        <v/>
      </c>
      <c r="F67">
        <f>IF($X67="","",IF(INDEX('Per Invoice'!F$2:F$401,$X67)="","",INDEX('Per Invoice'!F$2:F$401,$X67)))</f>
        <v/>
      </c>
      <c r="G67">
        <f>IF($X67="","",IF(INDEX('Per Invoice'!G$2:G$401,$X67)="","",INDEX('Per Invoice'!G$2:G$401,$X67)))</f>
        <v/>
      </c>
      <c r="H67">
        <f>IF($X67="","",IF(INDEX('Per Invoice'!H$2:H$401,$X67)="","",INDEX('Per Invoice'!H$2:H$401,$X67)))</f>
        <v/>
      </c>
      <c r="I67">
        <f>IF($X67="","",IF(INDEX('Per Invoice'!I$2:I$401,$X67)="","",INDEX('Per Invoice'!I$2:I$401,$X67)))</f>
        <v/>
      </c>
      <c r="J67">
        <f>IF($X67="","",IF(INDEX('Per Invoice'!J$2:J$401,$X67)="","",INDEX('Per Invoice'!J$2:J$401,$X67)))</f>
        <v/>
      </c>
      <c r="K67" s="14">
        <f>IF($X67="","",IF(INDEX('Per Invoice'!K$2:K$401,$X67)="","",INDEX('Per Invoice'!K$2:K$401,$X67)))</f>
        <v/>
      </c>
      <c r="L67">
        <f>IF($X67="","",IF(INDEX('Per Invoice'!L$2:L$401,$X67)="","",INDEX('Per Invoice'!L$2:L$401,$X67)))</f>
        <v/>
      </c>
      <c r="M67" s="7">
        <f>IF($X67="","",IF(INDEX('Per Invoice'!M$2:M$401,$X67)="","",INDEX('Per Invoice'!M$2:M$401,$X67)))</f>
        <v/>
      </c>
      <c r="N67">
        <f>IF($X67="","",IF(INDEX('Per Invoice'!N$2:N$401,$X67)="","",INDEX('Per Invoice'!N$2:N$401,$X67)))</f>
        <v/>
      </c>
      <c r="O67" s="7">
        <f>IF($X67="","",IF(INDEX('Per Invoice'!O$2:O$401,$X67)="","",INDEX('Per Invoice'!O$2:O$401,$X67)))</f>
        <v/>
      </c>
      <c r="P67" s="7">
        <f>IF($X67="","",IF(INDEX('Per Invoice'!P$2:P$401,$X67)="","",INDEX('Per Invoice'!P$2:P$401,$X67)))</f>
        <v/>
      </c>
      <c r="Q67">
        <f>IF($X67="","",IF(INDEX('Per Invoice'!Q$2:Q$401,$X67)="","",INDEX('Per Invoice'!Q$2:Q$401,$X67)))</f>
        <v/>
      </c>
      <c r="R67" s="7">
        <f>IF($X67="","",IF(INDEX('Per Invoice'!R$2:R$401,$X67)="","",INDEX('Per Invoice'!R$2:R$401,$X67)))</f>
        <v/>
      </c>
      <c r="S67" s="7">
        <f>IF($X67="","",IF(INDEX('Per Invoice'!S$2:S$401,$X67)="","",INDEX('Per Invoice'!S$2:S$401,$X67)))</f>
        <v/>
      </c>
      <c r="T67" s="7">
        <f>IF($X67="","",IF(INDEX('Per Invoice'!T$2:T$401,$X67)="","",INDEX('Per Invoice'!T$2:T$401,$X67)))</f>
        <v/>
      </c>
      <c r="U67" s="7">
        <f>IF($X67="","",IF(INDEX('Per Invoice'!U$2:U$401,$X67)="","",INDEX('Per Invoice'!U$2:U$401,$X67)))</f>
        <v/>
      </c>
      <c r="V67" s="7">
        <f>IF($X67="","",IF(INDEX('Per Invoice'!V$2:V$401,$X67)="","",INDEX('Per Invoice'!V$2:V$401,$X67)))</f>
        <v/>
      </c>
      <c r="W67" s="7">
        <f>IF($X67="","",IF(INDEX('Per Invoice'!W$2:W$401,$X67)="","",INDEX('Per Invoice'!W$2:W$401,$X67)))</f>
        <v/>
      </c>
      <c r="X67" s="16">
        <f>IFERROR(MATCH(Settings!$C$33&amp;"|"&amp;ROWS($X$2:$X67),'Per Invoice'!$Y$2:$Y$401,0),"")</f>
        <v/>
      </c>
    </row>
    <row r="68">
      <c r="A68">
        <f>IF($X68="","",IF(INDEX('Per Invoice'!A$2:A$401,$X68)="","",INDEX('Per Invoice'!A$2:A$401,$X68)))</f>
        <v/>
      </c>
      <c r="B68">
        <f>IF($X68="","",IF(INDEX('Per Invoice'!B$2:B$401,$X68)="","",INDEX('Per Invoice'!B$2:B$401,$X68)))</f>
        <v/>
      </c>
      <c r="C68">
        <f>IF($X68="","",IF(INDEX('Per Invoice'!C$2:C$401,$X68)="","",INDEX('Per Invoice'!C$2:C$401,$X68)))</f>
        <v/>
      </c>
      <c r="D68">
        <f>IF($X68="","",IF(INDEX('Per Invoice'!D$2:D$401,$X68)="","",INDEX('Per Invoice'!D$2:D$401,$X68)))</f>
        <v/>
      </c>
      <c r="E68">
        <f>IF($X68="","",IF(INDEX('Per Invoice'!E$2:E$401,$X68)="","",INDEX('Per Invoice'!E$2:E$401,$X68)))</f>
        <v/>
      </c>
      <c r="F68">
        <f>IF($X68="","",IF(INDEX('Per Invoice'!F$2:F$401,$X68)="","",INDEX('Per Invoice'!F$2:F$401,$X68)))</f>
        <v/>
      </c>
      <c r="G68">
        <f>IF($X68="","",IF(INDEX('Per Invoice'!G$2:G$401,$X68)="","",INDEX('Per Invoice'!G$2:G$401,$X68)))</f>
        <v/>
      </c>
      <c r="H68">
        <f>IF($X68="","",IF(INDEX('Per Invoice'!H$2:H$401,$X68)="","",INDEX('Per Invoice'!H$2:H$401,$X68)))</f>
        <v/>
      </c>
      <c r="I68">
        <f>IF($X68="","",IF(INDEX('Per Invoice'!I$2:I$401,$X68)="","",INDEX('Per Invoice'!I$2:I$401,$X68)))</f>
        <v/>
      </c>
      <c r="J68">
        <f>IF($X68="","",IF(INDEX('Per Invoice'!J$2:J$401,$X68)="","",INDEX('Per Invoice'!J$2:J$401,$X68)))</f>
        <v/>
      </c>
      <c r="K68" s="14">
        <f>IF($X68="","",IF(INDEX('Per Invoice'!K$2:K$401,$X68)="","",INDEX('Per Invoice'!K$2:K$401,$X68)))</f>
        <v/>
      </c>
      <c r="L68">
        <f>IF($X68="","",IF(INDEX('Per Invoice'!L$2:L$401,$X68)="","",INDEX('Per Invoice'!L$2:L$401,$X68)))</f>
        <v/>
      </c>
      <c r="M68" s="7">
        <f>IF($X68="","",IF(INDEX('Per Invoice'!M$2:M$401,$X68)="","",INDEX('Per Invoice'!M$2:M$401,$X68)))</f>
        <v/>
      </c>
      <c r="N68">
        <f>IF($X68="","",IF(INDEX('Per Invoice'!N$2:N$401,$X68)="","",INDEX('Per Invoice'!N$2:N$401,$X68)))</f>
        <v/>
      </c>
      <c r="O68" s="7">
        <f>IF($X68="","",IF(INDEX('Per Invoice'!O$2:O$401,$X68)="","",INDEX('Per Invoice'!O$2:O$401,$X68)))</f>
        <v/>
      </c>
      <c r="P68" s="7">
        <f>IF($X68="","",IF(INDEX('Per Invoice'!P$2:P$401,$X68)="","",INDEX('Per Invoice'!P$2:P$401,$X68)))</f>
        <v/>
      </c>
      <c r="Q68">
        <f>IF($X68="","",IF(INDEX('Per Invoice'!Q$2:Q$401,$X68)="","",INDEX('Per Invoice'!Q$2:Q$401,$X68)))</f>
        <v/>
      </c>
      <c r="R68" s="7">
        <f>IF($X68="","",IF(INDEX('Per Invoice'!R$2:R$401,$X68)="","",INDEX('Per Invoice'!R$2:R$401,$X68)))</f>
        <v/>
      </c>
      <c r="S68" s="7">
        <f>IF($X68="","",IF(INDEX('Per Invoice'!S$2:S$401,$X68)="","",INDEX('Per Invoice'!S$2:S$401,$X68)))</f>
        <v/>
      </c>
      <c r="T68" s="7">
        <f>IF($X68="","",IF(INDEX('Per Invoice'!T$2:T$401,$X68)="","",INDEX('Per Invoice'!T$2:T$401,$X68)))</f>
        <v/>
      </c>
      <c r="U68" s="7">
        <f>IF($X68="","",IF(INDEX('Per Invoice'!U$2:U$401,$X68)="","",INDEX('Per Invoice'!U$2:U$401,$X68)))</f>
        <v/>
      </c>
      <c r="V68" s="7">
        <f>IF($X68="","",IF(INDEX('Per Invoice'!V$2:V$401,$X68)="","",INDEX('Per Invoice'!V$2:V$401,$X68)))</f>
        <v/>
      </c>
      <c r="W68" s="7">
        <f>IF($X68="","",IF(INDEX('Per Invoice'!W$2:W$401,$X68)="","",INDEX('Per Invoice'!W$2:W$401,$X68)))</f>
        <v/>
      </c>
      <c r="X68" s="16">
        <f>IFERROR(MATCH(Settings!$C$33&amp;"|"&amp;ROWS($X$2:$X68),'Per Invoice'!$Y$2:$Y$401,0),"")</f>
        <v/>
      </c>
    </row>
    <row r="69">
      <c r="A69">
        <f>IF($X69="","",IF(INDEX('Per Invoice'!A$2:A$401,$X69)="","",INDEX('Per Invoice'!A$2:A$401,$X69)))</f>
        <v/>
      </c>
      <c r="B69">
        <f>IF($X69="","",IF(INDEX('Per Invoice'!B$2:B$401,$X69)="","",INDEX('Per Invoice'!B$2:B$401,$X69)))</f>
        <v/>
      </c>
      <c r="C69">
        <f>IF($X69="","",IF(INDEX('Per Invoice'!C$2:C$401,$X69)="","",INDEX('Per Invoice'!C$2:C$401,$X69)))</f>
        <v/>
      </c>
      <c r="D69">
        <f>IF($X69="","",IF(INDEX('Per Invoice'!D$2:D$401,$X69)="","",INDEX('Per Invoice'!D$2:D$401,$X69)))</f>
        <v/>
      </c>
      <c r="E69">
        <f>IF($X69="","",IF(INDEX('Per Invoice'!E$2:E$401,$X69)="","",INDEX('Per Invoice'!E$2:E$401,$X69)))</f>
        <v/>
      </c>
      <c r="F69">
        <f>IF($X69="","",IF(INDEX('Per Invoice'!F$2:F$401,$X69)="","",INDEX('Per Invoice'!F$2:F$401,$X69)))</f>
        <v/>
      </c>
      <c r="G69">
        <f>IF($X69="","",IF(INDEX('Per Invoice'!G$2:G$401,$X69)="","",INDEX('Per Invoice'!G$2:G$401,$X69)))</f>
        <v/>
      </c>
      <c r="H69">
        <f>IF($X69="","",IF(INDEX('Per Invoice'!H$2:H$401,$X69)="","",INDEX('Per Invoice'!H$2:H$401,$X69)))</f>
        <v/>
      </c>
      <c r="I69">
        <f>IF($X69="","",IF(INDEX('Per Invoice'!I$2:I$401,$X69)="","",INDEX('Per Invoice'!I$2:I$401,$X69)))</f>
        <v/>
      </c>
      <c r="J69">
        <f>IF($X69="","",IF(INDEX('Per Invoice'!J$2:J$401,$X69)="","",INDEX('Per Invoice'!J$2:J$401,$X69)))</f>
        <v/>
      </c>
      <c r="K69" s="14">
        <f>IF($X69="","",IF(INDEX('Per Invoice'!K$2:K$401,$X69)="","",INDEX('Per Invoice'!K$2:K$401,$X69)))</f>
        <v/>
      </c>
      <c r="L69">
        <f>IF($X69="","",IF(INDEX('Per Invoice'!L$2:L$401,$X69)="","",INDEX('Per Invoice'!L$2:L$401,$X69)))</f>
        <v/>
      </c>
      <c r="M69" s="7">
        <f>IF($X69="","",IF(INDEX('Per Invoice'!M$2:M$401,$X69)="","",INDEX('Per Invoice'!M$2:M$401,$X69)))</f>
        <v/>
      </c>
      <c r="N69">
        <f>IF($X69="","",IF(INDEX('Per Invoice'!N$2:N$401,$X69)="","",INDEX('Per Invoice'!N$2:N$401,$X69)))</f>
        <v/>
      </c>
      <c r="O69" s="7">
        <f>IF($X69="","",IF(INDEX('Per Invoice'!O$2:O$401,$X69)="","",INDEX('Per Invoice'!O$2:O$401,$X69)))</f>
        <v/>
      </c>
      <c r="P69" s="7">
        <f>IF($X69="","",IF(INDEX('Per Invoice'!P$2:P$401,$X69)="","",INDEX('Per Invoice'!P$2:P$401,$X69)))</f>
        <v/>
      </c>
      <c r="Q69">
        <f>IF($X69="","",IF(INDEX('Per Invoice'!Q$2:Q$401,$X69)="","",INDEX('Per Invoice'!Q$2:Q$401,$X69)))</f>
        <v/>
      </c>
      <c r="R69" s="7">
        <f>IF($X69="","",IF(INDEX('Per Invoice'!R$2:R$401,$X69)="","",INDEX('Per Invoice'!R$2:R$401,$X69)))</f>
        <v/>
      </c>
      <c r="S69" s="7">
        <f>IF($X69="","",IF(INDEX('Per Invoice'!S$2:S$401,$X69)="","",INDEX('Per Invoice'!S$2:S$401,$X69)))</f>
        <v/>
      </c>
      <c r="T69" s="7">
        <f>IF($X69="","",IF(INDEX('Per Invoice'!T$2:T$401,$X69)="","",INDEX('Per Invoice'!T$2:T$401,$X69)))</f>
        <v/>
      </c>
      <c r="U69" s="7">
        <f>IF($X69="","",IF(INDEX('Per Invoice'!U$2:U$401,$X69)="","",INDEX('Per Invoice'!U$2:U$401,$X69)))</f>
        <v/>
      </c>
      <c r="V69" s="7">
        <f>IF($X69="","",IF(INDEX('Per Invoice'!V$2:V$401,$X69)="","",INDEX('Per Invoice'!V$2:V$401,$X69)))</f>
        <v/>
      </c>
      <c r="W69" s="7">
        <f>IF($X69="","",IF(INDEX('Per Invoice'!W$2:W$401,$X69)="","",INDEX('Per Invoice'!W$2:W$401,$X69)))</f>
        <v/>
      </c>
      <c r="X69" s="16">
        <f>IFERROR(MATCH(Settings!$C$33&amp;"|"&amp;ROWS($X$2:$X69),'Per Invoice'!$Y$2:$Y$401,0),"")</f>
        <v/>
      </c>
    </row>
    <row r="70">
      <c r="A70">
        <f>IF($X70="","",IF(INDEX('Per Invoice'!A$2:A$401,$X70)="","",INDEX('Per Invoice'!A$2:A$401,$X70)))</f>
        <v/>
      </c>
      <c r="B70">
        <f>IF($X70="","",IF(INDEX('Per Invoice'!B$2:B$401,$X70)="","",INDEX('Per Invoice'!B$2:B$401,$X70)))</f>
        <v/>
      </c>
      <c r="C70">
        <f>IF($X70="","",IF(INDEX('Per Invoice'!C$2:C$401,$X70)="","",INDEX('Per Invoice'!C$2:C$401,$X70)))</f>
        <v/>
      </c>
      <c r="D70">
        <f>IF($X70="","",IF(INDEX('Per Invoice'!D$2:D$401,$X70)="","",INDEX('Per Invoice'!D$2:D$401,$X70)))</f>
        <v/>
      </c>
      <c r="E70">
        <f>IF($X70="","",IF(INDEX('Per Invoice'!E$2:E$401,$X70)="","",INDEX('Per Invoice'!E$2:E$401,$X70)))</f>
        <v/>
      </c>
      <c r="F70">
        <f>IF($X70="","",IF(INDEX('Per Invoice'!F$2:F$401,$X70)="","",INDEX('Per Invoice'!F$2:F$401,$X70)))</f>
        <v/>
      </c>
      <c r="G70">
        <f>IF($X70="","",IF(INDEX('Per Invoice'!G$2:G$401,$X70)="","",INDEX('Per Invoice'!G$2:G$401,$X70)))</f>
        <v/>
      </c>
      <c r="H70">
        <f>IF($X70="","",IF(INDEX('Per Invoice'!H$2:H$401,$X70)="","",INDEX('Per Invoice'!H$2:H$401,$X70)))</f>
        <v/>
      </c>
      <c r="I70">
        <f>IF($X70="","",IF(INDEX('Per Invoice'!I$2:I$401,$X70)="","",INDEX('Per Invoice'!I$2:I$401,$X70)))</f>
        <v/>
      </c>
      <c r="J70">
        <f>IF($X70="","",IF(INDEX('Per Invoice'!J$2:J$401,$X70)="","",INDEX('Per Invoice'!J$2:J$401,$X70)))</f>
        <v/>
      </c>
      <c r="K70" s="14">
        <f>IF($X70="","",IF(INDEX('Per Invoice'!K$2:K$401,$X70)="","",INDEX('Per Invoice'!K$2:K$401,$X70)))</f>
        <v/>
      </c>
      <c r="L70">
        <f>IF($X70="","",IF(INDEX('Per Invoice'!L$2:L$401,$X70)="","",INDEX('Per Invoice'!L$2:L$401,$X70)))</f>
        <v/>
      </c>
      <c r="M70" s="7">
        <f>IF($X70="","",IF(INDEX('Per Invoice'!M$2:M$401,$X70)="","",INDEX('Per Invoice'!M$2:M$401,$X70)))</f>
        <v/>
      </c>
      <c r="N70">
        <f>IF($X70="","",IF(INDEX('Per Invoice'!N$2:N$401,$X70)="","",INDEX('Per Invoice'!N$2:N$401,$X70)))</f>
        <v/>
      </c>
      <c r="O70" s="7">
        <f>IF($X70="","",IF(INDEX('Per Invoice'!O$2:O$401,$X70)="","",INDEX('Per Invoice'!O$2:O$401,$X70)))</f>
        <v/>
      </c>
      <c r="P70" s="7">
        <f>IF($X70="","",IF(INDEX('Per Invoice'!P$2:P$401,$X70)="","",INDEX('Per Invoice'!P$2:P$401,$X70)))</f>
        <v/>
      </c>
      <c r="Q70">
        <f>IF($X70="","",IF(INDEX('Per Invoice'!Q$2:Q$401,$X70)="","",INDEX('Per Invoice'!Q$2:Q$401,$X70)))</f>
        <v/>
      </c>
      <c r="R70" s="7">
        <f>IF($X70="","",IF(INDEX('Per Invoice'!R$2:R$401,$X70)="","",INDEX('Per Invoice'!R$2:R$401,$X70)))</f>
        <v/>
      </c>
      <c r="S70" s="7">
        <f>IF($X70="","",IF(INDEX('Per Invoice'!S$2:S$401,$X70)="","",INDEX('Per Invoice'!S$2:S$401,$X70)))</f>
        <v/>
      </c>
      <c r="T70" s="7">
        <f>IF($X70="","",IF(INDEX('Per Invoice'!T$2:T$401,$X70)="","",INDEX('Per Invoice'!T$2:T$401,$X70)))</f>
        <v/>
      </c>
      <c r="U70" s="7">
        <f>IF($X70="","",IF(INDEX('Per Invoice'!U$2:U$401,$X70)="","",INDEX('Per Invoice'!U$2:U$401,$X70)))</f>
        <v/>
      </c>
      <c r="V70" s="7">
        <f>IF($X70="","",IF(INDEX('Per Invoice'!V$2:V$401,$X70)="","",INDEX('Per Invoice'!V$2:V$401,$X70)))</f>
        <v/>
      </c>
      <c r="W70" s="7">
        <f>IF($X70="","",IF(INDEX('Per Invoice'!W$2:W$401,$X70)="","",INDEX('Per Invoice'!W$2:W$401,$X70)))</f>
        <v/>
      </c>
      <c r="X70" s="16">
        <f>IFERROR(MATCH(Settings!$C$33&amp;"|"&amp;ROWS($X$2:$X70),'Per Invoice'!$Y$2:$Y$401,0),"")</f>
        <v/>
      </c>
    </row>
    <row r="71">
      <c r="A71">
        <f>IF($X71="","",IF(INDEX('Per Invoice'!A$2:A$401,$X71)="","",INDEX('Per Invoice'!A$2:A$401,$X71)))</f>
        <v/>
      </c>
      <c r="B71">
        <f>IF($X71="","",IF(INDEX('Per Invoice'!B$2:B$401,$X71)="","",INDEX('Per Invoice'!B$2:B$401,$X71)))</f>
        <v/>
      </c>
      <c r="C71">
        <f>IF($X71="","",IF(INDEX('Per Invoice'!C$2:C$401,$X71)="","",INDEX('Per Invoice'!C$2:C$401,$X71)))</f>
        <v/>
      </c>
      <c r="D71">
        <f>IF($X71="","",IF(INDEX('Per Invoice'!D$2:D$401,$X71)="","",INDEX('Per Invoice'!D$2:D$401,$X71)))</f>
        <v/>
      </c>
      <c r="E71">
        <f>IF($X71="","",IF(INDEX('Per Invoice'!E$2:E$401,$X71)="","",INDEX('Per Invoice'!E$2:E$401,$X71)))</f>
        <v/>
      </c>
      <c r="F71">
        <f>IF($X71="","",IF(INDEX('Per Invoice'!F$2:F$401,$X71)="","",INDEX('Per Invoice'!F$2:F$401,$X71)))</f>
        <v/>
      </c>
      <c r="G71">
        <f>IF($X71="","",IF(INDEX('Per Invoice'!G$2:G$401,$X71)="","",INDEX('Per Invoice'!G$2:G$401,$X71)))</f>
        <v/>
      </c>
      <c r="H71">
        <f>IF($X71="","",IF(INDEX('Per Invoice'!H$2:H$401,$X71)="","",INDEX('Per Invoice'!H$2:H$401,$X71)))</f>
        <v/>
      </c>
      <c r="I71">
        <f>IF($X71="","",IF(INDEX('Per Invoice'!I$2:I$401,$X71)="","",INDEX('Per Invoice'!I$2:I$401,$X71)))</f>
        <v/>
      </c>
      <c r="J71">
        <f>IF($X71="","",IF(INDEX('Per Invoice'!J$2:J$401,$X71)="","",INDEX('Per Invoice'!J$2:J$401,$X71)))</f>
        <v/>
      </c>
      <c r="K71" s="14">
        <f>IF($X71="","",IF(INDEX('Per Invoice'!K$2:K$401,$X71)="","",INDEX('Per Invoice'!K$2:K$401,$X71)))</f>
        <v/>
      </c>
      <c r="L71">
        <f>IF($X71="","",IF(INDEX('Per Invoice'!L$2:L$401,$X71)="","",INDEX('Per Invoice'!L$2:L$401,$X71)))</f>
        <v/>
      </c>
      <c r="M71" s="7">
        <f>IF($X71="","",IF(INDEX('Per Invoice'!M$2:M$401,$X71)="","",INDEX('Per Invoice'!M$2:M$401,$X71)))</f>
        <v/>
      </c>
      <c r="N71">
        <f>IF($X71="","",IF(INDEX('Per Invoice'!N$2:N$401,$X71)="","",INDEX('Per Invoice'!N$2:N$401,$X71)))</f>
        <v/>
      </c>
      <c r="O71" s="7">
        <f>IF($X71="","",IF(INDEX('Per Invoice'!O$2:O$401,$X71)="","",INDEX('Per Invoice'!O$2:O$401,$X71)))</f>
        <v/>
      </c>
      <c r="P71" s="7">
        <f>IF($X71="","",IF(INDEX('Per Invoice'!P$2:P$401,$X71)="","",INDEX('Per Invoice'!P$2:P$401,$X71)))</f>
        <v/>
      </c>
      <c r="Q71">
        <f>IF($X71="","",IF(INDEX('Per Invoice'!Q$2:Q$401,$X71)="","",INDEX('Per Invoice'!Q$2:Q$401,$X71)))</f>
        <v/>
      </c>
      <c r="R71" s="7">
        <f>IF($X71="","",IF(INDEX('Per Invoice'!R$2:R$401,$X71)="","",INDEX('Per Invoice'!R$2:R$401,$X71)))</f>
        <v/>
      </c>
      <c r="S71" s="7">
        <f>IF($X71="","",IF(INDEX('Per Invoice'!S$2:S$401,$X71)="","",INDEX('Per Invoice'!S$2:S$401,$X71)))</f>
        <v/>
      </c>
      <c r="T71" s="7">
        <f>IF($X71="","",IF(INDEX('Per Invoice'!T$2:T$401,$X71)="","",INDEX('Per Invoice'!T$2:T$401,$X71)))</f>
        <v/>
      </c>
      <c r="U71" s="7">
        <f>IF($X71="","",IF(INDEX('Per Invoice'!U$2:U$401,$X71)="","",INDEX('Per Invoice'!U$2:U$401,$X71)))</f>
        <v/>
      </c>
      <c r="V71" s="7">
        <f>IF($X71="","",IF(INDEX('Per Invoice'!V$2:V$401,$X71)="","",INDEX('Per Invoice'!V$2:V$401,$X71)))</f>
        <v/>
      </c>
      <c r="W71" s="7">
        <f>IF($X71="","",IF(INDEX('Per Invoice'!W$2:W$401,$X71)="","",INDEX('Per Invoice'!W$2:W$401,$X71)))</f>
        <v/>
      </c>
      <c r="X71" s="16">
        <f>IFERROR(MATCH(Settings!$C$33&amp;"|"&amp;ROWS($X$2:$X71),'Per Invoice'!$Y$2:$Y$401,0),"")</f>
        <v/>
      </c>
    </row>
    <row r="72">
      <c r="A72">
        <f>IF($X72="","",IF(INDEX('Per Invoice'!A$2:A$401,$X72)="","",INDEX('Per Invoice'!A$2:A$401,$X72)))</f>
        <v/>
      </c>
      <c r="B72">
        <f>IF($X72="","",IF(INDEX('Per Invoice'!B$2:B$401,$X72)="","",INDEX('Per Invoice'!B$2:B$401,$X72)))</f>
        <v/>
      </c>
      <c r="C72">
        <f>IF($X72="","",IF(INDEX('Per Invoice'!C$2:C$401,$X72)="","",INDEX('Per Invoice'!C$2:C$401,$X72)))</f>
        <v/>
      </c>
      <c r="D72">
        <f>IF($X72="","",IF(INDEX('Per Invoice'!D$2:D$401,$X72)="","",INDEX('Per Invoice'!D$2:D$401,$X72)))</f>
        <v/>
      </c>
      <c r="E72">
        <f>IF($X72="","",IF(INDEX('Per Invoice'!E$2:E$401,$X72)="","",INDEX('Per Invoice'!E$2:E$401,$X72)))</f>
        <v/>
      </c>
      <c r="F72">
        <f>IF($X72="","",IF(INDEX('Per Invoice'!F$2:F$401,$X72)="","",INDEX('Per Invoice'!F$2:F$401,$X72)))</f>
        <v/>
      </c>
      <c r="G72">
        <f>IF($X72="","",IF(INDEX('Per Invoice'!G$2:G$401,$X72)="","",INDEX('Per Invoice'!G$2:G$401,$X72)))</f>
        <v/>
      </c>
      <c r="H72">
        <f>IF($X72="","",IF(INDEX('Per Invoice'!H$2:H$401,$X72)="","",INDEX('Per Invoice'!H$2:H$401,$X72)))</f>
        <v/>
      </c>
      <c r="I72">
        <f>IF($X72="","",IF(INDEX('Per Invoice'!I$2:I$401,$X72)="","",INDEX('Per Invoice'!I$2:I$401,$X72)))</f>
        <v/>
      </c>
      <c r="J72">
        <f>IF($X72="","",IF(INDEX('Per Invoice'!J$2:J$401,$X72)="","",INDEX('Per Invoice'!J$2:J$401,$X72)))</f>
        <v/>
      </c>
      <c r="K72" s="14">
        <f>IF($X72="","",IF(INDEX('Per Invoice'!K$2:K$401,$X72)="","",INDEX('Per Invoice'!K$2:K$401,$X72)))</f>
        <v/>
      </c>
      <c r="L72">
        <f>IF($X72="","",IF(INDEX('Per Invoice'!L$2:L$401,$X72)="","",INDEX('Per Invoice'!L$2:L$401,$X72)))</f>
        <v/>
      </c>
      <c r="M72" s="7">
        <f>IF($X72="","",IF(INDEX('Per Invoice'!M$2:M$401,$X72)="","",INDEX('Per Invoice'!M$2:M$401,$X72)))</f>
        <v/>
      </c>
      <c r="N72">
        <f>IF($X72="","",IF(INDEX('Per Invoice'!N$2:N$401,$X72)="","",INDEX('Per Invoice'!N$2:N$401,$X72)))</f>
        <v/>
      </c>
      <c r="O72" s="7">
        <f>IF($X72="","",IF(INDEX('Per Invoice'!O$2:O$401,$X72)="","",INDEX('Per Invoice'!O$2:O$401,$X72)))</f>
        <v/>
      </c>
      <c r="P72" s="7">
        <f>IF($X72="","",IF(INDEX('Per Invoice'!P$2:P$401,$X72)="","",INDEX('Per Invoice'!P$2:P$401,$X72)))</f>
        <v/>
      </c>
      <c r="Q72">
        <f>IF($X72="","",IF(INDEX('Per Invoice'!Q$2:Q$401,$X72)="","",INDEX('Per Invoice'!Q$2:Q$401,$X72)))</f>
        <v/>
      </c>
      <c r="R72" s="7">
        <f>IF($X72="","",IF(INDEX('Per Invoice'!R$2:R$401,$X72)="","",INDEX('Per Invoice'!R$2:R$401,$X72)))</f>
        <v/>
      </c>
      <c r="S72" s="7">
        <f>IF($X72="","",IF(INDEX('Per Invoice'!S$2:S$401,$X72)="","",INDEX('Per Invoice'!S$2:S$401,$X72)))</f>
        <v/>
      </c>
      <c r="T72" s="7">
        <f>IF($X72="","",IF(INDEX('Per Invoice'!T$2:T$401,$X72)="","",INDEX('Per Invoice'!T$2:T$401,$X72)))</f>
        <v/>
      </c>
      <c r="U72" s="7">
        <f>IF($X72="","",IF(INDEX('Per Invoice'!U$2:U$401,$X72)="","",INDEX('Per Invoice'!U$2:U$401,$X72)))</f>
        <v/>
      </c>
      <c r="V72" s="7">
        <f>IF($X72="","",IF(INDEX('Per Invoice'!V$2:V$401,$X72)="","",INDEX('Per Invoice'!V$2:V$401,$X72)))</f>
        <v/>
      </c>
      <c r="W72" s="7">
        <f>IF($X72="","",IF(INDEX('Per Invoice'!W$2:W$401,$X72)="","",INDEX('Per Invoice'!W$2:W$401,$X72)))</f>
        <v/>
      </c>
      <c r="X72" s="16">
        <f>IFERROR(MATCH(Settings!$C$33&amp;"|"&amp;ROWS($X$2:$X72),'Per Invoice'!$Y$2:$Y$401,0),"")</f>
        <v/>
      </c>
    </row>
    <row r="73">
      <c r="A73">
        <f>IF($X73="","",IF(INDEX('Per Invoice'!A$2:A$401,$X73)="","",INDEX('Per Invoice'!A$2:A$401,$X73)))</f>
        <v/>
      </c>
      <c r="B73">
        <f>IF($X73="","",IF(INDEX('Per Invoice'!B$2:B$401,$X73)="","",INDEX('Per Invoice'!B$2:B$401,$X73)))</f>
        <v/>
      </c>
      <c r="C73">
        <f>IF($X73="","",IF(INDEX('Per Invoice'!C$2:C$401,$X73)="","",INDEX('Per Invoice'!C$2:C$401,$X73)))</f>
        <v/>
      </c>
      <c r="D73">
        <f>IF($X73="","",IF(INDEX('Per Invoice'!D$2:D$401,$X73)="","",INDEX('Per Invoice'!D$2:D$401,$X73)))</f>
        <v/>
      </c>
      <c r="E73">
        <f>IF($X73="","",IF(INDEX('Per Invoice'!E$2:E$401,$X73)="","",INDEX('Per Invoice'!E$2:E$401,$X73)))</f>
        <v/>
      </c>
      <c r="F73">
        <f>IF($X73="","",IF(INDEX('Per Invoice'!F$2:F$401,$X73)="","",INDEX('Per Invoice'!F$2:F$401,$X73)))</f>
        <v/>
      </c>
      <c r="G73">
        <f>IF($X73="","",IF(INDEX('Per Invoice'!G$2:G$401,$X73)="","",INDEX('Per Invoice'!G$2:G$401,$X73)))</f>
        <v/>
      </c>
      <c r="H73">
        <f>IF($X73="","",IF(INDEX('Per Invoice'!H$2:H$401,$X73)="","",INDEX('Per Invoice'!H$2:H$401,$X73)))</f>
        <v/>
      </c>
      <c r="I73">
        <f>IF($X73="","",IF(INDEX('Per Invoice'!I$2:I$401,$X73)="","",INDEX('Per Invoice'!I$2:I$401,$X73)))</f>
        <v/>
      </c>
      <c r="J73">
        <f>IF($X73="","",IF(INDEX('Per Invoice'!J$2:J$401,$X73)="","",INDEX('Per Invoice'!J$2:J$401,$X73)))</f>
        <v/>
      </c>
      <c r="K73" s="14">
        <f>IF($X73="","",IF(INDEX('Per Invoice'!K$2:K$401,$X73)="","",INDEX('Per Invoice'!K$2:K$401,$X73)))</f>
        <v/>
      </c>
      <c r="L73">
        <f>IF($X73="","",IF(INDEX('Per Invoice'!L$2:L$401,$X73)="","",INDEX('Per Invoice'!L$2:L$401,$X73)))</f>
        <v/>
      </c>
      <c r="M73" s="7">
        <f>IF($X73="","",IF(INDEX('Per Invoice'!M$2:M$401,$X73)="","",INDEX('Per Invoice'!M$2:M$401,$X73)))</f>
        <v/>
      </c>
      <c r="N73">
        <f>IF($X73="","",IF(INDEX('Per Invoice'!N$2:N$401,$X73)="","",INDEX('Per Invoice'!N$2:N$401,$X73)))</f>
        <v/>
      </c>
      <c r="O73" s="7">
        <f>IF($X73="","",IF(INDEX('Per Invoice'!O$2:O$401,$X73)="","",INDEX('Per Invoice'!O$2:O$401,$X73)))</f>
        <v/>
      </c>
      <c r="P73" s="7">
        <f>IF($X73="","",IF(INDEX('Per Invoice'!P$2:P$401,$X73)="","",INDEX('Per Invoice'!P$2:P$401,$X73)))</f>
        <v/>
      </c>
      <c r="Q73">
        <f>IF($X73="","",IF(INDEX('Per Invoice'!Q$2:Q$401,$X73)="","",INDEX('Per Invoice'!Q$2:Q$401,$X73)))</f>
        <v/>
      </c>
      <c r="R73" s="7">
        <f>IF($X73="","",IF(INDEX('Per Invoice'!R$2:R$401,$X73)="","",INDEX('Per Invoice'!R$2:R$401,$X73)))</f>
        <v/>
      </c>
      <c r="S73" s="7">
        <f>IF($X73="","",IF(INDEX('Per Invoice'!S$2:S$401,$X73)="","",INDEX('Per Invoice'!S$2:S$401,$X73)))</f>
        <v/>
      </c>
      <c r="T73" s="7">
        <f>IF($X73="","",IF(INDEX('Per Invoice'!T$2:T$401,$X73)="","",INDEX('Per Invoice'!T$2:T$401,$X73)))</f>
        <v/>
      </c>
      <c r="U73" s="7">
        <f>IF($X73="","",IF(INDEX('Per Invoice'!U$2:U$401,$X73)="","",INDEX('Per Invoice'!U$2:U$401,$X73)))</f>
        <v/>
      </c>
      <c r="V73" s="7">
        <f>IF($X73="","",IF(INDEX('Per Invoice'!V$2:V$401,$X73)="","",INDEX('Per Invoice'!V$2:V$401,$X73)))</f>
        <v/>
      </c>
      <c r="W73" s="7">
        <f>IF($X73="","",IF(INDEX('Per Invoice'!W$2:W$401,$X73)="","",INDEX('Per Invoice'!W$2:W$401,$X73)))</f>
        <v/>
      </c>
      <c r="X73" s="16">
        <f>IFERROR(MATCH(Settings!$C$33&amp;"|"&amp;ROWS($X$2:$X73),'Per Invoice'!$Y$2:$Y$401,0),"")</f>
        <v/>
      </c>
    </row>
    <row r="74">
      <c r="A74">
        <f>IF($X74="","",IF(INDEX('Per Invoice'!A$2:A$401,$X74)="","",INDEX('Per Invoice'!A$2:A$401,$X74)))</f>
        <v/>
      </c>
      <c r="B74">
        <f>IF($X74="","",IF(INDEX('Per Invoice'!B$2:B$401,$X74)="","",INDEX('Per Invoice'!B$2:B$401,$X74)))</f>
        <v/>
      </c>
      <c r="C74">
        <f>IF($X74="","",IF(INDEX('Per Invoice'!C$2:C$401,$X74)="","",INDEX('Per Invoice'!C$2:C$401,$X74)))</f>
        <v/>
      </c>
      <c r="D74">
        <f>IF($X74="","",IF(INDEX('Per Invoice'!D$2:D$401,$X74)="","",INDEX('Per Invoice'!D$2:D$401,$X74)))</f>
        <v/>
      </c>
      <c r="E74">
        <f>IF($X74="","",IF(INDEX('Per Invoice'!E$2:E$401,$X74)="","",INDEX('Per Invoice'!E$2:E$401,$X74)))</f>
        <v/>
      </c>
      <c r="F74">
        <f>IF($X74="","",IF(INDEX('Per Invoice'!F$2:F$401,$X74)="","",INDEX('Per Invoice'!F$2:F$401,$X74)))</f>
        <v/>
      </c>
      <c r="G74">
        <f>IF($X74="","",IF(INDEX('Per Invoice'!G$2:G$401,$X74)="","",INDEX('Per Invoice'!G$2:G$401,$X74)))</f>
        <v/>
      </c>
      <c r="H74">
        <f>IF($X74="","",IF(INDEX('Per Invoice'!H$2:H$401,$X74)="","",INDEX('Per Invoice'!H$2:H$401,$X74)))</f>
        <v/>
      </c>
      <c r="I74">
        <f>IF($X74="","",IF(INDEX('Per Invoice'!I$2:I$401,$X74)="","",INDEX('Per Invoice'!I$2:I$401,$X74)))</f>
        <v/>
      </c>
      <c r="J74">
        <f>IF($X74="","",IF(INDEX('Per Invoice'!J$2:J$401,$X74)="","",INDEX('Per Invoice'!J$2:J$401,$X74)))</f>
        <v/>
      </c>
      <c r="K74" s="14">
        <f>IF($X74="","",IF(INDEX('Per Invoice'!K$2:K$401,$X74)="","",INDEX('Per Invoice'!K$2:K$401,$X74)))</f>
        <v/>
      </c>
      <c r="L74">
        <f>IF($X74="","",IF(INDEX('Per Invoice'!L$2:L$401,$X74)="","",INDEX('Per Invoice'!L$2:L$401,$X74)))</f>
        <v/>
      </c>
      <c r="M74" s="7">
        <f>IF($X74="","",IF(INDEX('Per Invoice'!M$2:M$401,$X74)="","",INDEX('Per Invoice'!M$2:M$401,$X74)))</f>
        <v/>
      </c>
      <c r="N74">
        <f>IF($X74="","",IF(INDEX('Per Invoice'!N$2:N$401,$X74)="","",INDEX('Per Invoice'!N$2:N$401,$X74)))</f>
        <v/>
      </c>
      <c r="O74" s="7">
        <f>IF($X74="","",IF(INDEX('Per Invoice'!O$2:O$401,$X74)="","",INDEX('Per Invoice'!O$2:O$401,$X74)))</f>
        <v/>
      </c>
      <c r="P74" s="7">
        <f>IF($X74="","",IF(INDEX('Per Invoice'!P$2:P$401,$X74)="","",INDEX('Per Invoice'!P$2:P$401,$X74)))</f>
        <v/>
      </c>
      <c r="Q74">
        <f>IF($X74="","",IF(INDEX('Per Invoice'!Q$2:Q$401,$X74)="","",INDEX('Per Invoice'!Q$2:Q$401,$X74)))</f>
        <v/>
      </c>
      <c r="R74" s="7">
        <f>IF($X74="","",IF(INDEX('Per Invoice'!R$2:R$401,$X74)="","",INDEX('Per Invoice'!R$2:R$401,$X74)))</f>
        <v/>
      </c>
      <c r="S74" s="7">
        <f>IF($X74="","",IF(INDEX('Per Invoice'!S$2:S$401,$X74)="","",INDEX('Per Invoice'!S$2:S$401,$X74)))</f>
        <v/>
      </c>
      <c r="T74" s="7">
        <f>IF($X74="","",IF(INDEX('Per Invoice'!T$2:T$401,$X74)="","",INDEX('Per Invoice'!T$2:T$401,$X74)))</f>
        <v/>
      </c>
      <c r="U74" s="7">
        <f>IF($X74="","",IF(INDEX('Per Invoice'!U$2:U$401,$X74)="","",INDEX('Per Invoice'!U$2:U$401,$X74)))</f>
        <v/>
      </c>
      <c r="V74" s="7">
        <f>IF($X74="","",IF(INDEX('Per Invoice'!V$2:V$401,$X74)="","",INDEX('Per Invoice'!V$2:V$401,$X74)))</f>
        <v/>
      </c>
      <c r="W74" s="7">
        <f>IF($X74="","",IF(INDEX('Per Invoice'!W$2:W$401,$X74)="","",INDEX('Per Invoice'!W$2:W$401,$X74)))</f>
        <v/>
      </c>
      <c r="X74" s="16">
        <f>IFERROR(MATCH(Settings!$C$33&amp;"|"&amp;ROWS($X$2:$X74),'Per Invoice'!$Y$2:$Y$401,0),"")</f>
        <v/>
      </c>
    </row>
    <row r="75">
      <c r="A75">
        <f>IF($X75="","",IF(INDEX('Per Invoice'!A$2:A$401,$X75)="","",INDEX('Per Invoice'!A$2:A$401,$X75)))</f>
        <v/>
      </c>
      <c r="B75">
        <f>IF($X75="","",IF(INDEX('Per Invoice'!B$2:B$401,$X75)="","",INDEX('Per Invoice'!B$2:B$401,$X75)))</f>
        <v/>
      </c>
      <c r="C75">
        <f>IF($X75="","",IF(INDEX('Per Invoice'!C$2:C$401,$X75)="","",INDEX('Per Invoice'!C$2:C$401,$X75)))</f>
        <v/>
      </c>
      <c r="D75">
        <f>IF($X75="","",IF(INDEX('Per Invoice'!D$2:D$401,$X75)="","",INDEX('Per Invoice'!D$2:D$401,$X75)))</f>
        <v/>
      </c>
      <c r="E75">
        <f>IF($X75="","",IF(INDEX('Per Invoice'!E$2:E$401,$X75)="","",INDEX('Per Invoice'!E$2:E$401,$X75)))</f>
        <v/>
      </c>
      <c r="F75">
        <f>IF($X75="","",IF(INDEX('Per Invoice'!F$2:F$401,$X75)="","",INDEX('Per Invoice'!F$2:F$401,$X75)))</f>
        <v/>
      </c>
      <c r="G75">
        <f>IF($X75="","",IF(INDEX('Per Invoice'!G$2:G$401,$X75)="","",INDEX('Per Invoice'!G$2:G$401,$X75)))</f>
        <v/>
      </c>
      <c r="H75">
        <f>IF($X75="","",IF(INDEX('Per Invoice'!H$2:H$401,$X75)="","",INDEX('Per Invoice'!H$2:H$401,$X75)))</f>
        <v/>
      </c>
      <c r="I75">
        <f>IF($X75="","",IF(INDEX('Per Invoice'!I$2:I$401,$X75)="","",INDEX('Per Invoice'!I$2:I$401,$X75)))</f>
        <v/>
      </c>
      <c r="J75">
        <f>IF($X75="","",IF(INDEX('Per Invoice'!J$2:J$401,$X75)="","",INDEX('Per Invoice'!J$2:J$401,$X75)))</f>
        <v/>
      </c>
      <c r="K75" s="14">
        <f>IF($X75="","",IF(INDEX('Per Invoice'!K$2:K$401,$X75)="","",INDEX('Per Invoice'!K$2:K$401,$X75)))</f>
        <v/>
      </c>
      <c r="L75">
        <f>IF($X75="","",IF(INDEX('Per Invoice'!L$2:L$401,$X75)="","",INDEX('Per Invoice'!L$2:L$401,$X75)))</f>
        <v/>
      </c>
      <c r="M75" s="7">
        <f>IF($X75="","",IF(INDEX('Per Invoice'!M$2:M$401,$X75)="","",INDEX('Per Invoice'!M$2:M$401,$X75)))</f>
        <v/>
      </c>
      <c r="N75">
        <f>IF($X75="","",IF(INDEX('Per Invoice'!N$2:N$401,$X75)="","",INDEX('Per Invoice'!N$2:N$401,$X75)))</f>
        <v/>
      </c>
      <c r="O75" s="7">
        <f>IF($X75="","",IF(INDEX('Per Invoice'!O$2:O$401,$X75)="","",INDEX('Per Invoice'!O$2:O$401,$X75)))</f>
        <v/>
      </c>
      <c r="P75" s="7">
        <f>IF($X75="","",IF(INDEX('Per Invoice'!P$2:P$401,$X75)="","",INDEX('Per Invoice'!P$2:P$401,$X75)))</f>
        <v/>
      </c>
      <c r="Q75">
        <f>IF($X75="","",IF(INDEX('Per Invoice'!Q$2:Q$401,$X75)="","",INDEX('Per Invoice'!Q$2:Q$401,$X75)))</f>
        <v/>
      </c>
      <c r="R75" s="7">
        <f>IF($X75="","",IF(INDEX('Per Invoice'!R$2:R$401,$X75)="","",INDEX('Per Invoice'!R$2:R$401,$X75)))</f>
        <v/>
      </c>
      <c r="S75" s="7">
        <f>IF($X75="","",IF(INDEX('Per Invoice'!S$2:S$401,$X75)="","",INDEX('Per Invoice'!S$2:S$401,$X75)))</f>
        <v/>
      </c>
      <c r="T75" s="7">
        <f>IF($X75="","",IF(INDEX('Per Invoice'!T$2:T$401,$X75)="","",INDEX('Per Invoice'!T$2:T$401,$X75)))</f>
        <v/>
      </c>
      <c r="U75" s="7">
        <f>IF($X75="","",IF(INDEX('Per Invoice'!U$2:U$401,$X75)="","",INDEX('Per Invoice'!U$2:U$401,$X75)))</f>
        <v/>
      </c>
      <c r="V75" s="7">
        <f>IF($X75="","",IF(INDEX('Per Invoice'!V$2:V$401,$X75)="","",INDEX('Per Invoice'!V$2:V$401,$X75)))</f>
        <v/>
      </c>
      <c r="W75" s="7">
        <f>IF($X75="","",IF(INDEX('Per Invoice'!W$2:W$401,$X75)="","",INDEX('Per Invoice'!W$2:W$401,$X75)))</f>
        <v/>
      </c>
      <c r="X75" s="16">
        <f>IFERROR(MATCH(Settings!$C$33&amp;"|"&amp;ROWS($X$2:$X75),'Per Invoice'!$Y$2:$Y$401,0),"")</f>
        <v/>
      </c>
    </row>
    <row r="76">
      <c r="A76">
        <f>IF($X76="","",IF(INDEX('Per Invoice'!A$2:A$401,$X76)="","",INDEX('Per Invoice'!A$2:A$401,$X76)))</f>
        <v/>
      </c>
      <c r="B76">
        <f>IF($X76="","",IF(INDEX('Per Invoice'!B$2:B$401,$X76)="","",INDEX('Per Invoice'!B$2:B$401,$X76)))</f>
        <v/>
      </c>
      <c r="C76">
        <f>IF($X76="","",IF(INDEX('Per Invoice'!C$2:C$401,$X76)="","",INDEX('Per Invoice'!C$2:C$401,$X76)))</f>
        <v/>
      </c>
      <c r="D76">
        <f>IF($X76="","",IF(INDEX('Per Invoice'!D$2:D$401,$X76)="","",INDEX('Per Invoice'!D$2:D$401,$X76)))</f>
        <v/>
      </c>
      <c r="E76">
        <f>IF($X76="","",IF(INDEX('Per Invoice'!E$2:E$401,$X76)="","",INDEX('Per Invoice'!E$2:E$401,$X76)))</f>
        <v/>
      </c>
      <c r="F76">
        <f>IF($X76="","",IF(INDEX('Per Invoice'!F$2:F$401,$X76)="","",INDEX('Per Invoice'!F$2:F$401,$X76)))</f>
        <v/>
      </c>
      <c r="G76">
        <f>IF($X76="","",IF(INDEX('Per Invoice'!G$2:G$401,$X76)="","",INDEX('Per Invoice'!G$2:G$401,$X76)))</f>
        <v/>
      </c>
      <c r="H76">
        <f>IF($X76="","",IF(INDEX('Per Invoice'!H$2:H$401,$X76)="","",INDEX('Per Invoice'!H$2:H$401,$X76)))</f>
        <v/>
      </c>
      <c r="I76">
        <f>IF($X76="","",IF(INDEX('Per Invoice'!I$2:I$401,$X76)="","",INDEX('Per Invoice'!I$2:I$401,$X76)))</f>
        <v/>
      </c>
      <c r="J76">
        <f>IF($X76="","",IF(INDEX('Per Invoice'!J$2:J$401,$X76)="","",INDEX('Per Invoice'!J$2:J$401,$X76)))</f>
        <v/>
      </c>
      <c r="K76" s="14">
        <f>IF($X76="","",IF(INDEX('Per Invoice'!K$2:K$401,$X76)="","",INDEX('Per Invoice'!K$2:K$401,$X76)))</f>
        <v/>
      </c>
      <c r="L76">
        <f>IF($X76="","",IF(INDEX('Per Invoice'!L$2:L$401,$X76)="","",INDEX('Per Invoice'!L$2:L$401,$X76)))</f>
        <v/>
      </c>
      <c r="M76" s="7">
        <f>IF($X76="","",IF(INDEX('Per Invoice'!M$2:M$401,$X76)="","",INDEX('Per Invoice'!M$2:M$401,$X76)))</f>
        <v/>
      </c>
      <c r="N76">
        <f>IF($X76="","",IF(INDEX('Per Invoice'!N$2:N$401,$X76)="","",INDEX('Per Invoice'!N$2:N$401,$X76)))</f>
        <v/>
      </c>
      <c r="O76" s="7">
        <f>IF($X76="","",IF(INDEX('Per Invoice'!O$2:O$401,$X76)="","",INDEX('Per Invoice'!O$2:O$401,$X76)))</f>
        <v/>
      </c>
      <c r="P76" s="7">
        <f>IF($X76="","",IF(INDEX('Per Invoice'!P$2:P$401,$X76)="","",INDEX('Per Invoice'!P$2:P$401,$X76)))</f>
        <v/>
      </c>
      <c r="Q76">
        <f>IF($X76="","",IF(INDEX('Per Invoice'!Q$2:Q$401,$X76)="","",INDEX('Per Invoice'!Q$2:Q$401,$X76)))</f>
        <v/>
      </c>
      <c r="R76" s="7">
        <f>IF($X76="","",IF(INDEX('Per Invoice'!R$2:R$401,$X76)="","",INDEX('Per Invoice'!R$2:R$401,$X76)))</f>
        <v/>
      </c>
      <c r="S76" s="7">
        <f>IF($X76="","",IF(INDEX('Per Invoice'!S$2:S$401,$X76)="","",INDEX('Per Invoice'!S$2:S$401,$X76)))</f>
        <v/>
      </c>
      <c r="T76" s="7">
        <f>IF($X76="","",IF(INDEX('Per Invoice'!T$2:T$401,$X76)="","",INDEX('Per Invoice'!T$2:T$401,$X76)))</f>
        <v/>
      </c>
      <c r="U76" s="7">
        <f>IF($X76="","",IF(INDEX('Per Invoice'!U$2:U$401,$X76)="","",INDEX('Per Invoice'!U$2:U$401,$X76)))</f>
        <v/>
      </c>
      <c r="V76" s="7">
        <f>IF($X76="","",IF(INDEX('Per Invoice'!V$2:V$401,$X76)="","",INDEX('Per Invoice'!V$2:V$401,$X76)))</f>
        <v/>
      </c>
      <c r="W76" s="7">
        <f>IF($X76="","",IF(INDEX('Per Invoice'!W$2:W$401,$X76)="","",INDEX('Per Invoice'!W$2:W$401,$X76)))</f>
        <v/>
      </c>
      <c r="X76" s="16">
        <f>IFERROR(MATCH(Settings!$C$33&amp;"|"&amp;ROWS($X$2:$X76),'Per Invoice'!$Y$2:$Y$401,0),"")</f>
        <v/>
      </c>
    </row>
    <row r="77">
      <c r="A77">
        <f>IF($X77="","",IF(INDEX('Per Invoice'!A$2:A$401,$X77)="","",INDEX('Per Invoice'!A$2:A$401,$X77)))</f>
        <v/>
      </c>
      <c r="B77">
        <f>IF($X77="","",IF(INDEX('Per Invoice'!B$2:B$401,$X77)="","",INDEX('Per Invoice'!B$2:B$401,$X77)))</f>
        <v/>
      </c>
      <c r="C77">
        <f>IF($X77="","",IF(INDEX('Per Invoice'!C$2:C$401,$X77)="","",INDEX('Per Invoice'!C$2:C$401,$X77)))</f>
        <v/>
      </c>
      <c r="D77">
        <f>IF($X77="","",IF(INDEX('Per Invoice'!D$2:D$401,$X77)="","",INDEX('Per Invoice'!D$2:D$401,$X77)))</f>
        <v/>
      </c>
      <c r="E77">
        <f>IF($X77="","",IF(INDEX('Per Invoice'!E$2:E$401,$X77)="","",INDEX('Per Invoice'!E$2:E$401,$X77)))</f>
        <v/>
      </c>
      <c r="F77">
        <f>IF($X77="","",IF(INDEX('Per Invoice'!F$2:F$401,$X77)="","",INDEX('Per Invoice'!F$2:F$401,$X77)))</f>
        <v/>
      </c>
      <c r="G77">
        <f>IF($X77="","",IF(INDEX('Per Invoice'!G$2:G$401,$X77)="","",INDEX('Per Invoice'!G$2:G$401,$X77)))</f>
        <v/>
      </c>
      <c r="H77">
        <f>IF($X77="","",IF(INDEX('Per Invoice'!H$2:H$401,$X77)="","",INDEX('Per Invoice'!H$2:H$401,$X77)))</f>
        <v/>
      </c>
      <c r="I77">
        <f>IF($X77="","",IF(INDEX('Per Invoice'!I$2:I$401,$X77)="","",INDEX('Per Invoice'!I$2:I$401,$X77)))</f>
        <v/>
      </c>
      <c r="J77">
        <f>IF($X77="","",IF(INDEX('Per Invoice'!J$2:J$401,$X77)="","",INDEX('Per Invoice'!J$2:J$401,$X77)))</f>
        <v/>
      </c>
      <c r="K77" s="14">
        <f>IF($X77="","",IF(INDEX('Per Invoice'!K$2:K$401,$X77)="","",INDEX('Per Invoice'!K$2:K$401,$X77)))</f>
        <v/>
      </c>
      <c r="L77">
        <f>IF($X77="","",IF(INDEX('Per Invoice'!L$2:L$401,$X77)="","",INDEX('Per Invoice'!L$2:L$401,$X77)))</f>
        <v/>
      </c>
      <c r="M77" s="7">
        <f>IF($X77="","",IF(INDEX('Per Invoice'!M$2:M$401,$X77)="","",INDEX('Per Invoice'!M$2:M$401,$X77)))</f>
        <v/>
      </c>
      <c r="N77">
        <f>IF($X77="","",IF(INDEX('Per Invoice'!N$2:N$401,$X77)="","",INDEX('Per Invoice'!N$2:N$401,$X77)))</f>
        <v/>
      </c>
      <c r="O77" s="7">
        <f>IF($X77="","",IF(INDEX('Per Invoice'!O$2:O$401,$X77)="","",INDEX('Per Invoice'!O$2:O$401,$X77)))</f>
        <v/>
      </c>
      <c r="P77" s="7">
        <f>IF($X77="","",IF(INDEX('Per Invoice'!P$2:P$401,$X77)="","",INDEX('Per Invoice'!P$2:P$401,$X77)))</f>
        <v/>
      </c>
      <c r="Q77">
        <f>IF($X77="","",IF(INDEX('Per Invoice'!Q$2:Q$401,$X77)="","",INDEX('Per Invoice'!Q$2:Q$401,$X77)))</f>
        <v/>
      </c>
      <c r="R77" s="7">
        <f>IF($X77="","",IF(INDEX('Per Invoice'!R$2:R$401,$X77)="","",INDEX('Per Invoice'!R$2:R$401,$X77)))</f>
        <v/>
      </c>
      <c r="S77" s="7">
        <f>IF($X77="","",IF(INDEX('Per Invoice'!S$2:S$401,$X77)="","",INDEX('Per Invoice'!S$2:S$401,$X77)))</f>
        <v/>
      </c>
      <c r="T77" s="7">
        <f>IF($X77="","",IF(INDEX('Per Invoice'!T$2:T$401,$X77)="","",INDEX('Per Invoice'!T$2:T$401,$X77)))</f>
        <v/>
      </c>
      <c r="U77" s="7">
        <f>IF($X77="","",IF(INDEX('Per Invoice'!U$2:U$401,$X77)="","",INDEX('Per Invoice'!U$2:U$401,$X77)))</f>
        <v/>
      </c>
      <c r="V77" s="7">
        <f>IF($X77="","",IF(INDEX('Per Invoice'!V$2:V$401,$X77)="","",INDEX('Per Invoice'!V$2:V$401,$X77)))</f>
        <v/>
      </c>
      <c r="W77" s="7">
        <f>IF($X77="","",IF(INDEX('Per Invoice'!W$2:W$401,$X77)="","",INDEX('Per Invoice'!W$2:W$401,$X77)))</f>
        <v/>
      </c>
      <c r="X77" s="16">
        <f>IFERROR(MATCH(Settings!$C$33&amp;"|"&amp;ROWS($X$2:$X77),'Per Invoice'!$Y$2:$Y$401,0),"")</f>
        <v/>
      </c>
    </row>
    <row r="78">
      <c r="A78">
        <f>IF($X78="","",IF(INDEX('Per Invoice'!A$2:A$401,$X78)="","",INDEX('Per Invoice'!A$2:A$401,$X78)))</f>
        <v/>
      </c>
      <c r="B78">
        <f>IF($X78="","",IF(INDEX('Per Invoice'!B$2:B$401,$X78)="","",INDEX('Per Invoice'!B$2:B$401,$X78)))</f>
        <v/>
      </c>
      <c r="C78">
        <f>IF($X78="","",IF(INDEX('Per Invoice'!C$2:C$401,$X78)="","",INDEX('Per Invoice'!C$2:C$401,$X78)))</f>
        <v/>
      </c>
      <c r="D78">
        <f>IF($X78="","",IF(INDEX('Per Invoice'!D$2:D$401,$X78)="","",INDEX('Per Invoice'!D$2:D$401,$X78)))</f>
        <v/>
      </c>
      <c r="E78">
        <f>IF($X78="","",IF(INDEX('Per Invoice'!E$2:E$401,$X78)="","",INDEX('Per Invoice'!E$2:E$401,$X78)))</f>
        <v/>
      </c>
      <c r="F78">
        <f>IF($X78="","",IF(INDEX('Per Invoice'!F$2:F$401,$X78)="","",INDEX('Per Invoice'!F$2:F$401,$X78)))</f>
        <v/>
      </c>
      <c r="G78">
        <f>IF($X78="","",IF(INDEX('Per Invoice'!G$2:G$401,$X78)="","",INDEX('Per Invoice'!G$2:G$401,$X78)))</f>
        <v/>
      </c>
      <c r="H78">
        <f>IF($X78="","",IF(INDEX('Per Invoice'!H$2:H$401,$X78)="","",INDEX('Per Invoice'!H$2:H$401,$X78)))</f>
        <v/>
      </c>
      <c r="I78">
        <f>IF($X78="","",IF(INDEX('Per Invoice'!I$2:I$401,$X78)="","",INDEX('Per Invoice'!I$2:I$401,$X78)))</f>
        <v/>
      </c>
      <c r="J78">
        <f>IF($X78="","",IF(INDEX('Per Invoice'!J$2:J$401,$X78)="","",INDEX('Per Invoice'!J$2:J$401,$X78)))</f>
        <v/>
      </c>
      <c r="K78" s="14">
        <f>IF($X78="","",IF(INDEX('Per Invoice'!K$2:K$401,$X78)="","",INDEX('Per Invoice'!K$2:K$401,$X78)))</f>
        <v/>
      </c>
      <c r="L78">
        <f>IF($X78="","",IF(INDEX('Per Invoice'!L$2:L$401,$X78)="","",INDEX('Per Invoice'!L$2:L$401,$X78)))</f>
        <v/>
      </c>
      <c r="M78" s="7">
        <f>IF($X78="","",IF(INDEX('Per Invoice'!M$2:M$401,$X78)="","",INDEX('Per Invoice'!M$2:M$401,$X78)))</f>
        <v/>
      </c>
      <c r="N78">
        <f>IF($X78="","",IF(INDEX('Per Invoice'!N$2:N$401,$X78)="","",INDEX('Per Invoice'!N$2:N$401,$X78)))</f>
        <v/>
      </c>
      <c r="O78" s="7">
        <f>IF($X78="","",IF(INDEX('Per Invoice'!O$2:O$401,$X78)="","",INDEX('Per Invoice'!O$2:O$401,$X78)))</f>
        <v/>
      </c>
      <c r="P78" s="7">
        <f>IF($X78="","",IF(INDEX('Per Invoice'!P$2:P$401,$X78)="","",INDEX('Per Invoice'!P$2:P$401,$X78)))</f>
        <v/>
      </c>
      <c r="Q78">
        <f>IF($X78="","",IF(INDEX('Per Invoice'!Q$2:Q$401,$X78)="","",INDEX('Per Invoice'!Q$2:Q$401,$X78)))</f>
        <v/>
      </c>
      <c r="R78" s="7">
        <f>IF($X78="","",IF(INDEX('Per Invoice'!R$2:R$401,$X78)="","",INDEX('Per Invoice'!R$2:R$401,$X78)))</f>
        <v/>
      </c>
      <c r="S78" s="7">
        <f>IF($X78="","",IF(INDEX('Per Invoice'!S$2:S$401,$X78)="","",INDEX('Per Invoice'!S$2:S$401,$X78)))</f>
        <v/>
      </c>
      <c r="T78" s="7">
        <f>IF($X78="","",IF(INDEX('Per Invoice'!T$2:T$401,$X78)="","",INDEX('Per Invoice'!T$2:T$401,$X78)))</f>
        <v/>
      </c>
      <c r="U78" s="7">
        <f>IF($X78="","",IF(INDEX('Per Invoice'!U$2:U$401,$X78)="","",INDEX('Per Invoice'!U$2:U$401,$X78)))</f>
        <v/>
      </c>
      <c r="V78" s="7">
        <f>IF($X78="","",IF(INDEX('Per Invoice'!V$2:V$401,$X78)="","",INDEX('Per Invoice'!V$2:V$401,$X78)))</f>
        <v/>
      </c>
      <c r="W78" s="7">
        <f>IF($X78="","",IF(INDEX('Per Invoice'!W$2:W$401,$X78)="","",INDEX('Per Invoice'!W$2:W$401,$X78)))</f>
        <v/>
      </c>
      <c r="X78" s="16">
        <f>IFERROR(MATCH(Settings!$C$33&amp;"|"&amp;ROWS($X$2:$X78),'Per Invoice'!$Y$2:$Y$401,0),"")</f>
        <v/>
      </c>
    </row>
    <row r="79">
      <c r="A79">
        <f>IF($X79="","",IF(INDEX('Per Invoice'!A$2:A$401,$X79)="","",INDEX('Per Invoice'!A$2:A$401,$X79)))</f>
        <v/>
      </c>
      <c r="B79">
        <f>IF($X79="","",IF(INDEX('Per Invoice'!B$2:B$401,$X79)="","",INDEX('Per Invoice'!B$2:B$401,$X79)))</f>
        <v/>
      </c>
      <c r="C79">
        <f>IF($X79="","",IF(INDEX('Per Invoice'!C$2:C$401,$X79)="","",INDEX('Per Invoice'!C$2:C$401,$X79)))</f>
        <v/>
      </c>
      <c r="D79">
        <f>IF($X79="","",IF(INDEX('Per Invoice'!D$2:D$401,$X79)="","",INDEX('Per Invoice'!D$2:D$401,$X79)))</f>
        <v/>
      </c>
      <c r="E79">
        <f>IF($X79="","",IF(INDEX('Per Invoice'!E$2:E$401,$X79)="","",INDEX('Per Invoice'!E$2:E$401,$X79)))</f>
        <v/>
      </c>
      <c r="F79">
        <f>IF($X79="","",IF(INDEX('Per Invoice'!F$2:F$401,$X79)="","",INDEX('Per Invoice'!F$2:F$401,$X79)))</f>
        <v/>
      </c>
      <c r="G79">
        <f>IF($X79="","",IF(INDEX('Per Invoice'!G$2:G$401,$X79)="","",INDEX('Per Invoice'!G$2:G$401,$X79)))</f>
        <v/>
      </c>
      <c r="H79">
        <f>IF($X79="","",IF(INDEX('Per Invoice'!H$2:H$401,$X79)="","",INDEX('Per Invoice'!H$2:H$401,$X79)))</f>
        <v/>
      </c>
      <c r="I79">
        <f>IF($X79="","",IF(INDEX('Per Invoice'!I$2:I$401,$X79)="","",INDEX('Per Invoice'!I$2:I$401,$X79)))</f>
        <v/>
      </c>
      <c r="J79">
        <f>IF($X79="","",IF(INDEX('Per Invoice'!J$2:J$401,$X79)="","",INDEX('Per Invoice'!J$2:J$401,$X79)))</f>
        <v/>
      </c>
      <c r="K79" s="14">
        <f>IF($X79="","",IF(INDEX('Per Invoice'!K$2:K$401,$X79)="","",INDEX('Per Invoice'!K$2:K$401,$X79)))</f>
        <v/>
      </c>
      <c r="L79">
        <f>IF($X79="","",IF(INDEX('Per Invoice'!L$2:L$401,$X79)="","",INDEX('Per Invoice'!L$2:L$401,$X79)))</f>
        <v/>
      </c>
      <c r="M79" s="7">
        <f>IF($X79="","",IF(INDEX('Per Invoice'!M$2:M$401,$X79)="","",INDEX('Per Invoice'!M$2:M$401,$X79)))</f>
        <v/>
      </c>
      <c r="N79">
        <f>IF($X79="","",IF(INDEX('Per Invoice'!N$2:N$401,$X79)="","",INDEX('Per Invoice'!N$2:N$401,$X79)))</f>
        <v/>
      </c>
      <c r="O79" s="7">
        <f>IF($X79="","",IF(INDEX('Per Invoice'!O$2:O$401,$X79)="","",INDEX('Per Invoice'!O$2:O$401,$X79)))</f>
        <v/>
      </c>
      <c r="P79" s="7">
        <f>IF($X79="","",IF(INDEX('Per Invoice'!P$2:P$401,$X79)="","",INDEX('Per Invoice'!P$2:P$401,$X79)))</f>
        <v/>
      </c>
      <c r="Q79">
        <f>IF($X79="","",IF(INDEX('Per Invoice'!Q$2:Q$401,$X79)="","",INDEX('Per Invoice'!Q$2:Q$401,$X79)))</f>
        <v/>
      </c>
      <c r="R79" s="7">
        <f>IF($X79="","",IF(INDEX('Per Invoice'!R$2:R$401,$X79)="","",INDEX('Per Invoice'!R$2:R$401,$X79)))</f>
        <v/>
      </c>
      <c r="S79" s="7">
        <f>IF($X79="","",IF(INDEX('Per Invoice'!S$2:S$401,$X79)="","",INDEX('Per Invoice'!S$2:S$401,$X79)))</f>
        <v/>
      </c>
      <c r="T79" s="7">
        <f>IF($X79="","",IF(INDEX('Per Invoice'!T$2:T$401,$X79)="","",INDEX('Per Invoice'!T$2:T$401,$X79)))</f>
        <v/>
      </c>
      <c r="U79" s="7">
        <f>IF($X79="","",IF(INDEX('Per Invoice'!U$2:U$401,$X79)="","",INDEX('Per Invoice'!U$2:U$401,$X79)))</f>
        <v/>
      </c>
      <c r="V79" s="7">
        <f>IF($X79="","",IF(INDEX('Per Invoice'!V$2:V$401,$X79)="","",INDEX('Per Invoice'!V$2:V$401,$X79)))</f>
        <v/>
      </c>
      <c r="W79" s="7">
        <f>IF($X79="","",IF(INDEX('Per Invoice'!W$2:W$401,$X79)="","",INDEX('Per Invoice'!W$2:W$401,$X79)))</f>
        <v/>
      </c>
      <c r="X79" s="16">
        <f>IFERROR(MATCH(Settings!$C$33&amp;"|"&amp;ROWS($X$2:$X79),'Per Invoice'!$Y$2:$Y$401,0),"")</f>
        <v/>
      </c>
    </row>
    <row r="80">
      <c r="A80">
        <f>IF($X80="","",IF(INDEX('Per Invoice'!A$2:A$401,$X80)="","",INDEX('Per Invoice'!A$2:A$401,$X80)))</f>
        <v/>
      </c>
      <c r="B80">
        <f>IF($X80="","",IF(INDEX('Per Invoice'!B$2:B$401,$X80)="","",INDEX('Per Invoice'!B$2:B$401,$X80)))</f>
        <v/>
      </c>
      <c r="C80">
        <f>IF($X80="","",IF(INDEX('Per Invoice'!C$2:C$401,$X80)="","",INDEX('Per Invoice'!C$2:C$401,$X80)))</f>
        <v/>
      </c>
      <c r="D80">
        <f>IF($X80="","",IF(INDEX('Per Invoice'!D$2:D$401,$X80)="","",INDEX('Per Invoice'!D$2:D$401,$X80)))</f>
        <v/>
      </c>
      <c r="E80">
        <f>IF($X80="","",IF(INDEX('Per Invoice'!E$2:E$401,$X80)="","",INDEX('Per Invoice'!E$2:E$401,$X80)))</f>
        <v/>
      </c>
      <c r="F80">
        <f>IF($X80="","",IF(INDEX('Per Invoice'!F$2:F$401,$X80)="","",INDEX('Per Invoice'!F$2:F$401,$X80)))</f>
        <v/>
      </c>
      <c r="G80">
        <f>IF($X80="","",IF(INDEX('Per Invoice'!G$2:G$401,$X80)="","",INDEX('Per Invoice'!G$2:G$401,$X80)))</f>
        <v/>
      </c>
      <c r="H80">
        <f>IF($X80="","",IF(INDEX('Per Invoice'!H$2:H$401,$X80)="","",INDEX('Per Invoice'!H$2:H$401,$X80)))</f>
        <v/>
      </c>
      <c r="I80">
        <f>IF($X80="","",IF(INDEX('Per Invoice'!I$2:I$401,$X80)="","",INDEX('Per Invoice'!I$2:I$401,$X80)))</f>
        <v/>
      </c>
      <c r="J80">
        <f>IF($X80="","",IF(INDEX('Per Invoice'!J$2:J$401,$X80)="","",INDEX('Per Invoice'!J$2:J$401,$X80)))</f>
        <v/>
      </c>
      <c r="K80" s="14">
        <f>IF($X80="","",IF(INDEX('Per Invoice'!K$2:K$401,$X80)="","",INDEX('Per Invoice'!K$2:K$401,$X80)))</f>
        <v/>
      </c>
      <c r="L80">
        <f>IF($X80="","",IF(INDEX('Per Invoice'!L$2:L$401,$X80)="","",INDEX('Per Invoice'!L$2:L$401,$X80)))</f>
        <v/>
      </c>
      <c r="M80" s="7">
        <f>IF($X80="","",IF(INDEX('Per Invoice'!M$2:M$401,$X80)="","",INDEX('Per Invoice'!M$2:M$401,$X80)))</f>
        <v/>
      </c>
      <c r="N80">
        <f>IF($X80="","",IF(INDEX('Per Invoice'!N$2:N$401,$X80)="","",INDEX('Per Invoice'!N$2:N$401,$X80)))</f>
        <v/>
      </c>
      <c r="O80" s="7">
        <f>IF($X80="","",IF(INDEX('Per Invoice'!O$2:O$401,$X80)="","",INDEX('Per Invoice'!O$2:O$401,$X80)))</f>
        <v/>
      </c>
      <c r="P80" s="7">
        <f>IF($X80="","",IF(INDEX('Per Invoice'!P$2:P$401,$X80)="","",INDEX('Per Invoice'!P$2:P$401,$X80)))</f>
        <v/>
      </c>
      <c r="Q80">
        <f>IF($X80="","",IF(INDEX('Per Invoice'!Q$2:Q$401,$X80)="","",INDEX('Per Invoice'!Q$2:Q$401,$X80)))</f>
        <v/>
      </c>
      <c r="R80" s="7">
        <f>IF($X80="","",IF(INDEX('Per Invoice'!R$2:R$401,$X80)="","",INDEX('Per Invoice'!R$2:R$401,$X80)))</f>
        <v/>
      </c>
      <c r="S80" s="7">
        <f>IF($X80="","",IF(INDEX('Per Invoice'!S$2:S$401,$X80)="","",INDEX('Per Invoice'!S$2:S$401,$X80)))</f>
        <v/>
      </c>
      <c r="T80" s="7">
        <f>IF($X80="","",IF(INDEX('Per Invoice'!T$2:T$401,$X80)="","",INDEX('Per Invoice'!T$2:T$401,$X80)))</f>
        <v/>
      </c>
      <c r="U80" s="7">
        <f>IF($X80="","",IF(INDEX('Per Invoice'!U$2:U$401,$X80)="","",INDEX('Per Invoice'!U$2:U$401,$X80)))</f>
        <v/>
      </c>
      <c r="V80" s="7">
        <f>IF($X80="","",IF(INDEX('Per Invoice'!V$2:V$401,$X80)="","",INDEX('Per Invoice'!V$2:V$401,$X80)))</f>
        <v/>
      </c>
      <c r="W80" s="7">
        <f>IF($X80="","",IF(INDEX('Per Invoice'!W$2:W$401,$X80)="","",INDEX('Per Invoice'!W$2:W$401,$X80)))</f>
        <v/>
      </c>
      <c r="X80" s="16">
        <f>IFERROR(MATCH(Settings!$C$33&amp;"|"&amp;ROWS($X$2:$X80),'Per Invoice'!$Y$2:$Y$401,0),"")</f>
        <v/>
      </c>
    </row>
    <row r="81">
      <c r="A81">
        <f>IF($X81="","",IF(INDEX('Per Invoice'!A$2:A$401,$X81)="","",INDEX('Per Invoice'!A$2:A$401,$X81)))</f>
        <v/>
      </c>
      <c r="B81">
        <f>IF($X81="","",IF(INDEX('Per Invoice'!B$2:B$401,$X81)="","",INDEX('Per Invoice'!B$2:B$401,$X81)))</f>
        <v/>
      </c>
      <c r="C81">
        <f>IF($X81="","",IF(INDEX('Per Invoice'!C$2:C$401,$X81)="","",INDEX('Per Invoice'!C$2:C$401,$X81)))</f>
        <v/>
      </c>
      <c r="D81">
        <f>IF($X81="","",IF(INDEX('Per Invoice'!D$2:D$401,$X81)="","",INDEX('Per Invoice'!D$2:D$401,$X81)))</f>
        <v/>
      </c>
      <c r="E81">
        <f>IF($X81="","",IF(INDEX('Per Invoice'!E$2:E$401,$X81)="","",INDEX('Per Invoice'!E$2:E$401,$X81)))</f>
        <v/>
      </c>
      <c r="F81">
        <f>IF($X81="","",IF(INDEX('Per Invoice'!F$2:F$401,$X81)="","",INDEX('Per Invoice'!F$2:F$401,$X81)))</f>
        <v/>
      </c>
      <c r="G81">
        <f>IF($X81="","",IF(INDEX('Per Invoice'!G$2:G$401,$X81)="","",INDEX('Per Invoice'!G$2:G$401,$X81)))</f>
        <v/>
      </c>
      <c r="H81">
        <f>IF($X81="","",IF(INDEX('Per Invoice'!H$2:H$401,$X81)="","",INDEX('Per Invoice'!H$2:H$401,$X81)))</f>
        <v/>
      </c>
      <c r="I81">
        <f>IF($X81="","",IF(INDEX('Per Invoice'!I$2:I$401,$X81)="","",INDEX('Per Invoice'!I$2:I$401,$X81)))</f>
        <v/>
      </c>
      <c r="J81">
        <f>IF($X81="","",IF(INDEX('Per Invoice'!J$2:J$401,$X81)="","",INDEX('Per Invoice'!J$2:J$401,$X81)))</f>
        <v/>
      </c>
      <c r="K81" s="14">
        <f>IF($X81="","",IF(INDEX('Per Invoice'!K$2:K$401,$X81)="","",INDEX('Per Invoice'!K$2:K$401,$X81)))</f>
        <v/>
      </c>
      <c r="L81">
        <f>IF($X81="","",IF(INDEX('Per Invoice'!L$2:L$401,$X81)="","",INDEX('Per Invoice'!L$2:L$401,$X81)))</f>
        <v/>
      </c>
      <c r="M81" s="7">
        <f>IF($X81="","",IF(INDEX('Per Invoice'!M$2:M$401,$X81)="","",INDEX('Per Invoice'!M$2:M$401,$X81)))</f>
        <v/>
      </c>
      <c r="N81">
        <f>IF($X81="","",IF(INDEX('Per Invoice'!N$2:N$401,$X81)="","",INDEX('Per Invoice'!N$2:N$401,$X81)))</f>
        <v/>
      </c>
      <c r="O81" s="7">
        <f>IF($X81="","",IF(INDEX('Per Invoice'!O$2:O$401,$X81)="","",INDEX('Per Invoice'!O$2:O$401,$X81)))</f>
        <v/>
      </c>
      <c r="P81" s="7">
        <f>IF($X81="","",IF(INDEX('Per Invoice'!P$2:P$401,$X81)="","",INDEX('Per Invoice'!P$2:P$401,$X81)))</f>
        <v/>
      </c>
      <c r="Q81">
        <f>IF($X81="","",IF(INDEX('Per Invoice'!Q$2:Q$401,$X81)="","",INDEX('Per Invoice'!Q$2:Q$401,$X81)))</f>
        <v/>
      </c>
      <c r="R81" s="7">
        <f>IF($X81="","",IF(INDEX('Per Invoice'!R$2:R$401,$X81)="","",INDEX('Per Invoice'!R$2:R$401,$X81)))</f>
        <v/>
      </c>
      <c r="S81" s="7">
        <f>IF($X81="","",IF(INDEX('Per Invoice'!S$2:S$401,$X81)="","",INDEX('Per Invoice'!S$2:S$401,$X81)))</f>
        <v/>
      </c>
      <c r="T81" s="7">
        <f>IF($X81="","",IF(INDEX('Per Invoice'!T$2:T$401,$X81)="","",INDEX('Per Invoice'!T$2:T$401,$X81)))</f>
        <v/>
      </c>
      <c r="U81" s="7">
        <f>IF($X81="","",IF(INDEX('Per Invoice'!U$2:U$401,$X81)="","",INDEX('Per Invoice'!U$2:U$401,$X81)))</f>
        <v/>
      </c>
      <c r="V81" s="7">
        <f>IF($X81="","",IF(INDEX('Per Invoice'!V$2:V$401,$X81)="","",INDEX('Per Invoice'!V$2:V$401,$X81)))</f>
        <v/>
      </c>
      <c r="W81" s="7">
        <f>IF($X81="","",IF(INDEX('Per Invoice'!W$2:W$401,$X81)="","",INDEX('Per Invoice'!W$2:W$401,$X81)))</f>
        <v/>
      </c>
      <c r="X81" s="16">
        <f>IFERROR(MATCH(Settings!$C$33&amp;"|"&amp;ROWS($X$2:$X81),'Per Invoice'!$Y$2:$Y$401,0),"")</f>
        <v/>
      </c>
    </row>
    <row r="82">
      <c r="A82">
        <f>IF($X82="","",IF(INDEX('Per Invoice'!A$2:A$401,$X82)="","",INDEX('Per Invoice'!A$2:A$401,$X82)))</f>
        <v/>
      </c>
      <c r="B82">
        <f>IF($X82="","",IF(INDEX('Per Invoice'!B$2:B$401,$X82)="","",INDEX('Per Invoice'!B$2:B$401,$X82)))</f>
        <v/>
      </c>
      <c r="C82">
        <f>IF($X82="","",IF(INDEX('Per Invoice'!C$2:C$401,$X82)="","",INDEX('Per Invoice'!C$2:C$401,$X82)))</f>
        <v/>
      </c>
      <c r="D82">
        <f>IF($X82="","",IF(INDEX('Per Invoice'!D$2:D$401,$X82)="","",INDEX('Per Invoice'!D$2:D$401,$X82)))</f>
        <v/>
      </c>
      <c r="E82">
        <f>IF($X82="","",IF(INDEX('Per Invoice'!E$2:E$401,$X82)="","",INDEX('Per Invoice'!E$2:E$401,$X82)))</f>
        <v/>
      </c>
      <c r="F82">
        <f>IF($X82="","",IF(INDEX('Per Invoice'!F$2:F$401,$X82)="","",INDEX('Per Invoice'!F$2:F$401,$X82)))</f>
        <v/>
      </c>
      <c r="G82">
        <f>IF($X82="","",IF(INDEX('Per Invoice'!G$2:G$401,$X82)="","",INDEX('Per Invoice'!G$2:G$401,$X82)))</f>
        <v/>
      </c>
      <c r="H82">
        <f>IF($X82="","",IF(INDEX('Per Invoice'!H$2:H$401,$X82)="","",INDEX('Per Invoice'!H$2:H$401,$X82)))</f>
        <v/>
      </c>
      <c r="I82">
        <f>IF($X82="","",IF(INDEX('Per Invoice'!I$2:I$401,$X82)="","",INDEX('Per Invoice'!I$2:I$401,$X82)))</f>
        <v/>
      </c>
      <c r="J82">
        <f>IF($X82="","",IF(INDEX('Per Invoice'!J$2:J$401,$X82)="","",INDEX('Per Invoice'!J$2:J$401,$X82)))</f>
        <v/>
      </c>
      <c r="K82" s="14">
        <f>IF($X82="","",IF(INDEX('Per Invoice'!K$2:K$401,$X82)="","",INDEX('Per Invoice'!K$2:K$401,$X82)))</f>
        <v/>
      </c>
      <c r="L82">
        <f>IF($X82="","",IF(INDEX('Per Invoice'!L$2:L$401,$X82)="","",INDEX('Per Invoice'!L$2:L$401,$X82)))</f>
        <v/>
      </c>
      <c r="M82" s="7">
        <f>IF($X82="","",IF(INDEX('Per Invoice'!M$2:M$401,$X82)="","",INDEX('Per Invoice'!M$2:M$401,$X82)))</f>
        <v/>
      </c>
      <c r="N82">
        <f>IF($X82="","",IF(INDEX('Per Invoice'!N$2:N$401,$X82)="","",INDEX('Per Invoice'!N$2:N$401,$X82)))</f>
        <v/>
      </c>
      <c r="O82" s="7">
        <f>IF($X82="","",IF(INDEX('Per Invoice'!O$2:O$401,$X82)="","",INDEX('Per Invoice'!O$2:O$401,$X82)))</f>
        <v/>
      </c>
      <c r="P82" s="7">
        <f>IF($X82="","",IF(INDEX('Per Invoice'!P$2:P$401,$X82)="","",INDEX('Per Invoice'!P$2:P$401,$X82)))</f>
        <v/>
      </c>
      <c r="Q82">
        <f>IF($X82="","",IF(INDEX('Per Invoice'!Q$2:Q$401,$X82)="","",INDEX('Per Invoice'!Q$2:Q$401,$X82)))</f>
        <v/>
      </c>
      <c r="R82" s="7">
        <f>IF($X82="","",IF(INDEX('Per Invoice'!R$2:R$401,$X82)="","",INDEX('Per Invoice'!R$2:R$401,$X82)))</f>
        <v/>
      </c>
      <c r="S82" s="7">
        <f>IF($X82="","",IF(INDEX('Per Invoice'!S$2:S$401,$X82)="","",INDEX('Per Invoice'!S$2:S$401,$X82)))</f>
        <v/>
      </c>
      <c r="T82" s="7">
        <f>IF($X82="","",IF(INDEX('Per Invoice'!T$2:T$401,$X82)="","",INDEX('Per Invoice'!T$2:T$401,$X82)))</f>
        <v/>
      </c>
      <c r="U82" s="7">
        <f>IF($X82="","",IF(INDEX('Per Invoice'!U$2:U$401,$X82)="","",INDEX('Per Invoice'!U$2:U$401,$X82)))</f>
        <v/>
      </c>
      <c r="V82" s="7">
        <f>IF($X82="","",IF(INDEX('Per Invoice'!V$2:V$401,$X82)="","",INDEX('Per Invoice'!V$2:V$401,$X82)))</f>
        <v/>
      </c>
      <c r="W82" s="7">
        <f>IF($X82="","",IF(INDEX('Per Invoice'!W$2:W$401,$X82)="","",INDEX('Per Invoice'!W$2:W$401,$X82)))</f>
        <v/>
      </c>
      <c r="X82" s="16">
        <f>IFERROR(MATCH(Settings!$C$33&amp;"|"&amp;ROWS($X$2:$X82),'Per Invoice'!$Y$2:$Y$401,0),"")</f>
        <v/>
      </c>
    </row>
    <row r="83">
      <c r="A83">
        <f>IF($X83="","",IF(INDEX('Per Invoice'!A$2:A$401,$X83)="","",INDEX('Per Invoice'!A$2:A$401,$X83)))</f>
        <v/>
      </c>
      <c r="B83">
        <f>IF($X83="","",IF(INDEX('Per Invoice'!B$2:B$401,$X83)="","",INDEX('Per Invoice'!B$2:B$401,$X83)))</f>
        <v/>
      </c>
      <c r="C83">
        <f>IF($X83="","",IF(INDEX('Per Invoice'!C$2:C$401,$X83)="","",INDEX('Per Invoice'!C$2:C$401,$X83)))</f>
        <v/>
      </c>
      <c r="D83">
        <f>IF($X83="","",IF(INDEX('Per Invoice'!D$2:D$401,$X83)="","",INDEX('Per Invoice'!D$2:D$401,$X83)))</f>
        <v/>
      </c>
      <c r="E83">
        <f>IF($X83="","",IF(INDEX('Per Invoice'!E$2:E$401,$X83)="","",INDEX('Per Invoice'!E$2:E$401,$X83)))</f>
        <v/>
      </c>
      <c r="F83">
        <f>IF($X83="","",IF(INDEX('Per Invoice'!F$2:F$401,$X83)="","",INDEX('Per Invoice'!F$2:F$401,$X83)))</f>
        <v/>
      </c>
      <c r="G83">
        <f>IF($X83="","",IF(INDEX('Per Invoice'!G$2:G$401,$X83)="","",INDEX('Per Invoice'!G$2:G$401,$X83)))</f>
        <v/>
      </c>
      <c r="H83">
        <f>IF($X83="","",IF(INDEX('Per Invoice'!H$2:H$401,$X83)="","",INDEX('Per Invoice'!H$2:H$401,$X83)))</f>
        <v/>
      </c>
      <c r="I83">
        <f>IF($X83="","",IF(INDEX('Per Invoice'!I$2:I$401,$X83)="","",INDEX('Per Invoice'!I$2:I$401,$X83)))</f>
        <v/>
      </c>
      <c r="J83">
        <f>IF($X83="","",IF(INDEX('Per Invoice'!J$2:J$401,$X83)="","",INDEX('Per Invoice'!J$2:J$401,$X83)))</f>
        <v/>
      </c>
      <c r="K83" s="14">
        <f>IF($X83="","",IF(INDEX('Per Invoice'!K$2:K$401,$X83)="","",INDEX('Per Invoice'!K$2:K$401,$X83)))</f>
        <v/>
      </c>
      <c r="L83">
        <f>IF($X83="","",IF(INDEX('Per Invoice'!L$2:L$401,$X83)="","",INDEX('Per Invoice'!L$2:L$401,$X83)))</f>
        <v/>
      </c>
      <c r="M83" s="7">
        <f>IF($X83="","",IF(INDEX('Per Invoice'!M$2:M$401,$X83)="","",INDEX('Per Invoice'!M$2:M$401,$X83)))</f>
        <v/>
      </c>
      <c r="N83">
        <f>IF($X83="","",IF(INDEX('Per Invoice'!N$2:N$401,$X83)="","",INDEX('Per Invoice'!N$2:N$401,$X83)))</f>
        <v/>
      </c>
      <c r="O83" s="7">
        <f>IF($X83="","",IF(INDEX('Per Invoice'!O$2:O$401,$X83)="","",INDEX('Per Invoice'!O$2:O$401,$X83)))</f>
        <v/>
      </c>
      <c r="P83" s="7">
        <f>IF($X83="","",IF(INDEX('Per Invoice'!P$2:P$401,$X83)="","",INDEX('Per Invoice'!P$2:P$401,$X83)))</f>
        <v/>
      </c>
      <c r="Q83">
        <f>IF($X83="","",IF(INDEX('Per Invoice'!Q$2:Q$401,$X83)="","",INDEX('Per Invoice'!Q$2:Q$401,$X83)))</f>
        <v/>
      </c>
      <c r="R83" s="7">
        <f>IF($X83="","",IF(INDEX('Per Invoice'!R$2:R$401,$X83)="","",INDEX('Per Invoice'!R$2:R$401,$X83)))</f>
        <v/>
      </c>
      <c r="S83" s="7">
        <f>IF($X83="","",IF(INDEX('Per Invoice'!S$2:S$401,$X83)="","",INDEX('Per Invoice'!S$2:S$401,$X83)))</f>
        <v/>
      </c>
      <c r="T83" s="7">
        <f>IF($X83="","",IF(INDEX('Per Invoice'!T$2:T$401,$X83)="","",INDEX('Per Invoice'!T$2:T$401,$X83)))</f>
        <v/>
      </c>
      <c r="U83" s="7">
        <f>IF($X83="","",IF(INDEX('Per Invoice'!U$2:U$401,$X83)="","",INDEX('Per Invoice'!U$2:U$401,$X83)))</f>
        <v/>
      </c>
      <c r="V83" s="7">
        <f>IF($X83="","",IF(INDEX('Per Invoice'!V$2:V$401,$X83)="","",INDEX('Per Invoice'!V$2:V$401,$X83)))</f>
        <v/>
      </c>
      <c r="W83" s="7">
        <f>IF($X83="","",IF(INDEX('Per Invoice'!W$2:W$401,$X83)="","",INDEX('Per Invoice'!W$2:W$401,$X83)))</f>
        <v/>
      </c>
      <c r="X83" s="16">
        <f>IFERROR(MATCH(Settings!$C$33&amp;"|"&amp;ROWS($X$2:$X83),'Per Invoice'!$Y$2:$Y$401,0),"")</f>
        <v/>
      </c>
    </row>
    <row r="84">
      <c r="A84">
        <f>IF($X84="","",IF(INDEX('Per Invoice'!A$2:A$401,$X84)="","",INDEX('Per Invoice'!A$2:A$401,$X84)))</f>
        <v/>
      </c>
      <c r="B84">
        <f>IF($X84="","",IF(INDEX('Per Invoice'!B$2:B$401,$X84)="","",INDEX('Per Invoice'!B$2:B$401,$X84)))</f>
        <v/>
      </c>
      <c r="C84">
        <f>IF($X84="","",IF(INDEX('Per Invoice'!C$2:C$401,$X84)="","",INDEX('Per Invoice'!C$2:C$401,$X84)))</f>
        <v/>
      </c>
      <c r="D84">
        <f>IF($X84="","",IF(INDEX('Per Invoice'!D$2:D$401,$X84)="","",INDEX('Per Invoice'!D$2:D$401,$X84)))</f>
        <v/>
      </c>
      <c r="E84">
        <f>IF($X84="","",IF(INDEX('Per Invoice'!E$2:E$401,$X84)="","",INDEX('Per Invoice'!E$2:E$401,$X84)))</f>
        <v/>
      </c>
      <c r="F84">
        <f>IF($X84="","",IF(INDEX('Per Invoice'!F$2:F$401,$X84)="","",INDEX('Per Invoice'!F$2:F$401,$X84)))</f>
        <v/>
      </c>
      <c r="G84">
        <f>IF($X84="","",IF(INDEX('Per Invoice'!G$2:G$401,$X84)="","",INDEX('Per Invoice'!G$2:G$401,$X84)))</f>
        <v/>
      </c>
      <c r="H84">
        <f>IF($X84="","",IF(INDEX('Per Invoice'!H$2:H$401,$X84)="","",INDEX('Per Invoice'!H$2:H$401,$X84)))</f>
        <v/>
      </c>
      <c r="I84">
        <f>IF($X84="","",IF(INDEX('Per Invoice'!I$2:I$401,$X84)="","",INDEX('Per Invoice'!I$2:I$401,$X84)))</f>
        <v/>
      </c>
      <c r="J84">
        <f>IF($X84="","",IF(INDEX('Per Invoice'!J$2:J$401,$X84)="","",INDEX('Per Invoice'!J$2:J$401,$X84)))</f>
        <v/>
      </c>
      <c r="K84" s="14">
        <f>IF($X84="","",IF(INDEX('Per Invoice'!K$2:K$401,$X84)="","",INDEX('Per Invoice'!K$2:K$401,$X84)))</f>
        <v/>
      </c>
      <c r="L84">
        <f>IF($X84="","",IF(INDEX('Per Invoice'!L$2:L$401,$X84)="","",INDEX('Per Invoice'!L$2:L$401,$X84)))</f>
        <v/>
      </c>
      <c r="M84" s="7">
        <f>IF($X84="","",IF(INDEX('Per Invoice'!M$2:M$401,$X84)="","",INDEX('Per Invoice'!M$2:M$401,$X84)))</f>
        <v/>
      </c>
      <c r="N84">
        <f>IF($X84="","",IF(INDEX('Per Invoice'!N$2:N$401,$X84)="","",INDEX('Per Invoice'!N$2:N$401,$X84)))</f>
        <v/>
      </c>
      <c r="O84" s="7">
        <f>IF($X84="","",IF(INDEX('Per Invoice'!O$2:O$401,$X84)="","",INDEX('Per Invoice'!O$2:O$401,$X84)))</f>
        <v/>
      </c>
      <c r="P84" s="7">
        <f>IF($X84="","",IF(INDEX('Per Invoice'!P$2:P$401,$X84)="","",INDEX('Per Invoice'!P$2:P$401,$X84)))</f>
        <v/>
      </c>
      <c r="Q84">
        <f>IF($X84="","",IF(INDEX('Per Invoice'!Q$2:Q$401,$X84)="","",INDEX('Per Invoice'!Q$2:Q$401,$X84)))</f>
        <v/>
      </c>
      <c r="R84" s="7">
        <f>IF($X84="","",IF(INDEX('Per Invoice'!R$2:R$401,$X84)="","",INDEX('Per Invoice'!R$2:R$401,$X84)))</f>
        <v/>
      </c>
      <c r="S84" s="7">
        <f>IF($X84="","",IF(INDEX('Per Invoice'!S$2:S$401,$X84)="","",INDEX('Per Invoice'!S$2:S$401,$X84)))</f>
        <v/>
      </c>
      <c r="T84" s="7">
        <f>IF($X84="","",IF(INDEX('Per Invoice'!T$2:T$401,$X84)="","",INDEX('Per Invoice'!T$2:T$401,$X84)))</f>
        <v/>
      </c>
      <c r="U84" s="7">
        <f>IF($X84="","",IF(INDEX('Per Invoice'!U$2:U$401,$X84)="","",INDEX('Per Invoice'!U$2:U$401,$X84)))</f>
        <v/>
      </c>
      <c r="V84" s="7">
        <f>IF($X84="","",IF(INDEX('Per Invoice'!V$2:V$401,$X84)="","",INDEX('Per Invoice'!V$2:V$401,$X84)))</f>
        <v/>
      </c>
      <c r="W84" s="7">
        <f>IF($X84="","",IF(INDEX('Per Invoice'!W$2:W$401,$X84)="","",INDEX('Per Invoice'!W$2:W$401,$X84)))</f>
        <v/>
      </c>
      <c r="X84" s="16">
        <f>IFERROR(MATCH(Settings!$C$33&amp;"|"&amp;ROWS($X$2:$X84),'Per Invoice'!$Y$2:$Y$401,0),"")</f>
        <v/>
      </c>
    </row>
    <row r="85">
      <c r="A85">
        <f>IF($X85="","",IF(INDEX('Per Invoice'!A$2:A$401,$X85)="","",INDEX('Per Invoice'!A$2:A$401,$X85)))</f>
        <v/>
      </c>
      <c r="B85">
        <f>IF($X85="","",IF(INDEX('Per Invoice'!B$2:B$401,$X85)="","",INDEX('Per Invoice'!B$2:B$401,$X85)))</f>
        <v/>
      </c>
      <c r="C85">
        <f>IF($X85="","",IF(INDEX('Per Invoice'!C$2:C$401,$X85)="","",INDEX('Per Invoice'!C$2:C$401,$X85)))</f>
        <v/>
      </c>
      <c r="D85">
        <f>IF($X85="","",IF(INDEX('Per Invoice'!D$2:D$401,$X85)="","",INDEX('Per Invoice'!D$2:D$401,$X85)))</f>
        <v/>
      </c>
      <c r="E85">
        <f>IF($X85="","",IF(INDEX('Per Invoice'!E$2:E$401,$X85)="","",INDEX('Per Invoice'!E$2:E$401,$X85)))</f>
        <v/>
      </c>
      <c r="F85">
        <f>IF($X85="","",IF(INDEX('Per Invoice'!F$2:F$401,$X85)="","",INDEX('Per Invoice'!F$2:F$401,$X85)))</f>
        <v/>
      </c>
      <c r="G85">
        <f>IF($X85="","",IF(INDEX('Per Invoice'!G$2:G$401,$X85)="","",INDEX('Per Invoice'!G$2:G$401,$X85)))</f>
        <v/>
      </c>
      <c r="H85">
        <f>IF($X85="","",IF(INDEX('Per Invoice'!H$2:H$401,$X85)="","",INDEX('Per Invoice'!H$2:H$401,$X85)))</f>
        <v/>
      </c>
      <c r="I85">
        <f>IF($X85="","",IF(INDEX('Per Invoice'!I$2:I$401,$X85)="","",INDEX('Per Invoice'!I$2:I$401,$X85)))</f>
        <v/>
      </c>
      <c r="J85">
        <f>IF($X85="","",IF(INDEX('Per Invoice'!J$2:J$401,$X85)="","",INDEX('Per Invoice'!J$2:J$401,$X85)))</f>
        <v/>
      </c>
      <c r="K85" s="14">
        <f>IF($X85="","",IF(INDEX('Per Invoice'!K$2:K$401,$X85)="","",INDEX('Per Invoice'!K$2:K$401,$X85)))</f>
        <v/>
      </c>
      <c r="L85">
        <f>IF($X85="","",IF(INDEX('Per Invoice'!L$2:L$401,$X85)="","",INDEX('Per Invoice'!L$2:L$401,$X85)))</f>
        <v/>
      </c>
      <c r="M85" s="7">
        <f>IF($X85="","",IF(INDEX('Per Invoice'!M$2:M$401,$X85)="","",INDEX('Per Invoice'!M$2:M$401,$X85)))</f>
        <v/>
      </c>
      <c r="N85">
        <f>IF($X85="","",IF(INDEX('Per Invoice'!N$2:N$401,$X85)="","",INDEX('Per Invoice'!N$2:N$401,$X85)))</f>
        <v/>
      </c>
      <c r="O85" s="7">
        <f>IF($X85="","",IF(INDEX('Per Invoice'!O$2:O$401,$X85)="","",INDEX('Per Invoice'!O$2:O$401,$X85)))</f>
        <v/>
      </c>
      <c r="P85" s="7">
        <f>IF($X85="","",IF(INDEX('Per Invoice'!P$2:P$401,$X85)="","",INDEX('Per Invoice'!P$2:P$401,$X85)))</f>
        <v/>
      </c>
      <c r="Q85">
        <f>IF($X85="","",IF(INDEX('Per Invoice'!Q$2:Q$401,$X85)="","",INDEX('Per Invoice'!Q$2:Q$401,$X85)))</f>
        <v/>
      </c>
      <c r="R85" s="7">
        <f>IF($X85="","",IF(INDEX('Per Invoice'!R$2:R$401,$X85)="","",INDEX('Per Invoice'!R$2:R$401,$X85)))</f>
        <v/>
      </c>
      <c r="S85" s="7">
        <f>IF($X85="","",IF(INDEX('Per Invoice'!S$2:S$401,$X85)="","",INDEX('Per Invoice'!S$2:S$401,$X85)))</f>
        <v/>
      </c>
      <c r="T85" s="7">
        <f>IF($X85="","",IF(INDEX('Per Invoice'!T$2:T$401,$X85)="","",INDEX('Per Invoice'!T$2:T$401,$X85)))</f>
        <v/>
      </c>
      <c r="U85" s="7">
        <f>IF($X85="","",IF(INDEX('Per Invoice'!U$2:U$401,$X85)="","",INDEX('Per Invoice'!U$2:U$401,$X85)))</f>
        <v/>
      </c>
      <c r="V85" s="7">
        <f>IF($X85="","",IF(INDEX('Per Invoice'!V$2:V$401,$X85)="","",INDEX('Per Invoice'!V$2:V$401,$X85)))</f>
        <v/>
      </c>
      <c r="W85" s="7">
        <f>IF($X85="","",IF(INDEX('Per Invoice'!W$2:W$401,$X85)="","",INDEX('Per Invoice'!W$2:W$401,$X85)))</f>
        <v/>
      </c>
      <c r="X85" s="16">
        <f>IFERROR(MATCH(Settings!$C$33&amp;"|"&amp;ROWS($X$2:$X85),'Per Invoice'!$Y$2:$Y$401,0),"")</f>
        <v/>
      </c>
    </row>
    <row r="86">
      <c r="A86">
        <f>IF($X86="","",IF(INDEX('Per Invoice'!A$2:A$401,$X86)="","",INDEX('Per Invoice'!A$2:A$401,$X86)))</f>
        <v/>
      </c>
      <c r="B86">
        <f>IF($X86="","",IF(INDEX('Per Invoice'!B$2:B$401,$X86)="","",INDEX('Per Invoice'!B$2:B$401,$X86)))</f>
        <v/>
      </c>
      <c r="C86">
        <f>IF($X86="","",IF(INDEX('Per Invoice'!C$2:C$401,$X86)="","",INDEX('Per Invoice'!C$2:C$401,$X86)))</f>
        <v/>
      </c>
      <c r="D86">
        <f>IF($X86="","",IF(INDEX('Per Invoice'!D$2:D$401,$X86)="","",INDEX('Per Invoice'!D$2:D$401,$X86)))</f>
        <v/>
      </c>
      <c r="E86">
        <f>IF($X86="","",IF(INDEX('Per Invoice'!E$2:E$401,$X86)="","",INDEX('Per Invoice'!E$2:E$401,$X86)))</f>
        <v/>
      </c>
      <c r="F86">
        <f>IF($X86="","",IF(INDEX('Per Invoice'!F$2:F$401,$X86)="","",INDEX('Per Invoice'!F$2:F$401,$X86)))</f>
        <v/>
      </c>
      <c r="G86">
        <f>IF($X86="","",IF(INDEX('Per Invoice'!G$2:G$401,$X86)="","",INDEX('Per Invoice'!G$2:G$401,$X86)))</f>
        <v/>
      </c>
      <c r="H86">
        <f>IF($X86="","",IF(INDEX('Per Invoice'!H$2:H$401,$X86)="","",INDEX('Per Invoice'!H$2:H$401,$X86)))</f>
        <v/>
      </c>
      <c r="I86">
        <f>IF($X86="","",IF(INDEX('Per Invoice'!I$2:I$401,$X86)="","",INDEX('Per Invoice'!I$2:I$401,$X86)))</f>
        <v/>
      </c>
      <c r="J86">
        <f>IF($X86="","",IF(INDEX('Per Invoice'!J$2:J$401,$X86)="","",INDEX('Per Invoice'!J$2:J$401,$X86)))</f>
        <v/>
      </c>
      <c r="K86" s="14">
        <f>IF($X86="","",IF(INDEX('Per Invoice'!K$2:K$401,$X86)="","",INDEX('Per Invoice'!K$2:K$401,$X86)))</f>
        <v/>
      </c>
      <c r="L86">
        <f>IF($X86="","",IF(INDEX('Per Invoice'!L$2:L$401,$X86)="","",INDEX('Per Invoice'!L$2:L$401,$X86)))</f>
        <v/>
      </c>
      <c r="M86" s="7">
        <f>IF($X86="","",IF(INDEX('Per Invoice'!M$2:M$401,$X86)="","",INDEX('Per Invoice'!M$2:M$401,$X86)))</f>
        <v/>
      </c>
      <c r="N86">
        <f>IF($X86="","",IF(INDEX('Per Invoice'!N$2:N$401,$X86)="","",INDEX('Per Invoice'!N$2:N$401,$X86)))</f>
        <v/>
      </c>
      <c r="O86" s="7">
        <f>IF($X86="","",IF(INDEX('Per Invoice'!O$2:O$401,$X86)="","",INDEX('Per Invoice'!O$2:O$401,$X86)))</f>
        <v/>
      </c>
      <c r="P86" s="7">
        <f>IF($X86="","",IF(INDEX('Per Invoice'!P$2:P$401,$X86)="","",INDEX('Per Invoice'!P$2:P$401,$X86)))</f>
        <v/>
      </c>
      <c r="Q86">
        <f>IF($X86="","",IF(INDEX('Per Invoice'!Q$2:Q$401,$X86)="","",INDEX('Per Invoice'!Q$2:Q$401,$X86)))</f>
        <v/>
      </c>
      <c r="R86" s="7">
        <f>IF($X86="","",IF(INDEX('Per Invoice'!R$2:R$401,$X86)="","",INDEX('Per Invoice'!R$2:R$401,$X86)))</f>
        <v/>
      </c>
      <c r="S86" s="7">
        <f>IF($X86="","",IF(INDEX('Per Invoice'!S$2:S$401,$X86)="","",INDEX('Per Invoice'!S$2:S$401,$X86)))</f>
        <v/>
      </c>
      <c r="T86" s="7">
        <f>IF($X86="","",IF(INDEX('Per Invoice'!T$2:T$401,$X86)="","",INDEX('Per Invoice'!T$2:T$401,$X86)))</f>
        <v/>
      </c>
      <c r="U86" s="7">
        <f>IF($X86="","",IF(INDEX('Per Invoice'!U$2:U$401,$X86)="","",INDEX('Per Invoice'!U$2:U$401,$X86)))</f>
        <v/>
      </c>
      <c r="V86" s="7">
        <f>IF($X86="","",IF(INDEX('Per Invoice'!V$2:V$401,$X86)="","",INDEX('Per Invoice'!V$2:V$401,$X86)))</f>
        <v/>
      </c>
      <c r="W86" s="7">
        <f>IF($X86="","",IF(INDEX('Per Invoice'!W$2:W$401,$X86)="","",INDEX('Per Invoice'!W$2:W$401,$X86)))</f>
        <v/>
      </c>
      <c r="X86" s="16">
        <f>IFERROR(MATCH(Settings!$C$33&amp;"|"&amp;ROWS($X$2:$X86),'Per Invoice'!$Y$2:$Y$401,0),"")</f>
        <v/>
      </c>
    </row>
    <row r="87">
      <c r="A87">
        <f>IF($X87="","",IF(INDEX('Per Invoice'!A$2:A$401,$X87)="","",INDEX('Per Invoice'!A$2:A$401,$X87)))</f>
        <v/>
      </c>
      <c r="B87">
        <f>IF($X87="","",IF(INDEX('Per Invoice'!B$2:B$401,$X87)="","",INDEX('Per Invoice'!B$2:B$401,$X87)))</f>
        <v/>
      </c>
      <c r="C87">
        <f>IF($X87="","",IF(INDEX('Per Invoice'!C$2:C$401,$X87)="","",INDEX('Per Invoice'!C$2:C$401,$X87)))</f>
        <v/>
      </c>
      <c r="D87">
        <f>IF($X87="","",IF(INDEX('Per Invoice'!D$2:D$401,$X87)="","",INDEX('Per Invoice'!D$2:D$401,$X87)))</f>
        <v/>
      </c>
      <c r="E87">
        <f>IF($X87="","",IF(INDEX('Per Invoice'!E$2:E$401,$X87)="","",INDEX('Per Invoice'!E$2:E$401,$X87)))</f>
        <v/>
      </c>
      <c r="F87">
        <f>IF($X87="","",IF(INDEX('Per Invoice'!F$2:F$401,$X87)="","",INDEX('Per Invoice'!F$2:F$401,$X87)))</f>
        <v/>
      </c>
      <c r="G87">
        <f>IF($X87="","",IF(INDEX('Per Invoice'!G$2:G$401,$X87)="","",INDEX('Per Invoice'!G$2:G$401,$X87)))</f>
        <v/>
      </c>
      <c r="H87">
        <f>IF($X87="","",IF(INDEX('Per Invoice'!H$2:H$401,$X87)="","",INDEX('Per Invoice'!H$2:H$401,$X87)))</f>
        <v/>
      </c>
      <c r="I87">
        <f>IF($X87="","",IF(INDEX('Per Invoice'!I$2:I$401,$X87)="","",INDEX('Per Invoice'!I$2:I$401,$X87)))</f>
        <v/>
      </c>
      <c r="J87">
        <f>IF($X87="","",IF(INDEX('Per Invoice'!J$2:J$401,$X87)="","",INDEX('Per Invoice'!J$2:J$401,$X87)))</f>
        <v/>
      </c>
      <c r="K87" s="14">
        <f>IF($X87="","",IF(INDEX('Per Invoice'!K$2:K$401,$X87)="","",INDEX('Per Invoice'!K$2:K$401,$X87)))</f>
        <v/>
      </c>
      <c r="L87">
        <f>IF($X87="","",IF(INDEX('Per Invoice'!L$2:L$401,$X87)="","",INDEX('Per Invoice'!L$2:L$401,$X87)))</f>
        <v/>
      </c>
      <c r="M87" s="7">
        <f>IF($X87="","",IF(INDEX('Per Invoice'!M$2:M$401,$X87)="","",INDEX('Per Invoice'!M$2:M$401,$X87)))</f>
        <v/>
      </c>
      <c r="N87">
        <f>IF($X87="","",IF(INDEX('Per Invoice'!N$2:N$401,$X87)="","",INDEX('Per Invoice'!N$2:N$401,$X87)))</f>
        <v/>
      </c>
      <c r="O87" s="7">
        <f>IF($X87="","",IF(INDEX('Per Invoice'!O$2:O$401,$X87)="","",INDEX('Per Invoice'!O$2:O$401,$X87)))</f>
        <v/>
      </c>
      <c r="P87" s="7">
        <f>IF($X87="","",IF(INDEX('Per Invoice'!P$2:P$401,$X87)="","",INDEX('Per Invoice'!P$2:P$401,$X87)))</f>
        <v/>
      </c>
      <c r="Q87">
        <f>IF($X87="","",IF(INDEX('Per Invoice'!Q$2:Q$401,$X87)="","",INDEX('Per Invoice'!Q$2:Q$401,$X87)))</f>
        <v/>
      </c>
      <c r="R87" s="7">
        <f>IF($X87="","",IF(INDEX('Per Invoice'!R$2:R$401,$X87)="","",INDEX('Per Invoice'!R$2:R$401,$X87)))</f>
        <v/>
      </c>
      <c r="S87" s="7">
        <f>IF($X87="","",IF(INDEX('Per Invoice'!S$2:S$401,$X87)="","",INDEX('Per Invoice'!S$2:S$401,$X87)))</f>
        <v/>
      </c>
      <c r="T87" s="7">
        <f>IF($X87="","",IF(INDEX('Per Invoice'!T$2:T$401,$X87)="","",INDEX('Per Invoice'!T$2:T$401,$X87)))</f>
        <v/>
      </c>
      <c r="U87" s="7">
        <f>IF($X87="","",IF(INDEX('Per Invoice'!U$2:U$401,$X87)="","",INDEX('Per Invoice'!U$2:U$401,$X87)))</f>
        <v/>
      </c>
      <c r="V87" s="7">
        <f>IF($X87="","",IF(INDEX('Per Invoice'!V$2:V$401,$X87)="","",INDEX('Per Invoice'!V$2:V$401,$X87)))</f>
        <v/>
      </c>
      <c r="W87" s="7">
        <f>IF($X87="","",IF(INDEX('Per Invoice'!W$2:W$401,$X87)="","",INDEX('Per Invoice'!W$2:W$401,$X87)))</f>
        <v/>
      </c>
      <c r="X87" s="16">
        <f>IFERROR(MATCH(Settings!$C$33&amp;"|"&amp;ROWS($X$2:$X87),'Per Invoice'!$Y$2:$Y$401,0),"")</f>
        <v/>
      </c>
    </row>
    <row r="88">
      <c r="A88">
        <f>IF($X88="","",IF(INDEX('Per Invoice'!A$2:A$401,$X88)="","",INDEX('Per Invoice'!A$2:A$401,$X88)))</f>
        <v/>
      </c>
      <c r="B88">
        <f>IF($X88="","",IF(INDEX('Per Invoice'!B$2:B$401,$X88)="","",INDEX('Per Invoice'!B$2:B$401,$X88)))</f>
        <v/>
      </c>
      <c r="C88">
        <f>IF($X88="","",IF(INDEX('Per Invoice'!C$2:C$401,$X88)="","",INDEX('Per Invoice'!C$2:C$401,$X88)))</f>
        <v/>
      </c>
      <c r="D88">
        <f>IF($X88="","",IF(INDEX('Per Invoice'!D$2:D$401,$X88)="","",INDEX('Per Invoice'!D$2:D$401,$X88)))</f>
        <v/>
      </c>
      <c r="E88">
        <f>IF($X88="","",IF(INDEX('Per Invoice'!E$2:E$401,$X88)="","",INDEX('Per Invoice'!E$2:E$401,$X88)))</f>
        <v/>
      </c>
      <c r="F88">
        <f>IF($X88="","",IF(INDEX('Per Invoice'!F$2:F$401,$X88)="","",INDEX('Per Invoice'!F$2:F$401,$X88)))</f>
        <v/>
      </c>
      <c r="G88">
        <f>IF($X88="","",IF(INDEX('Per Invoice'!G$2:G$401,$X88)="","",INDEX('Per Invoice'!G$2:G$401,$X88)))</f>
        <v/>
      </c>
      <c r="H88">
        <f>IF($X88="","",IF(INDEX('Per Invoice'!H$2:H$401,$X88)="","",INDEX('Per Invoice'!H$2:H$401,$X88)))</f>
        <v/>
      </c>
      <c r="I88">
        <f>IF($X88="","",IF(INDEX('Per Invoice'!I$2:I$401,$X88)="","",INDEX('Per Invoice'!I$2:I$401,$X88)))</f>
        <v/>
      </c>
      <c r="J88">
        <f>IF($X88="","",IF(INDEX('Per Invoice'!J$2:J$401,$X88)="","",INDEX('Per Invoice'!J$2:J$401,$X88)))</f>
        <v/>
      </c>
      <c r="K88" s="14">
        <f>IF($X88="","",IF(INDEX('Per Invoice'!K$2:K$401,$X88)="","",INDEX('Per Invoice'!K$2:K$401,$X88)))</f>
        <v/>
      </c>
      <c r="L88">
        <f>IF($X88="","",IF(INDEX('Per Invoice'!L$2:L$401,$X88)="","",INDEX('Per Invoice'!L$2:L$401,$X88)))</f>
        <v/>
      </c>
      <c r="M88" s="7">
        <f>IF($X88="","",IF(INDEX('Per Invoice'!M$2:M$401,$X88)="","",INDEX('Per Invoice'!M$2:M$401,$X88)))</f>
        <v/>
      </c>
      <c r="N88">
        <f>IF($X88="","",IF(INDEX('Per Invoice'!N$2:N$401,$X88)="","",INDEX('Per Invoice'!N$2:N$401,$X88)))</f>
        <v/>
      </c>
      <c r="O88" s="7">
        <f>IF($X88="","",IF(INDEX('Per Invoice'!O$2:O$401,$X88)="","",INDEX('Per Invoice'!O$2:O$401,$X88)))</f>
        <v/>
      </c>
      <c r="P88" s="7">
        <f>IF($X88="","",IF(INDEX('Per Invoice'!P$2:P$401,$X88)="","",INDEX('Per Invoice'!P$2:P$401,$X88)))</f>
        <v/>
      </c>
      <c r="Q88">
        <f>IF($X88="","",IF(INDEX('Per Invoice'!Q$2:Q$401,$X88)="","",INDEX('Per Invoice'!Q$2:Q$401,$X88)))</f>
        <v/>
      </c>
      <c r="R88" s="7">
        <f>IF($X88="","",IF(INDEX('Per Invoice'!R$2:R$401,$X88)="","",INDEX('Per Invoice'!R$2:R$401,$X88)))</f>
        <v/>
      </c>
      <c r="S88" s="7">
        <f>IF($X88="","",IF(INDEX('Per Invoice'!S$2:S$401,$X88)="","",INDEX('Per Invoice'!S$2:S$401,$X88)))</f>
        <v/>
      </c>
      <c r="T88" s="7">
        <f>IF($X88="","",IF(INDEX('Per Invoice'!T$2:T$401,$X88)="","",INDEX('Per Invoice'!T$2:T$401,$X88)))</f>
        <v/>
      </c>
      <c r="U88" s="7">
        <f>IF($X88="","",IF(INDEX('Per Invoice'!U$2:U$401,$X88)="","",INDEX('Per Invoice'!U$2:U$401,$X88)))</f>
        <v/>
      </c>
      <c r="V88" s="7">
        <f>IF($X88="","",IF(INDEX('Per Invoice'!V$2:V$401,$X88)="","",INDEX('Per Invoice'!V$2:V$401,$X88)))</f>
        <v/>
      </c>
      <c r="W88" s="7">
        <f>IF($X88="","",IF(INDEX('Per Invoice'!W$2:W$401,$X88)="","",INDEX('Per Invoice'!W$2:W$401,$X88)))</f>
        <v/>
      </c>
      <c r="X88" s="16">
        <f>IFERROR(MATCH(Settings!$C$33&amp;"|"&amp;ROWS($X$2:$X88),'Per Invoice'!$Y$2:$Y$401,0),"")</f>
        <v/>
      </c>
    </row>
    <row r="89">
      <c r="A89">
        <f>IF($X89="","",IF(INDEX('Per Invoice'!A$2:A$401,$X89)="","",INDEX('Per Invoice'!A$2:A$401,$X89)))</f>
        <v/>
      </c>
      <c r="B89">
        <f>IF($X89="","",IF(INDEX('Per Invoice'!B$2:B$401,$X89)="","",INDEX('Per Invoice'!B$2:B$401,$X89)))</f>
        <v/>
      </c>
      <c r="C89">
        <f>IF($X89="","",IF(INDEX('Per Invoice'!C$2:C$401,$X89)="","",INDEX('Per Invoice'!C$2:C$401,$X89)))</f>
        <v/>
      </c>
      <c r="D89">
        <f>IF($X89="","",IF(INDEX('Per Invoice'!D$2:D$401,$X89)="","",INDEX('Per Invoice'!D$2:D$401,$X89)))</f>
        <v/>
      </c>
      <c r="E89">
        <f>IF($X89="","",IF(INDEX('Per Invoice'!E$2:E$401,$X89)="","",INDEX('Per Invoice'!E$2:E$401,$X89)))</f>
        <v/>
      </c>
      <c r="F89">
        <f>IF($X89="","",IF(INDEX('Per Invoice'!F$2:F$401,$X89)="","",INDEX('Per Invoice'!F$2:F$401,$X89)))</f>
        <v/>
      </c>
      <c r="G89">
        <f>IF($X89="","",IF(INDEX('Per Invoice'!G$2:G$401,$X89)="","",INDEX('Per Invoice'!G$2:G$401,$X89)))</f>
        <v/>
      </c>
      <c r="H89">
        <f>IF($X89="","",IF(INDEX('Per Invoice'!H$2:H$401,$X89)="","",INDEX('Per Invoice'!H$2:H$401,$X89)))</f>
        <v/>
      </c>
      <c r="I89">
        <f>IF($X89="","",IF(INDEX('Per Invoice'!I$2:I$401,$X89)="","",INDEX('Per Invoice'!I$2:I$401,$X89)))</f>
        <v/>
      </c>
      <c r="J89">
        <f>IF($X89="","",IF(INDEX('Per Invoice'!J$2:J$401,$X89)="","",INDEX('Per Invoice'!J$2:J$401,$X89)))</f>
        <v/>
      </c>
      <c r="K89" s="14">
        <f>IF($X89="","",IF(INDEX('Per Invoice'!K$2:K$401,$X89)="","",INDEX('Per Invoice'!K$2:K$401,$X89)))</f>
        <v/>
      </c>
      <c r="L89">
        <f>IF($X89="","",IF(INDEX('Per Invoice'!L$2:L$401,$X89)="","",INDEX('Per Invoice'!L$2:L$401,$X89)))</f>
        <v/>
      </c>
      <c r="M89" s="7">
        <f>IF($X89="","",IF(INDEX('Per Invoice'!M$2:M$401,$X89)="","",INDEX('Per Invoice'!M$2:M$401,$X89)))</f>
        <v/>
      </c>
      <c r="N89">
        <f>IF($X89="","",IF(INDEX('Per Invoice'!N$2:N$401,$X89)="","",INDEX('Per Invoice'!N$2:N$401,$X89)))</f>
        <v/>
      </c>
      <c r="O89" s="7">
        <f>IF($X89="","",IF(INDEX('Per Invoice'!O$2:O$401,$X89)="","",INDEX('Per Invoice'!O$2:O$401,$X89)))</f>
        <v/>
      </c>
      <c r="P89" s="7">
        <f>IF($X89="","",IF(INDEX('Per Invoice'!P$2:P$401,$X89)="","",INDEX('Per Invoice'!P$2:P$401,$X89)))</f>
        <v/>
      </c>
      <c r="Q89">
        <f>IF($X89="","",IF(INDEX('Per Invoice'!Q$2:Q$401,$X89)="","",INDEX('Per Invoice'!Q$2:Q$401,$X89)))</f>
        <v/>
      </c>
      <c r="R89" s="7">
        <f>IF($X89="","",IF(INDEX('Per Invoice'!R$2:R$401,$X89)="","",INDEX('Per Invoice'!R$2:R$401,$X89)))</f>
        <v/>
      </c>
      <c r="S89" s="7">
        <f>IF($X89="","",IF(INDEX('Per Invoice'!S$2:S$401,$X89)="","",INDEX('Per Invoice'!S$2:S$401,$X89)))</f>
        <v/>
      </c>
      <c r="T89" s="7">
        <f>IF($X89="","",IF(INDEX('Per Invoice'!T$2:T$401,$X89)="","",INDEX('Per Invoice'!T$2:T$401,$X89)))</f>
        <v/>
      </c>
      <c r="U89" s="7">
        <f>IF($X89="","",IF(INDEX('Per Invoice'!U$2:U$401,$X89)="","",INDEX('Per Invoice'!U$2:U$401,$X89)))</f>
        <v/>
      </c>
      <c r="V89" s="7">
        <f>IF($X89="","",IF(INDEX('Per Invoice'!V$2:V$401,$X89)="","",INDEX('Per Invoice'!V$2:V$401,$X89)))</f>
        <v/>
      </c>
      <c r="W89" s="7">
        <f>IF($X89="","",IF(INDEX('Per Invoice'!W$2:W$401,$X89)="","",INDEX('Per Invoice'!W$2:W$401,$X89)))</f>
        <v/>
      </c>
      <c r="X89" s="16">
        <f>IFERROR(MATCH(Settings!$C$33&amp;"|"&amp;ROWS($X$2:$X89),'Per Invoice'!$Y$2:$Y$401,0),"")</f>
        <v/>
      </c>
    </row>
    <row r="90">
      <c r="A90">
        <f>IF($X90="","",IF(INDEX('Per Invoice'!A$2:A$401,$X90)="","",INDEX('Per Invoice'!A$2:A$401,$X90)))</f>
        <v/>
      </c>
      <c r="B90">
        <f>IF($X90="","",IF(INDEX('Per Invoice'!B$2:B$401,$X90)="","",INDEX('Per Invoice'!B$2:B$401,$X90)))</f>
        <v/>
      </c>
      <c r="C90">
        <f>IF($X90="","",IF(INDEX('Per Invoice'!C$2:C$401,$X90)="","",INDEX('Per Invoice'!C$2:C$401,$X90)))</f>
        <v/>
      </c>
      <c r="D90">
        <f>IF($X90="","",IF(INDEX('Per Invoice'!D$2:D$401,$X90)="","",INDEX('Per Invoice'!D$2:D$401,$X90)))</f>
        <v/>
      </c>
      <c r="E90">
        <f>IF($X90="","",IF(INDEX('Per Invoice'!E$2:E$401,$X90)="","",INDEX('Per Invoice'!E$2:E$401,$X90)))</f>
        <v/>
      </c>
      <c r="F90">
        <f>IF($X90="","",IF(INDEX('Per Invoice'!F$2:F$401,$X90)="","",INDEX('Per Invoice'!F$2:F$401,$X90)))</f>
        <v/>
      </c>
      <c r="G90">
        <f>IF($X90="","",IF(INDEX('Per Invoice'!G$2:G$401,$X90)="","",INDEX('Per Invoice'!G$2:G$401,$X90)))</f>
        <v/>
      </c>
      <c r="H90">
        <f>IF($X90="","",IF(INDEX('Per Invoice'!H$2:H$401,$X90)="","",INDEX('Per Invoice'!H$2:H$401,$X90)))</f>
        <v/>
      </c>
      <c r="I90">
        <f>IF($X90="","",IF(INDEX('Per Invoice'!I$2:I$401,$X90)="","",INDEX('Per Invoice'!I$2:I$401,$X90)))</f>
        <v/>
      </c>
      <c r="J90">
        <f>IF($X90="","",IF(INDEX('Per Invoice'!J$2:J$401,$X90)="","",INDEX('Per Invoice'!J$2:J$401,$X90)))</f>
        <v/>
      </c>
      <c r="K90" s="14">
        <f>IF($X90="","",IF(INDEX('Per Invoice'!K$2:K$401,$X90)="","",INDEX('Per Invoice'!K$2:K$401,$X90)))</f>
        <v/>
      </c>
      <c r="L90">
        <f>IF($X90="","",IF(INDEX('Per Invoice'!L$2:L$401,$X90)="","",INDEX('Per Invoice'!L$2:L$401,$X90)))</f>
        <v/>
      </c>
      <c r="M90" s="7">
        <f>IF($X90="","",IF(INDEX('Per Invoice'!M$2:M$401,$X90)="","",INDEX('Per Invoice'!M$2:M$401,$X90)))</f>
        <v/>
      </c>
      <c r="N90">
        <f>IF($X90="","",IF(INDEX('Per Invoice'!N$2:N$401,$X90)="","",INDEX('Per Invoice'!N$2:N$401,$X90)))</f>
        <v/>
      </c>
      <c r="O90" s="7">
        <f>IF($X90="","",IF(INDEX('Per Invoice'!O$2:O$401,$X90)="","",INDEX('Per Invoice'!O$2:O$401,$X90)))</f>
        <v/>
      </c>
      <c r="P90" s="7">
        <f>IF($X90="","",IF(INDEX('Per Invoice'!P$2:P$401,$X90)="","",INDEX('Per Invoice'!P$2:P$401,$X90)))</f>
        <v/>
      </c>
      <c r="Q90">
        <f>IF($X90="","",IF(INDEX('Per Invoice'!Q$2:Q$401,$X90)="","",INDEX('Per Invoice'!Q$2:Q$401,$X90)))</f>
        <v/>
      </c>
      <c r="R90" s="7">
        <f>IF($X90="","",IF(INDEX('Per Invoice'!R$2:R$401,$X90)="","",INDEX('Per Invoice'!R$2:R$401,$X90)))</f>
        <v/>
      </c>
      <c r="S90" s="7">
        <f>IF($X90="","",IF(INDEX('Per Invoice'!S$2:S$401,$X90)="","",INDEX('Per Invoice'!S$2:S$401,$X90)))</f>
        <v/>
      </c>
      <c r="T90" s="7">
        <f>IF($X90="","",IF(INDEX('Per Invoice'!T$2:T$401,$X90)="","",INDEX('Per Invoice'!T$2:T$401,$X90)))</f>
        <v/>
      </c>
      <c r="U90" s="7">
        <f>IF($X90="","",IF(INDEX('Per Invoice'!U$2:U$401,$X90)="","",INDEX('Per Invoice'!U$2:U$401,$X90)))</f>
        <v/>
      </c>
      <c r="V90" s="7">
        <f>IF($X90="","",IF(INDEX('Per Invoice'!V$2:V$401,$X90)="","",INDEX('Per Invoice'!V$2:V$401,$X90)))</f>
        <v/>
      </c>
      <c r="W90" s="7">
        <f>IF($X90="","",IF(INDEX('Per Invoice'!W$2:W$401,$X90)="","",INDEX('Per Invoice'!W$2:W$401,$X90)))</f>
        <v/>
      </c>
      <c r="X90" s="16">
        <f>IFERROR(MATCH(Settings!$C$33&amp;"|"&amp;ROWS($X$2:$X90),'Per Invoice'!$Y$2:$Y$401,0),"")</f>
        <v/>
      </c>
    </row>
    <row r="91">
      <c r="A91">
        <f>IF($X91="","",IF(INDEX('Per Invoice'!A$2:A$401,$X91)="","",INDEX('Per Invoice'!A$2:A$401,$X91)))</f>
        <v/>
      </c>
      <c r="B91">
        <f>IF($X91="","",IF(INDEX('Per Invoice'!B$2:B$401,$X91)="","",INDEX('Per Invoice'!B$2:B$401,$X91)))</f>
        <v/>
      </c>
      <c r="C91">
        <f>IF($X91="","",IF(INDEX('Per Invoice'!C$2:C$401,$X91)="","",INDEX('Per Invoice'!C$2:C$401,$X91)))</f>
        <v/>
      </c>
      <c r="D91">
        <f>IF($X91="","",IF(INDEX('Per Invoice'!D$2:D$401,$X91)="","",INDEX('Per Invoice'!D$2:D$401,$X91)))</f>
        <v/>
      </c>
      <c r="E91">
        <f>IF($X91="","",IF(INDEX('Per Invoice'!E$2:E$401,$X91)="","",INDEX('Per Invoice'!E$2:E$401,$X91)))</f>
        <v/>
      </c>
      <c r="F91">
        <f>IF($X91="","",IF(INDEX('Per Invoice'!F$2:F$401,$X91)="","",INDEX('Per Invoice'!F$2:F$401,$X91)))</f>
        <v/>
      </c>
      <c r="G91">
        <f>IF($X91="","",IF(INDEX('Per Invoice'!G$2:G$401,$X91)="","",INDEX('Per Invoice'!G$2:G$401,$X91)))</f>
        <v/>
      </c>
      <c r="H91">
        <f>IF($X91="","",IF(INDEX('Per Invoice'!H$2:H$401,$X91)="","",INDEX('Per Invoice'!H$2:H$401,$X91)))</f>
        <v/>
      </c>
      <c r="I91">
        <f>IF($X91="","",IF(INDEX('Per Invoice'!I$2:I$401,$X91)="","",INDEX('Per Invoice'!I$2:I$401,$X91)))</f>
        <v/>
      </c>
      <c r="J91">
        <f>IF($X91="","",IF(INDEX('Per Invoice'!J$2:J$401,$X91)="","",INDEX('Per Invoice'!J$2:J$401,$X91)))</f>
        <v/>
      </c>
      <c r="K91" s="14">
        <f>IF($X91="","",IF(INDEX('Per Invoice'!K$2:K$401,$X91)="","",INDEX('Per Invoice'!K$2:K$401,$X91)))</f>
        <v/>
      </c>
      <c r="L91">
        <f>IF($X91="","",IF(INDEX('Per Invoice'!L$2:L$401,$X91)="","",INDEX('Per Invoice'!L$2:L$401,$X91)))</f>
        <v/>
      </c>
      <c r="M91" s="7">
        <f>IF($X91="","",IF(INDEX('Per Invoice'!M$2:M$401,$X91)="","",INDEX('Per Invoice'!M$2:M$401,$X91)))</f>
        <v/>
      </c>
      <c r="N91">
        <f>IF($X91="","",IF(INDEX('Per Invoice'!N$2:N$401,$X91)="","",INDEX('Per Invoice'!N$2:N$401,$X91)))</f>
        <v/>
      </c>
      <c r="O91" s="7">
        <f>IF($X91="","",IF(INDEX('Per Invoice'!O$2:O$401,$X91)="","",INDEX('Per Invoice'!O$2:O$401,$X91)))</f>
        <v/>
      </c>
      <c r="P91" s="7">
        <f>IF($X91="","",IF(INDEX('Per Invoice'!P$2:P$401,$X91)="","",INDEX('Per Invoice'!P$2:P$401,$X91)))</f>
        <v/>
      </c>
      <c r="Q91">
        <f>IF($X91="","",IF(INDEX('Per Invoice'!Q$2:Q$401,$X91)="","",INDEX('Per Invoice'!Q$2:Q$401,$X91)))</f>
        <v/>
      </c>
      <c r="R91" s="7">
        <f>IF($X91="","",IF(INDEX('Per Invoice'!R$2:R$401,$X91)="","",INDEX('Per Invoice'!R$2:R$401,$X91)))</f>
        <v/>
      </c>
      <c r="S91" s="7">
        <f>IF($X91="","",IF(INDEX('Per Invoice'!S$2:S$401,$X91)="","",INDEX('Per Invoice'!S$2:S$401,$X91)))</f>
        <v/>
      </c>
      <c r="T91" s="7">
        <f>IF($X91="","",IF(INDEX('Per Invoice'!T$2:T$401,$X91)="","",INDEX('Per Invoice'!T$2:T$401,$X91)))</f>
        <v/>
      </c>
      <c r="U91" s="7">
        <f>IF($X91="","",IF(INDEX('Per Invoice'!U$2:U$401,$X91)="","",INDEX('Per Invoice'!U$2:U$401,$X91)))</f>
        <v/>
      </c>
      <c r="V91" s="7">
        <f>IF($X91="","",IF(INDEX('Per Invoice'!V$2:V$401,$X91)="","",INDEX('Per Invoice'!V$2:V$401,$X91)))</f>
        <v/>
      </c>
      <c r="W91" s="7">
        <f>IF($X91="","",IF(INDEX('Per Invoice'!W$2:W$401,$X91)="","",INDEX('Per Invoice'!W$2:W$401,$X91)))</f>
        <v/>
      </c>
      <c r="X91" s="16">
        <f>IFERROR(MATCH(Settings!$C$33&amp;"|"&amp;ROWS($X$2:$X91),'Per Invoice'!$Y$2:$Y$401,0),"")</f>
        <v/>
      </c>
    </row>
    <row r="92">
      <c r="A92">
        <f>IF($X92="","",IF(INDEX('Per Invoice'!A$2:A$401,$X92)="","",INDEX('Per Invoice'!A$2:A$401,$X92)))</f>
        <v/>
      </c>
      <c r="B92">
        <f>IF($X92="","",IF(INDEX('Per Invoice'!B$2:B$401,$X92)="","",INDEX('Per Invoice'!B$2:B$401,$X92)))</f>
        <v/>
      </c>
      <c r="C92">
        <f>IF($X92="","",IF(INDEX('Per Invoice'!C$2:C$401,$X92)="","",INDEX('Per Invoice'!C$2:C$401,$X92)))</f>
        <v/>
      </c>
      <c r="D92">
        <f>IF($X92="","",IF(INDEX('Per Invoice'!D$2:D$401,$X92)="","",INDEX('Per Invoice'!D$2:D$401,$X92)))</f>
        <v/>
      </c>
      <c r="E92">
        <f>IF($X92="","",IF(INDEX('Per Invoice'!E$2:E$401,$X92)="","",INDEX('Per Invoice'!E$2:E$401,$X92)))</f>
        <v/>
      </c>
      <c r="F92">
        <f>IF($X92="","",IF(INDEX('Per Invoice'!F$2:F$401,$X92)="","",INDEX('Per Invoice'!F$2:F$401,$X92)))</f>
        <v/>
      </c>
      <c r="G92">
        <f>IF($X92="","",IF(INDEX('Per Invoice'!G$2:G$401,$X92)="","",INDEX('Per Invoice'!G$2:G$401,$X92)))</f>
        <v/>
      </c>
      <c r="H92">
        <f>IF($X92="","",IF(INDEX('Per Invoice'!H$2:H$401,$X92)="","",INDEX('Per Invoice'!H$2:H$401,$X92)))</f>
        <v/>
      </c>
      <c r="I92">
        <f>IF($X92="","",IF(INDEX('Per Invoice'!I$2:I$401,$X92)="","",INDEX('Per Invoice'!I$2:I$401,$X92)))</f>
        <v/>
      </c>
      <c r="J92">
        <f>IF($X92="","",IF(INDEX('Per Invoice'!J$2:J$401,$X92)="","",INDEX('Per Invoice'!J$2:J$401,$X92)))</f>
        <v/>
      </c>
      <c r="K92" s="14">
        <f>IF($X92="","",IF(INDEX('Per Invoice'!K$2:K$401,$X92)="","",INDEX('Per Invoice'!K$2:K$401,$X92)))</f>
        <v/>
      </c>
      <c r="L92">
        <f>IF($X92="","",IF(INDEX('Per Invoice'!L$2:L$401,$X92)="","",INDEX('Per Invoice'!L$2:L$401,$X92)))</f>
        <v/>
      </c>
      <c r="M92" s="7">
        <f>IF($X92="","",IF(INDEX('Per Invoice'!M$2:M$401,$X92)="","",INDEX('Per Invoice'!M$2:M$401,$X92)))</f>
        <v/>
      </c>
      <c r="N92">
        <f>IF($X92="","",IF(INDEX('Per Invoice'!N$2:N$401,$X92)="","",INDEX('Per Invoice'!N$2:N$401,$X92)))</f>
        <v/>
      </c>
      <c r="O92" s="7">
        <f>IF($X92="","",IF(INDEX('Per Invoice'!O$2:O$401,$X92)="","",INDEX('Per Invoice'!O$2:O$401,$X92)))</f>
        <v/>
      </c>
      <c r="P92" s="7">
        <f>IF($X92="","",IF(INDEX('Per Invoice'!P$2:P$401,$X92)="","",INDEX('Per Invoice'!P$2:P$401,$X92)))</f>
        <v/>
      </c>
      <c r="Q92">
        <f>IF($X92="","",IF(INDEX('Per Invoice'!Q$2:Q$401,$X92)="","",INDEX('Per Invoice'!Q$2:Q$401,$X92)))</f>
        <v/>
      </c>
      <c r="R92" s="7">
        <f>IF($X92="","",IF(INDEX('Per Invoice'!R$2:R$401,$X92)="","",INDEX('Per Invoice'!R$2:R$401,$X92)))</f>
        <v/>
      </c>
      <c r="S92" s="7">
        <f>IF($X92="","",IF(INDEX('Per Invoice'!S$2:S$401,$X92)="","",INDEX('Per Invoice'!S$2:S$401,$X92)))</f>
        <v/>
      </c>
      <c r="T92" s="7">
        <f>IF($X92="","",IF(INDEX('Per Invoice'!T$2:T$401,$X92)="","",INDEX('Per Invoice'!T$2:T$401,$X92)))</f>
        <v/>
      </c>
      <c r="U92" s="7">
        <f>IF($X92="","",IF(INDEX('Per Invoice'!U$2:U$401,$X92)="","",INDEX('Per Invoice'!U$2:U$401,$X92)))</f>
        <v/>
      </c>
      <c r="V92" s="7">
        <f>IF($X92="","",IF(INDEX('Per Invoice'!V$2:V$401,$X92)="","",INDEX('Per Invoice'!V$2:V$401,$X92)))</f>
        <v/>
      </c>
      <c r="W92" s="7">
        <f>IF($X92="","",IF(INDEX('Per Invoice'!W$2:W$401,$X92)="","",INDEX('Per Invoice'!W$2:W$401,$X92)))</f>
        <v/>
      </c>
      <c r="X92" s="16">
        <f>IFERROR(MATCH(Settings!$C$33&amp;"|"&amp;ROWS($X$2:$X92),'Per Invoice'!$Y$2:$Y$401,0),"")</f>
        <v/>
      </c>
    </row>
    <row r="93">
      <c r="A93">
        <f>IF($X93="","",IF(INDEX('Per Invoice'!A$2:A$401,$X93)="","",INDEX('Per Invoice'!A$2:A$401,$X93)))</f>
        <v/>
      </c>
      <c r="B93">
        <f>IF($X93="","",IF(INDEX('Per Invoice'!B$2:B$401,$X93)="","",INDEX('Per Invoice'!B$2:B$401,$X93)))</f>
        <v/>
      </c>
      <c r="C93">
        <f>IF($X93="","",IF(INDEX('Per Invoice'!C$2:C$401,$X93)="","",INDEX('Per Invoice'!C$2:C$401,$X93)))</f>
        <v/>
      </c>
      <c r="D93">
        <f>IF($X93="","",IF(INDEX('Per Invoice'!D$2:D$401,$X93)="","",INDEX('Per Invoice'!D$2:D$401,$X93)))</f>
        <v/>
      </c>
      <c r="E93">
        <f>IF($X93="","",IF(INDEX('Per Invoice'!E$2:E$401,$X93)="","",INDEX('Per Invoice'!E$2:E$401,$X93)))</f>
        <v/>
      </c>
      <c r="F93">
        <f>IF($X93="","",IF(INDEX('Per Invoice'!F$2:F$401,$X93)="","",INDEX('Per Invoice'!F$2:F$401,$X93)))</f>
        <v/>
      </c>
      <c r="G93">
        <f>IF($X93="","",IF(INDEX('Per Invoice'!G$2:G$401,$X93)="","",INDEX('Per Invoice'!G$2:G$401,$X93)))</f>
        <v/>
      </c>
      <c r="H93">
        <f>IF($X93="","",IF(INDEX('Per Invoice'!H$2:H$401,$X93)="","",INDEX('Per Invoice'!H$2:H$401,$X93)))</f>
        <v/>
      </c>
      <c r="I93">
        <f>IF($X93="","",IF(INDEX('Per Invoice'!I$2:I$401,$X93)="","",INDEX('Per Invoice'!I$2:I$401,$X93)))</f>
        <v/>
      </c>
      <c r="J93">
        <f>IF($X93="","",IF(INDEX('Per Invoice'!J$2:J$401,$X93)="","",INDEX('Per Invoice'!J$2:J$401,$X93)))</f>
        <v/>
      </c>
      <c r="K93" s="14">
        <f>IF($X93="","",IF(INDEX('Per Invoice'!K$2:K$401,$X93)="","",INDEX('Per Invoice'!K$2:K$401,$X93)))</f>
        <v/>
      </c>
      <c r="L93">
        <f>IF($X93="","",IF(INDEX('Per Invoice'!L$2:L$401,$X93)="","",INDEX('Per Invoice'!L$2:L$401,$X93)))</f>
        <v/>
      </c>
      <c r="M93" s="7">
        <f>IF($X93="","",IF(INDEX('Per Invoice'!M$2:M$401,$X93)="","",INDEX('Per Invoice'!M$2:M$401,$X93)))</f>
        <v/>
      </c>
      <c r="N93">
        <f>IF($X93="","",IF(INDEX('Per Invoice'!N$2:N$401,$X93)="","",INDEX('Per Invoice'!N$2:N$401,$X93)))</f>
        <v/>
      </c>
      <c r="O93" s="7">
        <f>IF($X93="","",IF(INDEX('Per Invoice'!O$2:O$401,$X93)="","",INDEX('Per Invoice'!O$2:O$401,$X93)))</f>
        <v/>
      </c>
      <c r="P93" s="7">
        <f>IF($X93="","",IF(INDEX('Per Invoice'!P$2:P$401,$X93)="","",INDEX('Per Invoice'!P$2:P$401,$X93)))</f>
        <v/>
      </c>
      <c r="Q93">
        <f>IF($X93="","",IF(INDEX('Per Invoice'!Q$2:Q$401,$X93)="","",INDEX('Per Invoice'!Q$2:Q$401,$X93)))</f>
        <v/>
      </c>
      <c r="R93" s="7">
        <f>IF($X93="","",IF(INDEX('Per Invoice'!R$2:R$401,$X93)="","",INDEX('Per Invoice'!R$2:R$401,$X93)))</f>
        <v/>
      </c>
      <c r="S93" s="7">
        <f>IF($X93="","",IF(INDEX('Per Invoice'!S$2:S$401,$X93)="","",INDEX('Per Invoice'!S$2:S$401,$X93)))</f>
        <v/>
      </c>
      <c r="T93" s="7">
        <f>IF($X93="","",IF(INDEX('Per Invoice'!T$2:T$401,$X93)="","",INDEX('Per Invoice'!T$2:T$401,$X93)))</f>
        <v/>
      </c>
      <c r="U93" s="7">
        <f>IF($X93="","",IF(INDEX('Per Invoice'!U$2:U$401,$X93)="","",INDEX('Per Invoice'!U$2:U$401,$X93)))</f>
        <v/>
      </c>
      <c r="V93" s="7">
        <f>IF($X93="","",IF(INDEX('Per Invoice'!V$2:V$401,$X93)="","",INDEX('Per Invoice'!V$2:V$401,$X93)))</f>
        <v/>
      </c>
      <c r="W93" s="7">
        <f>IF($X93="","",IF(INDEX('Per Invoice'!W$2:W$401,$X93)="","",INDEX('Per Invoice'!W$2:W$401,$X93)))</f>
        <v/>
      </c>
      <c r="X93" s="16">
        <f>IFERROR(MATCH(Settings!$C$33&amp;"|"&amp;ROWS($X$2:$X93),'Per Invoice'!$Y$2:$Y$401,0),"")</f>
        <v/>
      </c>
    </row>
    <row r="94">
      <c r="A94">
        <f>IF($X94="","",IF(INDEX('Per Invoice'!A$2:A$401,$X94)="","",INDEX('Per Invoice'!A$2:A$401,$X94)))</f>
        <v/>
      </c>
      <c r="B94">
        <f>IF($X94="","",IF(INDEX('Per Invoice'!B$2:B$401,$X94)="","",INDEX('Per Invoice'!B$2:B$401,$X94)))</f>
        <v/>
      </c>
      <c r="C94">
        <f>IF($X94="","",IF(INDEX('Per Invoice'!C$2:C$401,$X94)="","",INDEX('Per Invoice'!C$2:C$401,$X94)))</f>
        <v/>
      </c>
      <c r="D94">
        <f>IF($X94="","",IF(INDEX('Per Invoice'!D$2:D$401,$X94)="","",INDEX('Per Invoice'!D$2:D$401,$X94)))</f>
        <v/>
      </c>
      <c r="E94">
        <f>IF($X94="","",IF(INDEX('Per Invoice'!E$2:E$401,$X94)="","",INDEX('Per Invoice'!E$2:E$401,$X94)))</f>
        <v/>
      </c>
      <c r="F94">
        <f>IF($X94="","",IF(INDEX('Per Invoice'!F$2:F$401,$X94)="","",INDEX('Per Invoice'!F$2:F$401,$X94)))</f>
        <v/>
      </c>
      <c r="G94">
        <f>IF($X94="","",IF(INDEX('Per Invoice'!G$2:G$401,$X94)="","",INDEX('Per Invoice'!G$2:G$401,$X94)))</f>
        <v/>
      </c>
      <c r="H94">
        <f>IF($X94="","",IF(INDEX('Per Invoice'!H$2:H$401,$X94)="","",INDEX('Per Invoice'!H$2:H$401,$X94)))</f>
        <v/>
      </c>
      <c r="I94">
        <f>IF($X94="","",IF(INDEX('Per Invoice'!I$2:I$401,$X94)="","",INDEX('Per Invoice'!I$2:I$401,$X94)))</f>
        <v/>
      </c>
      <c r="J94">
        <f>IF($X94="","",IF(INDEX('Per Invoice'!J$2:J$401,$X94)="","",INDEX('Per Invoice'!J$2:J$401,$X94)))</f>
        <v/>
      </c>
      <c r="K94" s="14">
        <f>IF($X94="","",IF(INDEX('Per Invoice'!K$2:K$401,$X94)="","",INDEX('Per Invoice'!K$2:K$401,$X94)))</f>
        <v/>
      </c>
      <c r="L94">
        <f>IF($X94="","",IF(INDEX('Per Invoice'!L$2:L$401,$X94)="","",INDEX('Per Invoice'!L$2:L$401,$X94)))</f>
        <v/>
      </c>
      <c r="M94" s="7">
        <f>IF($X94="","",IF(INDEX('Per Invoice'!M$2:M$401,$X94)="","",INDEX('Per Invoice'!M$2:M$401,$X94)))</f>
        <v/>
      </c>
      <c r="N94">
        <f>IF($X94="","",IF(INDEX('Per Invoice'!N$2:N$401,$X94)="","",INDEX('Per Invoice'!N$2:N$401,$X94)))</f>
        <v/>
      </c>
      <c r="O94" s="7">
        <f>IF($X94="","",IF(INDEX('Per Invoice'!O$2:O$401,$X94)="","",INDEX('Per Invoice'!O$2:O$401,$X94)))</f>
        <v/>
      </c>
      <c r="P94" s="7">
        <f>IF($X94="","",IF(INDEX('Per Invoice'!P$2:P$401,$X94)="","",INDEX('Per Invoice'!P$2:P$401,$X94)))</f>
        <v/>
      </c>
      <c r="Q94">
        <f>IF($X94="","",IF(INDEX('Per Invoice'!Q$2:Q$401,$X94)="","",INDEX('Per Invoice'!Q$2:Q$401,$X94)))</f>
        <v/>
      </c>
      <c r="R94" s="7">
        <f>IF($X94="","",IF(INDEX('Per Invoice'!R$2:R$401,$X94)="","",INDEX('Per Invoice'!R$2:R$401,$X94)))</f>
        <v/>
      </c>
      <c r="S94" s="7">
        <f>IF($X94="","",IF(INDEX('Per Invoice'!S$2:S$401,$X94)="","",INDEX('Per Invoice'!S$2:S$401,$X94)))</f>
        <v/>
      </c>
      <c r="T94" s="7">
        <f>IF($X94="","",IF(INDEX('Per Invoice'!T$2:T$401,$X94)="","",INDEX('Per Invoice'!T$2:T$401,$X94)))</f>
        <v/>
      </c>
      <c r="U94" s="7">
        <f>IF($X94="","",IF(INDEX('Per Invoice'!U$2:U$401,$X94)="","",INDEX('Per Invoice'!U$2:U$401,$X94)))</f>
        <v/>
      </c>
      <c r="V94" s="7">
        <f>IF($X94="","",IF(INDEX('Per Invoice'!V$2:V$401,$X94)="","",INDEX('Per Invoice'!V$2:V$401,$X94)))</f>
        <v/>
      </c>
      <c r="W94" s="7">
        <f>IF($X94="","",IF(INDEX('Per Invoice'!W$2:W$401,$X94)="","",INDEX('Per Invoice'!W$2:W$401,$X94)))</f>
        <v/>
      </c>
      <c r="X94" s="16">
        <f>IFERROR(MATCH(Settings!$C$33&amp;"|"&amp;ROWS($X$2:$X94),'Per Invoice'!$Y$2:$Y$401,0),"")</f>
        <v/>
      </c>
    </row>
    <row r="95">
      <c r="A95">
        <f>IF($X95="","",IF(INDEX('Per Invoice'!A$2:A$401,$X95)="","",INDEX('Per Invoice'!A$2:A$401,$X95)))</f>
        <v/>
      </c>
      <c r="B95">
        <f>IF($X95="","",IF(INDEX('Per Invoice'!B$2:B$401,$X95)="","",INDEX('Per Invoice'!B$2:B$401,$X95)))</f>
        <v/>
      </c>
      <c r="C95">
        <f>IF($X95="","",IF(INDEX('Per Invoice'!C$2:C$401,$X95)="","",INDEX('Per Invoice'!C$2:C$401,$X95)))</f>
        <v/>
      </c>
      <c r="D95">
        <f>IF($X95="","",IF(INDEX('Per Invoice'!D$2:D$401,$X95)="","",INDEX('Per Invoice'!D$2:D$401,$X95)))</f>
        <v/>
      </c>
      <c r="E95">
        <f>IF($X95="","",IF(INDEX('Per Invoice'!E$2:E$401,$X95)="","",INDEX('Per Invoice'!E$2:E$401,$X95)))</f>
        <v/>
      </c>
      <c r="F95">
        <f>IF($X95="","",IF(INDEX('Per Invoice'!F$2:F$401,$X95)="","",INDEX('Per Invoice'!F$2:F$401,$X95)))</f>
        <v/>
      </c>
      <c r="G95">
        <f>IF($X95="","",IF(INDEX('Per Invoice'!G$2:G$401,$X95)="","",INDEX('Per Invoice'!G$2:G$401,$X95)))</f>
        <v/>
      </c>
      <c r="H95">
        <f>IF($X95="","",IF(INDEX('Per Invoice'!H$2:H$401,$X95)="","",INDEX('Per Invoice'!H$2:H$401,$X95)))</f>
        <v/>
      </c>
      <c r="I95">
        <f>IF($X95="","",IF(INDEX('Per Invoice'!I$2:I$401,$X95)="","",INDEX('Per Invoice'!I$2:I$401,$X95)))</f>
        <v/>
      </c>
      <c r="J95">
        <f>IF($X95="","",IF(INDEX('Per Invoice'!J$2:J$401,$X95)="","",INDEX('Per Invoice'!J$2:J$401,$X95)))</f>
        <v/>
      </c>
      <c r="K95" s="14">
        <f>IF($X95="","",IF(INDEX('Per Invoice'!K$2:K$401,$X95)="","",INDEX('Per Invoice'!K$2:K$401,$X95)))</f>
        <v/>
      </c>
      <c r="L95">
        <f>IF($X95="","",IF(INDEX('Per Invoice'!L$2:L$401,$X95)="","",INDEX('Per Invoice'!L$2:L$401,$X95)))</f>
        <v/>
      </c>
      <c r="M95" s="7">
        <f>IF($X95="","",IF(INDEX('Per Invoice'!M$2:M$401,$X95)="","",INDEX('Per Invoice'!M$2:M$401,$X95)))</f>
        <v/>
      </c>
      <c r="N95">
        <f>IF($X95="","",IF(INDEX('Per Invoice'!N$2:N$401,$X95)="","",INDEX('Per Invoice'!N$2:N$401,$X95)))</f>
        <v/>
      </c>
      <c r="O95" s="7">
        <f>IF($X95="","",IF(INDEX('Per Invoice'!O$2:O$401,$X95)="","",INDEX('Per Invoice'!O$2:O$401,$X95)))</f>
        <v/>
      </c>
      <c r="P95" s="7">
        <f>IF($X95="","",IF(INDEX('Per Invoice'!P$2:P$401,$X95)="","",INDEX('Per Invoice'!P$2:P$401,$X95)))</f>
        <v/>
      </c>
      <c r="Q95">
        <f>IF($X95="","",IF(INDEX('Per Invoice'!Q$2:Q$401,$X95)="","",INDEX('Per Invoice'!Q$2:Q$401,$X95)))</f>
        <v/>
      </c>
      <c r="R95" s="7">
        <f>IF($X95="","",IF(INDEX('Per Invoice'!R$2:R$401,$X95)="","",INDEX('Per Invoice'!R$2:R$401,$X95)))</f>
        <v/>
      </c>
      <c r="S95" s="7">
        <f>IF($X95="","",IF(INDEX('Per Invoice'!S$2:S$401,$X95)="","",INDEX('Per Invoice'!S$2:S$401,$X95)))</f>
        <v/>
      </c>
      <c r="T95" s="7">
        <f>IF($X95="","",IF(INDEX('Per Invoice'!T$2:T$401,$X95)="","",INDEX('Per Invoice'!T$2:T$401,$X95)))</f>
        <v/>
      </c>
      <c r="U95" s="7">
        <f>IF($X95="","",IF(INDEX('Per Invoice'!U$2:U$401,$X95)="","",INDEX('Per Invoice'!U$2:U$401,$X95)))</f>
        <v/>
      </c>
      <c r="V95" s="7">
        <f>IF($X95="","",IF(INDEX('Per Invoice'!V$2:V$401,$X95)="","",INDEX('Per Invoice'!V$2:V$401,$X95)))</f>
        <v/>
      </c>
      <c r="W95" s="7">
        <f>IF($X95="","",IF(INDEX('Per Invoice'!W$2:W$401,$X95)="","",INDEX('Per Invoice'!W$2:W$401,$X95)))</f>
        <v/>
      </c>
      <c r="X95" s="16">
        <f>IFERROR(MATCH(Settings!$C$33&amp;"|"&amp;ROWS($X$2:$X95),'Per Invoice'!$Y$2:$Y$401,0),"")</f>
        <v/>
      </c>
    </row>
    <row r="96">
      <c r="A96">
        <f>IF($X96="","",IF(INDEX('Per Invoice'!A$2:A$401,$X96)="","",INDEX('Per Invoice'!A$2:A$401,$X96)))</f>
        <v/>
      </c>
      <c r="B96">
        <f>IF($X96="","",IF(INDEX('Per Invoice'!B$2:B$401,$X96)="","",INDEX('Per Invoice'!B$2:B$401,$X96)))</f>
        <v/>
      </c>
      <c r="C96">
        <f>IF($X96="","",IF(INDEX('Per Invoice'!C$2:C$401,$X96)="","",INDEX('Per Invoice'!C$2:C$401,$X96)))</f>
        <v/>
      </c>
      <c r="D96">
        <f>IF($X96="","",IF(INDEX('Per Invoice'!D$2:D$401,$X96)="","",INDEX('Per Invoice'!D$2:D$401,$X96)))</f>
        <v/>
      </c>
      <c r="E96">
        <f>IF($X96="","",IF(INDEX('Per Invoice'!E$2:E$401,$X96)="","",INDEX('Per Invoice'!E$2:E$401,$X96)))</f>
        <v/>
      </c>
      <c r="F96">
        <f>IF($X96="","",IF(INDEX('Per Invoice'!F$2:F$401,$X96)="","",INDEX('Per Invoice'!F$2:F$401,$X96)))</f>
        <v/>
      </c>
      <c r="G96">
        <f>IF($X96="","",IF(INDEX('Per Invoice'!G$2:G$401,$X96)="","",INDEX('Per Invoice'!G$2:G$401,$X96)))</f>
        <v/>
      </c>
      <c r="H96">
        <f>IF($X96="","",IF(INDEX('Per Invoice'!H$2:H$401,$X96)="","",INDEX('Per Invoice'!H$2:H$401,$X96)))</f>
        <v/>
      </c>
      <c r="I96">
        <f>IF($X96="","",IF(INDEX('Per Invoice'!I$2:I$401,$X96)="","",INDEX('Per Invoice'!I$2:I$401,$X96)))</f>
        <v/>
      </c>
      <c r="J96">
        <f>IF($X96="","",IF(INDEX('Per Invoice'!J$2:J$401,$X96)="","",INDEX('Per Invoice'!J$2:J$401,$X96)))</f>
        <v/>
      </c>
      <c r="K96" s="14">
        <f>IF($X96="","",IF(INDEX('Per Invoice'!K$2:K$401,$X96)="","",INDEX('Per Invoice'!K$2:K$401,$X96)))</f>
        <v/>
      </c>
      <c r="L96">
        <f>IF($X96="","",IF(INDEX('Per Invoice'!L$2:L$401,$X96)="","",INDEX('Per Invoice'!L$2:L$401,$X96)))</f>
        <v/>
      </c>
      <c r="M96" s="7">
        <f>IF($X96="","",IF(INDEX('Per Invoice'!M$2:M$401,$X96)="","",INDEX('Per Invoice'!M$2:M$401,$X96)))</f>
        <v/>
      </c>
      <c r="N96">
        <f>IF($X96="","",IF(INDEX('Per Invoice'!N$2:N$401,$X96)="","",INDEX('Per Invoice'!N$2:N$401,$X96)))</f>
        <v/>
      </c>
      <c r="O96" s="7">
        <f>IF($X96="","",IF(INDEX('Per Invoice'!O$2:O$401,$X96)="","",INDEX('Per Invoice'!O$2:O$401,$X96)))</f>
        <v/>
      </c>
      <c r="P96" s="7">
        <f>IF($X96="","",IF(INDEX('Per Invoice'!P$2:P$401,$X96)="","",INDEX('Per Invoice'!P$2:P$401,$X96)))</f>
        <v/>
      </c>
      <c r="Q96">
        <f>IF($X96="","",IF(INDEX('Per Invoice'!Q$2:Q$401,$X96)="","",INDEX('Per Invoice'!Q$2:Q$401,$X96)))</f>
        <v/>
      </c>
      <c r="R96" s="7">
        <f>IF($X96="","",IF(INDEX('Per Invoice'!R$2:R$401,$X96)="","",INDEX('Per Invoice'!R$2:R$401,$X96)))</f>
        <v/>
      </c>
      <c r="S96" s="7">
        <f>IF($X96="","",IF(INDEX('Per Invoice'!S$2:S$401,$X96)="","",INDEX('Per Invoice'!S$2:S$401,$X96)))</f>
        <v/>
      </c>
      <c r="T96" s="7">
        <f>IF($X96="","",IF(INDEX('Per Invoice'!T$2:T$401,$X96)="","",INDEX('Per Invoice'!T$2:T$401,$X96)))</f>
        <v/>
      </c>
      <c r="U96" s="7">
        <f>IF($X96="","",IF(INDEX('Per Invoice'!U$2:U$401,$X96)="","",INDEX('Per Invoice'!U$2:U$401,$X96)))</f>
        <v/>
      </c>
      <c r="V96" s="7">
        <f>IF($X96="","",IF(INDEX('Per Invoice'!V$2:V$401,$X96)="","",INDEX('Per Invoice'!V$2:V$401,$X96)))</f>
        <v/>
      </c>
      <c r="W96" s="7">
        <f>IF($X96="","",IF(INDEX('Per Invoice'!W$2:W$401,$X96)="","",INDEX('Per Invoice'!W$2:W$401,$X96)))</f>
        <v/>
      </c>
      <c r="X96" s="16">
        <f>IFERROR(MATCH(Settings!$C$33&amp;"|"&amp;ROWS($X$2:$X96),'Per Invoice'!$Y$2:$Y$401,0),"")</f>
        <v/>
      </c>
    </row>
    <row r="97">
      <c r="A97">
        <f>IF($X97="","",IF(INDEX('Per Invoice'!A$2:A$401,$X97)="","",INDEX('Per Invoice'!A$2:A$401,$X97)))</f>
        <v/>
      </c>
      <c r="B97">
        <f>IF($X97="","",IF(INDEX('Per Invoice'!B$2:B$401,$X97)="","",INDEX('Per Invoice'!B$2:B$401,$X97)))</f>
        <v/>
      </c>
      <c r="C97">
        <f>IF($X97="","",IF(INDEX('Per Invoice'!C$2:C$401,$X97)="","",INDEX('Per Invoice'!C$2:C$401,$X97)))</f>
        <v/>
      </c>
      <c r="D97">
        <f>IF($X97="","",IF(INDEX('Per Invoice'!D$2:D$401,$X97)="","",INDEX('Per Invoice'!D$2:D$401,$X97)))</f>
        <v/>
      </c>
      <c r="E97">
        <f>IF($X97="","",IF(INDEX('Per Invoice'!E$2:E$401,$X97)="","",INDEX('Per Invoice'!E$2:E$401,$X97)))</f>
        <v/>
      </c>
      <c r="F97">
        <f>IF($X97="","",IF(INDEX('Per Invoice'!F$2:F$401,$X97)="","",INDEX('Per Invoice'!F$2:F$401,$X97)))</f>
        <v/>
      </c>
      <c r="G97">
        <f>IF($X97="","",IF(INDEX('Per Invoice'!G$2:G$401,$X97)="","",INDEX('Per Invoice'!G$2:G$401,$X97)))</f>
        <v/>
      </c>
      <c r="H97">
        <f>IF($X97="","",IF(INDEX('Per Invoice'!H$2:H$401,$X97)="","",INDEX('Per Invoice'!H$2:H$401,$X97)))</f>
        <v/>
      </c>
      <c r="I97">
        <f>IF($X97="","",IF(INDEX('Per Invoice'!I$2:I$401,$X97)="","",INDEX('Per Invoice'!I$2:I$401,$X97)))</f>
        <v/>
      </c>
      <c r="J97">
        <f>IF($X97="","",IF(INDEX('Per Invoice'!J$2:J$401,$X97)="","",INDEX('Per Invoice'!J$2:J$401,$X97)))</f>
        <v/>
      </c>
      <c r="K97" s="14">
        <f>IF($X97="","",IF(INDEX('Per Invoice'!K$2:K$401,$X97)="","",INDEX('Per Invoice'!K$2:K$401,$X97)))</f>
        <v/>
      </c>
      <c r="L97">
        <f>IF($X97="","",IF(INDEX('Per Invoice'!L$2:L$401,$X97)="","",INDEX('Per Invoice'!L$2:L$401,$X97)))</f>
        <v/>
      </c>
      <c r="M97" s="7">
        <f>IF($X97="","",IF(INDEX('Per Invoice'!M$2:M$401,$X97)="","",INDEX('Per Invoice'!M$2:M$401,$X97)))</f>
        <v/>
      </c>
      <c r="N97">
        <f>IF($X97="","",IF(INDEX('Per Invoice'!N$2:N$401,$X97)="","",INDEX('Per Invoice'!N$2:N$401,$X97)))</f>
        <v/>
      </c>
      <c r="O97" s="7">
        <f>IF($X97="","",IF(INDEX('Per Invoice'!O$2:O$401,$X97)="","",INDEX('Per Invoice'!O$2:O$401,$X97)))</f>
        <v/>
      </c>
      <c r="P97" s="7">
        <f>IF($X97="","",IF(INDEX('Per Invoice'!P$2:P$401,$X97)="","",INDEX('Per Invoice'!P$2:P$401,$X97)))</f>
        <v/>
      </c>
      <c r="Q97">
        <f>IF($X97="","",IF(INDEX('Per Invoice'!Q$2:Q$401,$X97)="","",INDEX('Per Invoice'!Q$2:Q$401,$X97)))</f>
        <v/>
      </c>
      <c r="R97" s="7">
        <f>IF($X97="","",IF(INDEX('Per Invoice'!R$2:R$401,$X97)="","",INDEX('Per Invoice'!R$2:R$401,$X97)))</f>
        <v/>
      </c>
      <c r="S97" s="7">
        <f>IF($X97="","",IF(INDEX('Per Invoice'!S$2:S$401,$X97)="","",INDEX('Per Invoice'!S$2:S$401,$X97)))</f>
        <v/>
      </c>
      <c r="T97" s="7">
        <f>IF($X97="","",IF(INDEX('Per Invoice'!T$2:T$401,$X97)="","",INDEX('Per Invoice'!T$2:T$401,$X97)))</f>
        <v/>
      </c>
      <c r="U97" s="7">
        <f>IF($X97="","",IF(INDEX('Per Invoice'!U$2:U$401,$X97)="","",INDEX('Per Invoice'!U$2:U$401,$X97)))</f>
        <v/>
      </c>
      <c r="V97" s="7">
        <f>IF($X97="","",IF(INDEX('Per Invoice'!V$2:V$401,$X97)="","",INDEX('Per Invoice'!V$2:V$401,$X97)))</f>
        <v/>
      </c>
      <c r="W97" s="7">
        <f>IF($X97="","",IF(INDEX('Per Invoice'!W$2:W$401,$X97)="","",INDEX('Per Invoice'!W$2:W$401,$X97)))</f>
        <v/>
      </c>
      <c r="X97" s="16">
        <f>IFERROR(MATCH(Settings!$C$33&amp;"|"&amp;ROWS($X$2:$X97),'Per Invoice'!$Y$2:$Y$401,0),"")</f>
        <v/>
      </c>
    </row>
    <row r="98">
      <c r="A98">
        <f>IF($X98="","",IF(INDEX('Per Invoice'!A$2:A$401,$X98)="","",INDEX('Per Invoice'!A$2:A$401,$X98)))</f>
        <v/>
      </c>
      <c r="B98">
        <f>IF($X98="","",IF(INDEX('Per Invoice'!B$2:B$401,$X98)="","",INDEX('Per Invoice'!B$2:B$401,$X98)))</f>
        <v/>
      </c>
      <c r="C98">
        <f>IF($X98="","",IF(INDEX('Per Invoice'!C$2:C$401,$X98)="","",INDEX('Per Invoice'!C$2:C$401,$X98)))</f>
        <v/>
      </c>
      <c r="D98">
        <f>IF($X98="","",IF(INDEX('Per Invoice'!D$2:D$401,$X98)="","",INDEX('Per Invoice'!D$2:D$401,$X98)))</f>
        <v/>
      </c>
      <c r="E98">
        <f>IF($X98="","",IF(INDEX('Per Invoice'!E$2:E$401,$X98)="","",INDEX('Per Invoice'!E$2:E$401,$X98)))</f>
        <v/>
      </c>
      <c r="F98">
        <f>IF($X98="","",IF(INDEX('Per Invoice'!F$2:F$401,$X98)="","",INDEX('Per Invoice'!F$2:F$401,$X98)))</f>
        <v/>
      </c>
      <c r="G98">
        <f>IF($X98="","",IF(INDEX('Per Invoice'!G$2:G$401,$X98)="","",INDEX('Per Invoice'!G$2:G$401,$X98)))</f>
        <v/>
      </c>
      <c r="H98">
        <f>IF($X98="","",IF(INDEX('Per Invoice'!H$2:H$401,$X98)="","",INDEX('Per Invoice'!H$2:H$401,$X98)))</f>
        <v/>
      </c>
      <c r="I98">
        <f>IF($X98="","",IF(INDEX('Per Invoice'!I$2:I$401,$X98)="","",INDEX('Per Invoice'!I$2:I$401,$X98)))</f>
        <v/>
      </c>
      <c r="J98">
        <f>IF($X98="","",IF(INDEX('Per Invoice'!J$2:J$401,$X98)="","",INDEX('Per Invoice'!J$2:J$401,$X98)))</f>
        <v/>
      </c>
      <c r="K98" s="14">
        <f>IF($X98="","",IF(INDEX('Per Invoice'!K$2:K$401,$X98)="","",INDEX('Per Invoice'!K$2:K$401,$X98)))</f>
        <v/>
      </c>
      <c r="L98">
        <f>IF($X98="","",IF(INDEX('Per Invoice'!L$2:L$401,$X98)="","",INDEX('Per Invoice'!L$2:L$401,$X98)))</f>
        <v/>
      </c>
      <c r="M98" s="7">
        <f>IF($X98="","",IF(INDEX('Per Invoice'!M$2:M$401,$X98)="","",INDEX('Per Invoice'!M$2:M$401,$X98)))</f>
        <v/>
      </c>
      <c r="N98">
        <f>IF($X98="","",IF(INDEX('Per Invoice'!N$2:N$401,$X98)="","",INDEX('Per Invoice'!N$2:N$401,$X98)))</f>
        <v/>
      </c>
      <c r="O98" s="7">
        <f>IF($X98="","",IF(INDEX('Per Invoice'!O$2:O$401,$X98)="","",INDEX('Per Invoice'!O$2:O$401,$X98)))</f>
        <v/>
      </c>
      <c r="P98" s="7">
        <f>IF($X98="","",IF(INDEX('Per Invoice'!P$2:P$401,$X98)="","",INDEX('Per Invoice'!P$2:P$401,$X98)))</f>
        <v/>
      </c>
      <c r="Q98">
        <f>IF($X98="","",IF(INDEX('Per Invoice'!Q$2:Q$401,$X98)="","",INDEX('Per Invoice'!Q$2:Q$401,$X98)))</f>
        <v/>
      </c>
      <c r="R98" s="7">
        <f>IF($X98="","",IF(INDEX('Per Invoice'!R$2:R$401,$X98)="","",INDEX('Per Invoice'!R$2:R$401,$X98)))</f>
        <v/>
      </c>
      <c r="S98" s="7">
        <f>IF($X98="","",IF(INDEX('Per Invoice'!S$2:S$401,$X98)="","",INDEX('Per Invoice'!S$2:S$401,$X98)))</f>
        <v/>
      </c>
      <c r="T98" s="7">
        <f>IF($X98="","",IF(INDEX('Per Invoice'!T$2:T$401,$X98)="","",INDEX('Per Invoice'!T$2:T$401,$X98)))</f>
        <v/>
      </c>
      <c r="U98" s="7">
        <f>IF($X98="","",IF(INDEX('Per Invoice'!U$2:U$401,$X98)="","",INDEX('Per Invoice'!U$2:U$401,$X98)))</f>
        <v/>
      </c>
      <c r="V98" s="7">
        <f>IF($X98="","",IF(INDEX('Per Invoice'!V$2:V$401,$X98)="","",INDEX('Per Invoice'!V$2:V$401,$X98)))</f>
        <v/>
      </c>
      <c r="W98" s="7">
        <f>IF($X98="","",IF(INDEX('Per Invoice'!W$2:W$401,$X98)="","",INDEX('Per Invoice'!W$2:W$401,$X98)))</f>
        <v/>
      </c>
      <c r="X98" s="16">
        <f>IFERROR(MATCH(Settings!$C$33&amp;"|"&amp;ROWS($X$2:$X98),'Per Invoice'!$Y$2:$Y$401,0),"")</f>
        <v/>
      </c>
    </row>
    <row r="99">
      <c r="A99">
        <f>IF($X99="","",IF(INDEX('Per Invoice'!A$2:A$401,$X99)="","",INDEX('Per Invoice'!A$2:A$401,$X99)))</f>
        <v/>
      </c>
      <c r="B99">
        <f>IF($X99="","",IF(INDEX('Per Invoice'!B$2:B$401,$X99)="","",INDEX('Per Invoice'!B$2:B$401,$X99)))</f>
        <v/>
      </c>
      <c r="C99">
        <f>IF($X99="","",IF(INDEX('Per Invoice'!C$2:C$401,$X99)="","",INDEX('Per Invoice'!C$2:C$401,$X99)))</f>
        <v/>
      </c>
      <c r="D99">
        <f>IF($X99="","",IF(INDEX('Per Invoice'!D$2:D$401,$X99)="","",INDEX('Per Invoice'!D$2:D$401,$X99)))</f>
        <v/>
      </c>
      <c r="E99">
        <f>IF($X99="","",IF(INDEX('Per Invoice'!E$2:E$401,$X99)="","",INDEX('Per Invoice'!E$2:E$401,$X99)))</f>
        <v/>
      </c>
      <c r="F99">
        <f>IF($X99="","",IF(INDEX('Per Invoice'!F$2:F$401,$X99)="","",INDEX('Per Invoice'!F$2:F$401,$X99)))</f>
        <v/>
      </c>
      <c r="G99">
        <f>IF($X99="","",IF(INDEX('Per Invoice'!G$2:G$401,$X99)="","",INDEX('Per Invoice'!G$2:G$401,$X99)))</f>
        <v/>
      </c>
      <c r="H99">
        <f>IF($X99="","",IF(INDEX('Per Invoice'!H$2:H$401,$X99)="","",INDEX('Per Invoice'!H$2:H$401,$X99)))</f>
        <v/>
      </c>
      <c r="I99">
        <f>IF($X99="","",IF(INDEX('Per Invoice'!I$2:I$401,$X99)="","",INDEX('Per Invoice'!I$2:I$401,$X99)))</f>
        <v/>
      </c>
      <c r="J99">
        <f>IF($X99="","",IF(INDEX('Per Invoice'!J$2:J$401,$X99)="","",INDEX('Per Invoice'!J$2:J$401,$X99)))</f>
        <v/>
      </c>
      <c r="K99" s="14">
        <f>IF($X99="","",IF(INDEX('Per Invoice'!K$2:K$401,$X99)="","",INDEX('Per Invoice'!K$2:K$401,$X99)))</f>
        <v/>
      </c>
      <c r="L99">
        <f>IF($X99="","",IF(INDEX('Per Invoice'!L$2:L$401,$X99)="","",INDEX('Per Invoice'!L$2:L$401,$X99)))</f>
        <v/>
      </c>
      <c r="M99" s="7">
        <f>IF($X99="","",IF(INDEX('Per Invoice'!M$2:M$401,$X99)="","",INDEX('Per Invoice'!M$2:M$401,$X99)))</f>
        <v/>
      </c>
      <c r="N99">
        <f>IF($X99="","",IF(INDEX('Per Invoice'!N$2:N$401,$X99)="","",INDEX('Per Invoice'!N$2:N$401,$X99)))</f>
        <v/>
      </c>
      <c r="O99" s="7">
        <f>IF($X99="","",IF(INDEX('Per Invoice'!O$2:O$401,$X99)="","",INDEX('Per Invoice'!O$2:O$401,$X99)))</f>
        <v/>
      </c>
      <c r="P99" s="7">
        <f>IF($X99="","",IF(INDEX('Per Invoice'!P$2:P$401,$X99)="","",INDEX('Per Invoice'!P$2:P$401,$X99)))</f>
        <v/>
      </c>
      <c r="Q99">
        <f>IF($X99="","",IF(INDEX('Per Invoice'!Q$2:Q$401,$X99)="","",INDEX('Per Invoice'!Q$2:Q$401,$X99)))</f>
        <v/>
      </c>
      <c r="R99" s="7">
        <f>IF($X99="","",IF(INDEX('Per Invoice'!R$2:R$401,$X99)="","",INDEX('Per Invoice'!R$2:R$401,$X99)))</f>
        <v/>
      </c>
      <c r="S99" s="7">
        <f>IF($X99="","",IF(INDEX('Per Invoice'!S$2:S$401,$X99)="","",INDEX('Per Invoice'!S$2:S$401,$X99)))</f>
        <v/>
      </c>
      <c r="T99" s="7">
        <f>IF($X99="","",IF(INDEX('Per Invoice'!T$2:T$401,$X99)="","",INDEX('Per Invoice'!T$2:T$401,$X99)))</f>
        <v/>
      </c>
      <c r="U99" s="7">
        <f>IF($X99="","",IF(INDEX('Per Invoice'!U$2:U$401,$X99)="","",INDEX('Per Invoice'!U$2:U$401,$X99)))</f>
        <v/>
      </c>
      <c r="V99" s="7">
        <f>IF($X99="","",IF(INDEX('Per Invoice'!V$2:V$401,$X99)="","",INDEX('Per Invoice'!V$2:V$401,$X99)))</f>
        <v/>
      </c>
      <c r="W99" s="7">
        <f>IF($X99="","",IF(INDEX('Per Invoice'!W$2:W$401,$X99)="","",INDEX('Per Invoice'!W$2:W$401,$X99)))</f>
        <v/>
      </c>
      <c r="X99" s="16">
        <f>IFERROR(MATCH(Settings!$C$33&amp;"|"&amp;ROWS($X$2:$X99),'Per Invoice'!$Y$2:$Y$401,0),"")</f>
        <v/>
      </c>
    </row>
    <row r="100">
      <c r="A100">
        <f>IF($X100="","",IF(INDEX('Per Invoice'!A$2:A$401,$X100)="","",INDEX('Per Invoice'!A$2:A$401,$X100)))</f>
        <v/>
      </c>
      <c r="B100">
        <f>IF($X100="","",IF(INDEX('Per Invoice'!B$2:B$401,$X100)="","",INDEX('Per Invoice'!B$2:B$401,$X100)))</f>
        <v/>
      </c>
      <c r="C100">
        <f>IF($X100="","",IF(INDEX('Per Invoice'!C$2:C$401,$X100)="","",INDEX('Per Invoice'!C$2:C$401,$X100)))</f>
        <v/>
      </c>
      <c r="D100">
        <f>IF($X100="","",IF(INDEX('Per Invoice'!D$2:D$401,$X100)="","",INDEX('Per Invoice'!D$2:D$401,$X100)))</f>
        <v/>
      </c>
      <c r="E100">
        <f>IF($X100="","",IF(INDEX('Per Invoice'!E$2:E$401,$X100)="","",INDEX('Per Invoice'!E$2:E$401,$X100)))</f>
        <v/>
      </c>
      <c r="F100">
        <f>IF($X100="","",IF(INDEX('Per Invoice'!F$2:F$401,$X100)="","",INDEX('Per Invoice'!F$2:F$401,$X100)))</f>
        <v/>
      </c>
      <c r="G100">
        <f>IF($X100="","",IF(INDEX('Per Invoice'!G$2:G$401,$X100)="","",INDEX('Per Invoice'!G$2:G$401,$X100)))</f>
        <v/>
      </c>
      <c r="H100">
        <f>IF($X100="","",IF(INDEX('Per Invoice'!H$2:H$401,$X100)="","",INDEX('Per Invoice'!H$2:H$401,$X100)))</f>
        <v/>
      </c>
      <c r="I100">
        <f>IF($X100="","",IF(INDEX('Per Invoice'!I$2:I$401,$X100)="","",INDEX('Per Invoice'!I$2:I$401,$X100)))</f>
        <v/>
      </c>
      <c r="J100">
        <f>IF($X100="","",IF(INDEX('Per Invoice'!J$2:J$401,$X100)="","",INDEX('Per Invoice'!J$2:J$401,$X100)))</f>
        <v/>
      </c>
      <c r="K100" s="14">
        <f>IF($X100="","",IF(INDEX('Per Invoice'!K$2:K$401,$X100)="","",INDEX('Per Invoice'!K$2:K$401,$X100)))</f>
        <v/>
      </c>
      <c r="L100">
        <f>IF($X100="","",IF(INDEX('Per Invoice'!L$2:L$401,$X100)="","",INDEX('Per Invoice'!L$2:L$401,$X100)))</f>
        <v/>
      </c>
      <c r="M100" s="7">
        <f>IF($X100="","",IF(INDEX('Per Invoice'!M$2:M$401,$X100)="","",INDEX('Per Invoice'!M$2:M$401,$X100)))</f>
        <v/>
      </c>
      <c r="N100">
        <f>IF($X100="","",IF(INDEX('Per Invoice'!N$2:N$401,$X100)="","",INDEX('Per Invoice'!N$2:N$401,$X100)))</f>
        <v/>
      </c>
      <c r="O100" s="7">
        <f>IF($X100="","",IF(INDEX('Per Invoice'!O$2:O$401,$X100)="","",INDEX('Per Invoice'!O$2:O$401,$X100)))</f>
        <v/>
      </c>
      <c r="P100" s="7">
        <f>IF($X100="","",IF(INDEX('Per Invoice'!P$2:P$401,$X100)="","",INDEX('Per Invoice'!P$2:P$401,$X100)))</f>
        <v/>
      </c>
      <c r="Q100">
        <f>IF($X100="","",IF(INDEX('Per Invoice'!Q$2:Q$401,$X100)="","",INDEX('Per Invoice'!Q$2:Q$401,$X100)))</f>
        <v/>
      </c>
      <c r="R100" s="7">
        <f>IF($X100="","",IF(INDEX('Per Invoice'!R$2:R$401,$X100)="","",INDEX('Per Invoice'!R$2:R$401,$X100)))</f>
        <v/>
      </c>
      <c r="S100" s="7">
        <f>IF($X100="","",IF(INDEX('Per Invoice'!S$2:S$401,$X100)="","",INDEX('Per Invoice'!S$2:S$401,$X100)))</f>
        <v/>
      </c>
      <c r="T100" s="7">
        <f>IF($X100="","",IF(INDEX('Per Invoice'!T$2:T$401,$X100)="","",INDEX('Per Invoice'!T$2:T$401,$X100)))</f>
        <v/>
      </c>
      <c r="U100" s="7">
        <f>IF($X100="","",IF(INDEX('Per Invoice'!U$2:U$401,$X100)="","",INDEX('Per Invoice'!U$2:U$401,$X100)))</f>
        <v/>
      </c>
      <c r="V100" s="7">
        <f>IF($X100="","",IF(INDEX('Per Invoice'!V$2:V$401,$X100)="","",INDEX('Per Invoice'!V$2:V$401,$X100)))</f>
        <v/>
      </c>
      <c r="W100" s="7">
        <f>IF($X100="","",IF(INDEX('Per Invoice'!W$2:W$401,$X100)="","",INDEX('Per Invoice'!W$2:W$401,$X100)))</f>
        <v/>
      </c>
      <c r="X100" s="16">
        <f>IFERROR(MATCH(Settings!$C$33&amp;"|"&amp;ROWS($X$2:$X100),'Per Invoice'!$Y$2:$Y$401,0),"")</f>
        <v/>
      </c>
    </row>
    <row r="101">
      <c r="A101">
        <f>IF($X101="","",IF(INDEX('Per Invoice'!A$2:A$401,$X101)="","",INDEX('Per Invoice'!A$2:A$401,$X101)))</f>
        <v/>
      </c>
      <c r="B101">
        <f>IF($X101="","",IF(INDEX('Per Invoice'!B$2:B$401,$X101)="","",INDEX('Per Invoice'!B$2:B$401,$X101)))</f>
        <v/>
      </c>
      <c r="C101">
        <f>IF($X101="","",IF(INDEX('Per Invoice'!C$2:C$401,$X101)="","",INDEX('Per Invoice'!C$2:C$401,$X101)))</f>
        <v/>
      </c>
      <c r="D101">
        <f>IF($X101="","",IF(INDEX('Per Invoice'!D$2:D$401,$X101)="","",INDEX('Per Invoice'!D$2:D$401,$X101)))</f>
        <v/>
      </c>
      <c r="E101">
        <f>IF($X101="","",IF(INDEX('Per Invoice'!E$2:E$401,$X101)="","",INDEX('Per Invoice'!E$2:E$401,$X101)))</f>
        <v/>
      </c>
      <c r="F101">
        <f>IF($X101="","",IF(INDEX('Per Invoice'!F$2:F$401,$X101)="","",INDEX('Per Invoice'!F$2:F$401,$X101)))</f>
        <v/>
      </c>
      <c r="G101">
        <f>IF($X101="","",IF(INDEX('Per Invoice'!G$2:G$401,$X101)="","",INDEX('Per Invoice'!G$2:G$401,$X101)))</f>
        <v/>
      </c>
      <c r="H101">
        <f>IF($X101="","",IF(INDEX('Per Invoice'!H$2:H$401,$X101)="","",INDEX('Per Invoice'!H$2:H$401,$X101)))</f>
        <v/>
      </c>
      <c r="I101">
        <f>IF($X101="","",IF(INDEX('Per Invoice'!I$2:I$401,$X101)="","",INDEX('Per Invoice'!I$2:I$401,$X101)))</f>
        <v/>
      </c>
      <c r="J101">
        <f>IF($X101="","",IF(INDEX('Per Invoice'!J$2:J$401,$X101)="","",INDEX('Per Invoice'!J$2:J$401,$X101)))</f>
        <v/>
      </c>
      <c r="K101" s="14">
        <f>IF($X101="","",IF(INDEX('Per Invoice'!K$2:K$401,$X101)="","",INDEX('Per Invoice'!K$2:K$401,$X101)))</f>
        <v/>
      </c>
      <c r="L101">
        <f>IF($X101="","",IF(INDEX('Per Invoice'!L$2:L$401,$X101)="","",INDEX('Per Invoice'!L$2:L$401,$X101)))</f>
        <v/>
      </c>
      <c r="M101" s="7">
        <f>IF($X101="","",IF(INDEX('Per Invoice'!M$2:M$401,$X101)="","",INDEX('Per Invoice'!M$2:M$401,$X101)))</f>
        <v/>
      </c>
      <c r="N101">
        <f>IF($X101="","",IF(INDEX('Per Invoice'!N$2:N$401,$X101)="","",INDEX('Per Invoice'!N$2:N$401,$X101)))</f>
        <v/>
      </c>
      <c r="O101" s="7">
        <f>IF($X101="","",IF(INDEX('Per Invoice'!O$2:O$401,$X101)="","",INDEX('Per Invoice'!O$2:O$401,$X101)))</f>
        <v/>
      </c>
      <c r="P101" s="7">
        <f>IF($X101="","",IF(INDEX('Per Invoice'!P$2:P$401,$X101)="","",INDEX('Per Invoice'!P$2:P$401,$X101)))</f>
        <v/>
      </c>
      <c r="Q101">
        <f>IF($X101="","",IF(INDEX('Per Invoice'!Q$2:Q$401,$X101)="","",INDEX('Per Invoice'!Q$2:Q$401,$X101)))</f>
        <v/>
      </c>
      <c r="R101" s="7">
        <f>IF($X101="","",IF(INDEX('Per Invoice'!R$2:R$401,$X101)="","",INDEX('Per Invoice'!R$2:R$401,$X101)))</f>
        <v/>
      </c>
      <c r="S101" s="7">
        <f>IF($X101="","",IF(INDEX('Per Invoice'!S$2:S$401,$X101)="","",INDEX('Per Invoice'!S$2:S$401,$X101)))</f>
        <v/>
      </c>
      <c r="T101" s="7">
        <f>IF($X101="","",IF(INDEX('Per Invoice'!T$2:T$401,$X101)="","",INDEX('Per Invoice'!T$2:T$401,$X101)))</f>
        <v/>
      </c>
      <c r="U101" s="7">
        <f>IF($X101="","",IF(INDEX('Per Invoice'!U$2:U$401,$X101)="","",INDEX('Per Invoice'!U$2:U$401,$X101)))</f>
        <v/>
      </c>
      <c r="V101" s="7">
        <f>IF($X101="","",IF(INDEX('Per Invoice'!V$2:V$401,$X101)="","",INDEX('Per Invoice'!V$2:V$401,$X101)))</f>
        <v/>
      </c>
      <c r="W101" s="7">
        <f>IF($X101="","",IF(INDEX('Per Invoice'!W$2:W$401,$X101)="","",INDEX('Per Invoice'!W$2:W$401,$X101)))</f>
        <v/>
      </c>
      <c r="X101" s="16">
        <f>IFERROR(MATCH(Settings!$C$33&amp;"|"&amp;ROWS($X$2:$X101),'Per Invoice'!$Y$2:$Y$401,0),"")</f>
        <v/>
      </c>
    </row>
    <row r="102">
      <c r="A102">
        <f>IF($X102="","",IF(INDEX('Per Invoice'!A$2:A$401,$X102)="","",INDEX('Per Invoice'!A$2:A$401,$X102)))</f>
        <v/>
      </c>
      <c r="B102">
        <f>IF($X102="","",IF(INDEX('Per Invoice'!B$2:B$401,$X102)="","",INDEX('Per Invoice'!B$2:B$401,$X102)))</f>
        <v/>
      </c>
      <c r="C102">
        <f>IF($X102="","",IF(INDEX('Per Invoice'!C$2:C$401,$X102)="","",INDEX('Per Invoice'!C$2:C$401,$X102)))</f>
        <v/>
      </c>
      <c r="D102">
        <f>IF($X102="","",IF(INDEX('Per Invoice'!D$2:D$401,$X102)="","",INDEX('Per Invoice'!D$2:D$401,$X102)))</f>
        <v/>
      </c>
      <c r="E102">
        <f>IF($X102="","",IF(INDEX('Per Invoice'!E$2:E$401,$X102)="","",INDEX('Per Invoice'!E$2:E$401,$X102)))</f>
        <v/>
      </c>
      <c r="F102">
        <f>IF($X102="","",IF(INDEX('Per Invoice'!F$2:F$401,$X102)="","",INDEX('Per Invoice'!F$2:F$401,$X102)))</f>
        <v/>
      </c>
      <c r="G102">
        <f>IF($X102="","",IF(INDEX('Per Invoice'!G$2:G$401,$X102)="","",INDEX('Per Invoice'!G$2:G$401,$X102)))</f>
        <v/>
      </c>
      <c r="H102">
        <f>IF($X102="","",IF(INDEX('Per Invoice'!H$2:H$401,$X102)="","",INDEX('Per Invoice'!H$2:H$401,$X102)))</f>
        <v/>
      </c>
      <c r="I102">
        <f>IF($X102="","",IF(INDEX('Per Invoice'!I$2:I$401,$X102)="","",INDEX('Per Invoice'!I$2:I$401,$X102)))</f>
        <v/>
      </c>
      <c r="J102">
        <f>IF($X102="","",IF(INDEX('Per Invoice'!J$2:J$401,$X102)="","",INDEX('Per Invoice'!J$2:J$401,$X102)))</f>
        <v/>
      </c>
      <c r="K102" s="14">
        <f>IF($X102="","",IF(INDEX('Per Invoice'!K$2:K$401,$X102)="","",INDEX('Per Invoice'!K$2:K$401,$X102)))</f>
        <v/>
      </c>
      <c r="L102">
        <f>IF($X102="","",IF(INDEX('Per Invoice'!L$2:L$401,$X102)="","",INDEX('Per Invoice'!L$2:L$401,$X102)))</f>
        <v/>
      </c>
      <c r="M102" s="7">
        <f>IF($X102="","",IF(INDEX('Per Invoice'!M$2:M$401,$X102)="","",INDEX('Per Invoice'!M$2:M$401,$X102)))</f>
        <v/>
      </c>
      <c r="N102">
        <f>IF($X102="","",IF(INDEX('Per Invoice'!N$2:N$401,$X102)="","",INDEX('Per Invoice'!N$2:N$401,$X102)))</f>
        <v/>
      </c>
      <c r="O102" s="7">
        <f>IF($X102="","",IF(INDEX('Per Invoice'!O$2:O$401,$X102)="","",INDEX('Per Invoice'!O$2:O$401,$X102)))</f>
        <v/>
      </c>
      <c r="P102" s="7">
        <f>IF($X102="","",IF(INDEX('Per Invoice'!P$2:P$401,$X102)="","",INDEX('Per Invoice'!P$2:P$401,$X102)))</f>
        <v/>
      </c>
      <c r="Q102">
        <f>IF($X102="","",IF(INDEX('Per Invoice'!Q$2:Q$401,$X102)="","",INDEX('Per Invoice'!Q$2:Q$401,$X102)))</f>
        <v/>
      </c>
      <c r="R102" s="7">
        <f>IF($X102="","",IF(INDEX('Per Invoice'!R$2:R$401,$X102)="","",INDEX('Per Invoice'!R$2:R$401,$X102)))</f>
        <v/>
      </c>
      <c r="S102" s="7">
        <f>IF($X102="","",IF(INDEX('Per Invoice'!S$2:S$401,$X102)="","",INDEX('Per Invoice'!S$2:S$401,$X102)))</f>
        <v/>
      </c>
      <c r="T102" s="7">
        <f>IF($X102="","",IF(INDEX('Per Invoice'!T$2:T$401,$X102)="","",INDEX('Per Invoice'!T$2:T$401,$X102)))</f>
        <v/>
      </c>
      <c r="U102" s="7">
        <f>IF($X102="","",IF(INDEX('Per Invoice'!U$2:U$401,$X102)="","",INDEX('Per Invoice'!U$2:U$401,$X102)))</f>
        <v/>
      </c>
      <c r="V102" s="7">
        <f>IF($X102="","",IF(INDEX('Per Invoice'!V$2:V$401,$X102)="","",INDEX('Per Invoice'!V$2:V$401,$X102)))</f>
        <v/>
      </c>
      <c r="W102" s="7">
        <f>IF($X102="","",IF(INDEX('Per Invoice'!W$2:W$401,$X102)="","",INDEX('Per Invoice'!W$2:W$401,$X102)))</f>
        <v/>
      </c>
      <c r="X102" s="16">
        <f>IFERROR(MATCH(Settings!$C$33&amp;"|"&amp;ROWS($X$2:$X102),'Per Invoice'!$Y$2:$Y$401,0),"")</f>
        <v/>
      </c>
    </row>
    <row r="103">
      <c r="A103">
        <f>IF($X103="","",IF(INDEX('Per Invoice'!A$2:A$401,$X103)="","",INDEX('Per Invoice'!A$2:A$401,$X103)))</f>
        <v/>
      </c>
      <c r="B103">
        <f>IF($X103="","",IF(INDEX('Per Invoice'!B$2:B$401,$X103)="","",INDEX('Per Invoice'!B$2:B$401,$X103)))</f>
        <v/>
      </c>
      <c r="C103">
        <f>IF($X103="","",IF(INDEX('Per Invoice'!C$2:C$401,$X103)="","",INDEX('Per Invoice'!C$2:C$401,$X103)))</f>
        <v/>
      </c>
      <c r="D103">
        <f>IF($X103="","",IF(INDEX('Per Invoice'!D$2:D$401,$X103)="","",INDEX('Per Invoice'!D$2:D$401,$X103)))</f>
        <v/>
      </c>
      <c r="E103">
        <f>IF($X103="","",IF(INDEX('Per Invoice'!E$2:E$401,$X103)="","",INDEX('Per Invoice'!E$2:E$401,$X103)))</f>
        <v/>
      </c>
      <c r="F103">
        <f>IF($X103="","",IF(INDEX('Per Invoice'!F$2:F$401,$X103)="","",INDEX('Per Invoice'!F$2:F$401,$X103)))</f>
        <v/>
      </c>
      <c r="G103">
        <f>IF($X103="","",IF(INDEX('Per Invoice'!G$2:G$401,$X103)="","",INDEX('Per Invoice'!G$2:G$401,$X103)))</f>
        <v/>
      </c>
      <c r="H103">
        <f>IF($X103="","",IF(INDEX('Per Invoice'!H$2:H$401,$X103)="","",INDEX('Per Invoice'!H$2:H$401,$X103)))</f>
        <v/>
      </c>
      <c r="I103">
        <f>IF($X103="","",IF(INDEX('Per Invoice'!I$2:I$401,$X103)="","",INDEX('Per Invoice'!I$2:I$401,$X103)))</f>
        <v/>
      </c>
      <c r="J103">
        <f>IF($X103="","",IF(INDEX('Per Invoice'!J$2:J$401,$X103)="","",INDEX('Per Invoice'!J$2:J$401,$X103)))</f>
        <v/>
      </c>
      <c r="K103" s="14">
        <f>IF($X103="","",IF(INDEX('Per Invoice'!K$2:K$401,$X103)="","",INDEX('Per Invoice'!K$2:K$401,$X103)))</f>
        <v/>
      </c>
      <c r="L103">
        <f>IF($X103="","",IF(INDEX('Per Invoice'!L$2:L$401,$X103)="","",INDEX('Per Invoice'!L$2:L$401,$X103)))</f>
        <v/>
      </c>
      <c r="M103" s="7">
        <f>IF($X103="","",IF(INDEX('Per Invoice'!M$2:M$401,$X103)="","",INDEX('Per Invoice'!M$2:M$401,$X103)))</f>
        <v/>
      </c>
      <c r="N103">
        <f>IF($X103="","",IF(INDEX('Per Invoice'!N$2:N$401,$X103)="","",INDEX('Per Invoice'!N$2:N$401,$X103)))</f>
        <v/>
      </c>
      <c r="O103" s="7">
        <f>IF($X103="","",IF(INDEX('Per Invoice'!O$2:O$401,$X103)="","",INDEX('Per Invoice'!O$2:O$401,$X103)))</f>
        <v/>
      </c>
      <c r="P103" s="7">
        <f>IF($X103="","",IF(INDEX('Per Invoice'!P$2:P$401,$X103)="","",INDEX('Per Invoice'!P$2:P$401,$X103)))</f>
        <v/>
      </c>
      <c r="Q103">
        <f>IF($X103="","",IF(INDEX('Per Invoice'!Q$2:Q$401,$X103)="","",INDEX('Per Invoice'!Q$2:Q$401,$X103)))</f>
        <v/>
      </c>
      <c r="R103" s="7">
        <f>IF($X103="","",IF(INDEX('Per Invoice'!R$2:R$401,$X103)="","",INDEX('Per Invoice'!R$2:R$401,$X103)))</f>
        <v/>
      </c>
      <c r="S103" s="7">
        <f>IF($X103="","",IF(INDEX('Per Invoice'!S$2:S$401,$X103)="","",INDEX('Per Invoice'!S$2:S$401,$X103)))</f>
        <v/>
      </c>
      <c r="T103" s="7">
        <f>IF($X103="","",IF(INDEX('Per Invoice'!T$2:T$401,$X103)="","",INDEX('Per Invoice'!T$2:T$401,$X103)))</f>
        <v/>
      </c>
      <c r="U103" s="7">
        <f>IF($X103="","",IF(INDEX('Per Invoice'!U$2:U$401,$X103)="","",INDEX('Per Invoice'!U$2:U$401,$X103)))</f>
        <v/>
      </c>
      <c r="V103" s="7">
        <f>IF($X103="","",IF(INDEX('Per Invoice'!V$2:V$401,$X103)="","",INDEX('Per Invoice'!V$2:V$401,$X103)))</f>
        <v/>
      </c>
      <c r="W103" s="7">
        <f>IF($X103="","",IF(INDEX('Per Invoice'!W$2:W$401,$X103)="","",INDEX('Per Invoice'!W$2:W$401,$X103)))</f>
        <v/>
      </c>
      <c r="X103" s="16">
        <f>IFERROR(MATCH(Settings!$C$33&amp;"|"&amp;ROWS($X$2:$X103),'Per Invoice'!$Y$2:$Y$401,0),"")</f>
        <v/>
      </c>
    </row>
    <row r="104">
      <c r="A104">
        <f>IF($X104="","",IF(INDEX('Per Invoice'!A$2:A$401,$X104)="","",INDEX('Per Invoice'!A$2:A$401,$X104)))</f>
        <v/>
      </c>
      <c r="B104">
        <f>IF($X104="","",IF(INDEX('Per Invoice'!B$2:B$401,$X104)="","",INDEX('Per Invoice'!B$2:B$401,$X104)))</f>
        <v/>
      </c>
      <c r="C104">
        <f>IF($X104="","",IF(INDEX('Per Invoice'!C$2:C$401,$X104)="","",INDEX('Per Invoice'!C$2:C$401,$X104)))</f>
        <v/>
      </c>
      <c r="D104">
        <f>IF($X104="","",IF(INDEX('Per Invoice'!D$2:D$401,$X104)="","",INDEX('Per Invoice'!D$2:D$401,$X104)))</f>
        <v/>
      </c>
      <c r="E104">
        <f>IF($X104="","",IF(INDEX('Per Invoice'!E$2:E$401,$X104)="","",INDEX('Per Invoice'!E$2:E$401,$X104)))</f>
        <v/>
      </c>
      <c r="F104">
        <f>IF($X104="","",IF(INDEX('Per Invoice'!F$2:F$401,$X104)="","",INDEX('Per Invoice'!F$2:F$401,$X104)))</f>
        <v/>
      </c>
      <c r="G104">
        <f>IF($X104="","",IF(INDEX('Per Invoice'!G$2:G$401,$X104)="","",INDEX('Per Invoice'!G$2:G$401,$X104)))</f>
        <v/>
      </c>
      <c r="H104">
        <f>IF($X104="","",IF(INDEX('Per Invoice'!H$2:H$401,$X104)="","",INDEX('Per Invoice'!H$2:H$401,$X104)))</f>
        <v/>
      </c>
      <c r="I104">
        <f>IF($X104="","",IF(INDEX('Per Invoice'!I$2:I$401,$X104)="","",INDEX('Per Invoice'!I$2:I$401,$X104)))</f>
        <v/>
      </c>
      <c r="J104">
        <f>IF($X104="","",IF(INDEX('Per Invoice'!J$2:J$401,$X104)="","",INDEX('Per Invoice'!J$2:J$401,$X104)))</f>
        <v/>
      </c>
      <c r="K104" s="14">
        <f>IF($X104="","",IF(INDEX('Per Invoice'!K$2:K$401,$X104)="","",INDEX('Per Invoice'!K$2:K$401,$X104)))</f>
        <v/>
      </c>
      <c r="L104">
        <f>IF($X104="","",IF(INDEX('Per Invoice'!L$2:L$401,$X104)="","",INDEX('Per Invoice'!L$2:L$401,$X104)))</f>
        <v/>
      </c>
      <c r="M104" s="7">
        <f>IF($X104="","",IF(INDEX('Per Invoice'!M$2:M$401,$X104)="","",INDEX('Per Invoice'!M$2:M$401,$X104)))</f>
        <v/>
      </c>
      <c r="N104">
        <f>IF($X104="","",IF(INDEX('Per Invoice'!N$2:N$401,$X104)="","",INDEX('Per Invoice'!N$2:N$401,$X104)))</f>
        <v/>
      </c>
      <c r="O104" s="7">
        <f>IF($X104="","",IF(INDEX('Per Invoice'!O$2:O$401,$X104)="","",INDEX('Per Invoice'!O$2:O$401,$X104)))</f>
        <v/>
      </c>
      <c r="P104" s="7">
        <f>IF($X104="","",IF(INDEX('Per Invoice'!P$2:P$401,$X104)="","",INDEX('Per Invoice'!P$2:P$401,$X104)))</f>
        <v/>
      </c>
      <c r="Q104">
        <f>IF($X104="","",IF(INDEX('Per Invoice'!Q$2:Q$401,$X104)="","",INDEX('Per Invoice'!Q$2:Q$401,$X104)))</f>
        <v/>
      </c>
      <c r="R104" s="7">
        <f>IF($X104="","",IF(INDEX('Per Invoice'!R$2:R$401,$X104)="","",INDEX('Per Invoice'!R$2:R$401,$X104)))</f>
        <v/>
      </c>
      <c r="S104" s="7">
        <f>IF($X104="","",IF(INDEX('Per Invoice'!S$2:S$401,$X104)="","",INDEX('Per Invoice'!S$2:S$401,$X104)))</f>
        <v/>
      </c>
      <c r="T104" s="7">
        <f>IF($X104="","",IF(INDEX('Per Invoice'!T$2:T$401,$X104)="","",INDEX('Per Invoice'!T$2:T$401,$X104)))</f>
        <v/>
      </c>
      <c r="U104" s="7">
        <f>IF($X104="","",IF(INDEX('Per Invoice'!U$2:U$401,$X104)="","",INDEX('Per Invoice'!U$2:U$401,$X104)))</f>
        <v/>
      </c>
      <c r="V104" s="7">
        <f>IF($X104="","",IF(INDEX('Per Invoice'!V$2:V$401,$X104)="","",INDEX('Per Invoice'!V$2:V$401,$X104)))</f>
        <v/>
      </c>
      <c r="W104" s="7">
        <f>IF($X104="","",IF(INDEX('Per Invoice'!W$2:W$401,$X104)="","",INDEX('Per Invoice'!W$2:W$401,$X104)))</f>
        <v/>
      </c>
      <c r="X104" s="16">
        <f>IFERROR(MATCH(Settings!$C$33&amp;"|"&amp;ROWS($X$2:$X104),'Per Invoice'!$Y$2:$Y$401,0),"")</f>
        <v/>
      </c>
    </row>
    <row r="105">
      <c r="A105">
        <f>IF($X105="","",IF(INDEX('Per Invoice'!A$2:A$401,$X105)="","",INDEX('Per Invoice'!A$2:A$401,$X105)))</f>
        <v/>
      </c>
      <c r="B105">
        <f>IF($X105="","",IF(INDEX('Per Invoice'!B$2:B$401,$X105)="","",INDEX('Per Invoice'!B$2:B$401,$X105)))</f>
        <v/>
      </c>
      <c r="C105">
        <f>IF($X105="","",IF(INDEX('Per Invoice'!C$2:C$401,$X105)="","",INDEX('Per Invoice'!C$2:C$401,$X105)))</f>
        <v/>
      </c>
      <c r="D105">
        <f>IF($X105="","",IF(INDEX('Per Invoice'!D$2:D$401,$X105)="","",INDEX('Per Invoice'!D$2:D$401,$X105)))</f>
        <v/>
      </c>
      <c r="E105">
        <f>IF($X105="","",IF(INDEX('Per Invoice'!E$2:E$401,$X105)="","",INDEX('Per Invoice'!E$2:E$401,$X105)))</f>
        <v/>
      </c>
      <c r="F105">
        <f>IF($X105="","",IF(INDEX('Per Invoice'!F$2:F$401,$X105)="","",INDEX('Per Invoice'!F$2:F$401,$X105)))</f>
        <v/>
      </c>
      <c r="G105">
        <f>IF($X105="","",IF(INDEX('Per Invoice'!G$2:G$401,$X105)="","",INDEX('Per Invoice'!G$2:G$401,$X105)))</f>
        <v/>
      </c>
      <c r="H105">
        <f>IF($X105="","",IF(INDEX('Per Invoice'!H$2:H$401,$X105)="","",INDEX('Per Invoice'!H$2:H$401,$X105)))</f>
        <v/>
      </c>
      <c r="I105">
        <f>IF($X105="","",IF(INDEX('Per Invoice'!I$2:I$401,$X105)="","",INDEX('Per Invoice'!I$2:I$401,$X105)))</f>
        <v/>
      </c>
      <c r="J105">
        <f>IF($X105="","",IF(INDEX('Per Invoice'!J$2:J$401,$X105)="","",INDEX('Per Invoice'!J$2:J$401,$X105)))</f>
        <v/>
      </c>
      <c r="K105" s="14">
        <f>IF($X105="","",IF(INDEX('Per Invoice'!K$2:K$401,$X105)="","",INDEX('Per Invoice'!K$2:K$401,$X105)))</f>
        <v/>
      </c>
      <c r="L105">
        <f>IF($X105="","",IF(INDEX('Per Invoice'!L$2:L$401,$X105)="","",INDEX('Per Invoice'!L$2:L$401,$X105)))</f>
        <v/>
      </c>
      <c r="M105" s="7">
        <f>IF($X105="","",IF(INDEX('Per Invoice'!M$2:M$401,$X105)="","",INDEX('Per Invoice'!M$2:M$401,$X105)))</f>
        <v/>
      </c>
      <c r="N105">
        <f>IF($X105="","",IF(INDEX('Per Invoice'!N$2:N$401,$X105)="","",INDEX('Per Invoice'!N$2:N$401,$X105)))</f>
        <v/>
      </c>
      <c r="O105" s="7">
        <f>IF($X105="","",IF(INDEX('Per Invoice'!O$2:O$401,$X105)="","",INDEX('Per Invoice'!O$2:O$401,$X105)))</f>
        <v/>
      </c>
      <c r="P105" s="7">
        <f>IF($X105="","",IF(INDEX('Per Invoice'!P$2:P$401,$X105)="","",INDEX('Per Invoice'!P$2:P$401,$X105)))</f>
        <v/>
      </c>
      <c r="Q105">
        <f>IF($X105="","",IF(INDEX('Per Invoice'!Q$2:Q$401,$X105)="","",INDEX('Per Invoice'!Q$2:Q$401,$X105)))</f>
        <v/>
      </c>
      <c r="R105" s="7">
        <f>IF($X105="","",IF(INDEX('Per Invoice'!R$2:R$401,$X105)="","",INDEX('Per Invoice'!R$2:R$401,$X105)))</f>
        <v/>
      </c>
      <c r="S105" s="7">
        <f>IF($X105="","",IF(INDEX('Per Invoice'!S$2:S$401,$X105)="","",INDEX('Per Invoice'!S$2:S$401,$X105)))</f>
        <v/>
      </c>
      <c r="T105" s="7">
        <f>IF($X105="","",IF(INDEX('Per Invoice'!T$2:T$401,$X105)="","",INDEX('Per Invoice'!T$2:T$401,$X105)))</f>
        <v/>
      </c>
      <c r="U105" s="7">
        <f>IF($X105="","",IF(INDEX('Per Invoice'!U$2:U$401,$X105)="","",INDEX('Per Invoice'!U$2:U$401,$X105)))</f>
        <v/>
      </c>
      <c r="V105" s="7">
        <f>IF($X105="","",IF(INDEX('Per Invoice'!V$2:V$401,$X105)="","",INDEX('Per Invoice'!V$2:V$401,$X105)))</f>
        <v/>
      </c>
      <c r="W105" s="7">
        <f>IF($X105="","",IF(INDEX('Per Invoice'!W$2:W$401,$X105)="","",INDEX('Per Invoice'!W$2:W$401,$X105)))</f>
        <v/>
      </c>
      <c r="X105" s="16">
        <f>IFERROR(MATCH(Settings!$C$33&amp;"|"&amp;ROWS($X$2:$X105),'Per Invoice'!$Y$2:$Y$401,0),"")</f>
        <v/>
      </c>
    </row>
    <row r="106">
      <c r="A106">
        <f>IF($X106="","",IF(INDEX('Per Invoice'!A$2:A$401,$X106)="","",INDEX('Per Invoice'!A$2:A$401,$X106)))</f>
        <v/>
      </c>
      <c r="B106">
        <f>IF($X106="","",IF(INDEX('Per Invoice'!B$2:B$401,$X106)="","",INDEX('Per Invoice'!B$2:B$401,$X106)))</f>
        <v/>
      </c>
      <c r="C106">
        <f>IF($X106="","",IF(INDEX('Per Invoice'!C$2:C$401,$X106)="","",INDEX('Per Invoice'!C$2:C$401,$X106)))</f>
        <v/>
      </c>
      <c r="D106">
        <f>IF($X106="","",IF(INDEX('Per Invoice'!D$2:D$401,$X106)="","",INDEX('Per Invoice'!D$2:D$401,$X106)))</f>
        <v/>
      </c>
      <c r="E106">
        <f>IF($X106="","",IF(INDEX('Per Invoice'!E$2:E$401,$X106)="","",INDEX('Per Invoice'!E$2:E$401,$X106)))</f>
        <v/>
      </c>
      <c r="F106">
        <f>IF($X106="","",IF(INDEX('Per Invoice'!F$2:F$401,$X106)="","",INDEX('Per Invoice'!F$2:F$401,$X106)))</f>
        <v/>
      </c>
      <c r="G106">
        <f>IF($X106="","",IF(INDEX('Per Invoice'!G$2:G$401,$X106)="","",INDEX('Per Invoice'!G$2:G$401,$X106)))</f>
        <v/>
      </c>
      <c r="H106">
        <f>IF($X106="","",IF(INDEX('Per Invoice'!H$2:H$401,$X106)="","",INDEX('Per Invoice'!H$2:H$401,$X106)))</f>
        <v/>
      </c>
      <c r="I106">
        <f>IF($X106="","",IF(INDEX('Per Invoice'!I$2:I$401,$X106)="","",INDEX('Per Invoice'!I$2:I$401,$X106)))</f>
        <v/>
      </c>
      <c r="J106">
        <f>IF($X106="","",IF(INDEX('Per Invoice'!J$2:J$401,$X106)="","",INDEX('Per Invoice'!J$2:J$401,$X106)))</f>
        <v/>
      </c>
      <c r="K106" s="14">
        <f>IF($X106="","",IF(INDEX('Per Invoice'!K$2:K$401,$X106)="","",INDEX('Per Invoice'!K$2:K$401,$X106)))</f>
        <v/>
      </c>
      <c r="L106">
        <f>IF($X106="","",IF(INDEX('Per Invoice'!L$2:L$401,$X106)="","",INDEX('Per Invoice'!L$2:L$401,$X106)))</f>
        <v/>
      </c>
      <c r="M106" s="7">
        <f>IF($X106="","",IF(INDEX('Per Invoice'!M$2:M$401,$X106)="","",INDEX('Per Invoice'!M$2:M$401,$X106)))</f>
        <v/>
      </c>
      <c r="N106">
        <f>IF($X106="","",IF(INDEX('Per Invoice'!N$2:N$401,$X106)="","",INDEX('Per Invoice'!N$2:N$401,$X106)))</f>
        <v/>
      </c>
      <c r="O106" s="7">
        <f>IF($X106="","",IF(INDEX('Per Invoice'!O$2:O$401,$X106)="","",INDEX('Per Invoice'!O$2:O$401,$X106)))</f>
        <v/>
      </c>
      <c r="P106" s="7">
        <f>IF($X106="","",IF(INDEX('Per Invoice'!P$2:P$401,$X106)="","",INDEX('Per Invoice'!P$2:P$401,$X106)))</f>
        <v/>
      </c>
      <c r="Q106">
        <f>IF($X106="","",IF(INDEX('Per Invoice'!Q$2:Q$401,$X106)="","",INDEX('Per Invoice'!Q$2:Q$401,$X106)))</f>
        <v/>
      </c>
      <c r="R106" s="7">
        <f>IF($X106="","",IF(INDEX('Per Invoice'!R$2:R$401,$X106)="","",INDEX('Per Invoice'!R$2:R$401,$X106)))</f>
        <v/>
      </c>
      <c r="S106" s="7">
        <f>IF($X106="","",IF(INDEX('Per Invoice'!S$2:S$401,$X106)="","",INDEX('Per Invoice'!S$2:S$401,$X106)))</f>
        <v/>
      </c>
      <c r="T106" s="7">
        <f>IF($X106="","",IF(INDEX('Per Invoice'!T$2:T$401,$X106)="","",INDEX('Per Invoice'!T$2:T$401,$X106)))</f>
        <v/>
      </c>
      <c r="U106" s="7">
        <f>IF($X106="","",IF(INDEX('Per Invoice'!U$2:U$401,$X106)="","",INDEX('Per Invoice'!U$2:U$401,$X106)))</f>
        <v/>
      </c>
      <c r="V106" s="7">
        <f>IF($X106="","",IF(INDEX('Per Invoice'!V$2:V$401,$X106)="","",INDEX('Per Invoice'!V$2:V$401,$X106)))</f>
        <v/>
      </c>
      <c r="W106" s="7">
        <f>IF($X106="","",IF(INDEX('Per Invoice'!W$2:W$401,$X106)="","",INDEX('Per Invoice'!W$2:W$401,$X106)))</f>
        <v/>
      </c>
      <c r="X106" s="16">
        <f>IFERROR(MATCH(Settings!$C$33&amp;"|"&amp;ROWS($X$2:$X106),'Per Invoice'!$Y$2:$Y$401,0),"")</f>
        <v/>
      </c>
    </row>
    <row r="107">
      <c r="A107">
        <f>IF($X107="","",IF(INDEX('Per Invoice'!A$2:A$401,$X107)="","",INDEX('Per Invoice'!A$2:A$401,$X107)))</f>
        <v/>
      </c>
      <c r="B107">
        <f>IF($X107="","",IF(INDEX('Per Invoice'!B$2:B$401,$X107)="","",INDEX('Per Invoice'!B$2:B$401,$X107)))</f>
        <v/>
      </c>
      <c r="C107">
        <f>IF($X107="","",IF(INDEX('Per Invoice'!C$2:C$401,$X107)="","",INDEX('Per Invoice'!C$2:C$401,$X107)))</f>
        <v/>
      </c>
      <c r="D107">
        <f>IF($X107="","",IF(INDEX('Per Invoice'!D$2:D$401,$X107)="","",INDEX('Per Invoice'!D$2:D$401,$X107)))</f>
        <v/>
      </c>
      <c r="E107">
        <f>IF($X107="","",IF(INDEX('Per Invoice'!E$2:E$401,$X107)="","",INDEX('Per Invoice'!E$2:E$401,$X107)))</f>
        <v/>
      </c>
      <c r="F107">
        <f>IF($X107="","",IF(INDEX('Per Invoice'!F$2:F$401,$X107)="","",INDEX('Per Invoice'!F$2:F$401,$X107)))</f>
        <v/>
      </c>
      <c r="G107">
        <f>IF($X107="","",IF(INDEX('Per Invoice'!G$2:G$401,$X107)="","",INDEX('Per Invoice'!G$2:G$401,$X107)))</f>
        <v/>
      </c>
      <c r="H107">
        <f>IF($X107="","",IF(INDEX('Per Invoice'!H$2:H$401,$X107)="","",INDEX('Per Invoice'!H$2:H$401,$X107)))</f>
        <v/>
      </c>
      <c r="I107">
        <f>IF($X107="","",IF(INDEX('Per Invoice'!I$2:I$401,$X107)="","",INDEX('Per Invoice'!I$2:I$401,$X107)))</f>
        <v/>
      </c>
      <c r="J107">
        <f>IF($X107="","",IF(INDEX('Per Invoice'!J$2:J$401,$X107)="","",INDEX('Per Invoice'!J$2:J$401,$X107)))</f>
        <v/>
      </c>
      <c r="K107" s="14">
        <f>IF($X107="","",IF(INDEX('Per Invoice'!K$2:K$401,$X107)="","",INDEX('Per Invoice'!K$2:K$401,$X107)))</f>
        <v/>
      </c>
      <c r="L107">
        <f>IF($X107="","",IF(INDEX('Per Invoice'!L$2:L$401,$X107)="","",INDEX('Per Invoice'!L$2:L$401,$X107)))</f>
        <v/>
      </c>
      <c r="M107" s="7">
        <f>IF($X107="","",IF(INDEX('Per Invoice'!M$2:M$401,$X107)="","",INDEX('Per Invoice'!M$2:M$401,$X107)))</f>
        <v/>
      </c>
      <c r="N107">
        <f>IF($X107="","",IF(INDEX('Per Invoice'!N$2:N$401,$X107)="","",INDEX('Per Invoice'!N$2:N$401,$X107)))</f>
        <v/>
      </c>
      <c r="O107" s="7">
        <f>IF($X107="","",IF(INDEX('Per Invoice'!O$2:O$401,$X107)="","",INDEX('Per Invoice'!O$2:O$401,$X107)))</f>
        <v/>
      </c>
      <c r="P107" s="7">
        <f>IF($X107="","",IF(INDEX('Per Invoice'!P$2:P$401,$X107)="","",INDEX('Per Invoice'!P$2:P$401,$X107)))</f>
        <v/>
      </c>
      <c r="Q107">
        <f>IF($X107="","",IF(INDEX('Per Invoice'!Q$2:Q$401,$X107)="","",INDEX('Per Invoice'!Q$2:Q$401,$X107)))</f>
        <v/>
      </c>
      <c r="R107" s="7">
        <f>IF($X107="","",IF(INDEX('Per Invoice'!R$2:R$401,$X107)="","",INDEX('Per Invoice'!R$2:R$401,$X107)))</f>
        <v/>
      </c>
      <c r="S107" s="7">
        <f>IF($X107="","",IF(INDEX('Per Invoice'!S$2:S$401,$X107)="","",INDEX('Per Invoice'!S$2:S$401,$X107)))</f>
        <v/>
      </c>
      <c r="T107" s="7">
        <f>IF($X107="","",IF(INDEX('Per Invoice'!T$2:T$401,$X107)="","",INDEX('Per Invoice'!T$2:T$401,$X107)))</f>
        <v/>
      </c>
      <c r="U107" s="7">
        <f>IF($X107="","",IF(INDEX('Per Invoice'!U$2:U$401,$X107)="","",INDEX('Per Invoice'!U$2:U$401,$X107)))</f>
        <v/>
      </c>
      <c r="V107" s="7">
        <f>IF($X107="","",IF(INDEX('Per Invoice'!V$2:V$401,$X107)="","",INDEX('Per Invoice'!V$2:V$401,$X107)))</f>
        <v/>
      </c>
      <c r="W107" s="7">
        <f>IF($X107="","",IF(INDEX('Per Invoice'!W$2:W$401,$X107)="","",INDEX('Per Invoice'!W$2:W$401,$X107)))</f>
        <v/>
      </c>
      <c r="X107" s="16">
        <f>IFERROR(MATCH(Settings!$C$33&amp;"|"&amp;ROWS($X$2:$X107),'Per Invoice'!$Y$2:$Y$401,0),"")</f>
        <v/>
      </c>
    </row>
    <row r="108">
      <c r="A108">
        <f>IF($X108="","",IF(INDEX('Per Invoice'!A$2:A$401,$X108)="","",INDEX('Per Invoice'!A$2:A$401,$X108)))</f>
        <v/>
      </c>
      <c r="B108">
        <f>IF($X108="","",IF(INDEX('Per Invoice'!B$2:B$401,$X108)="","",INDEX('Per Invoice'!B$2:B$401,$X108)))</f>
        <v/>
      </c>
      <c r="C108">
        <f>IF($X108="","",IF(INDEX('Per Invoice'!C$2:C$401,$X108)="","",INDEX('Per Invoice'!C$2:C$401,$X108)))</f>
        <v/>
      </c>
      <c r="D108">
        <f>IF($X108="","",IF(INDEX('Per Invoice'!D$2:D$401,$X108)="","",INDEX('Per Invoice'!D$2:D$401,$X108)))</f>
        <v/>
      </c>
      <c r="E108">
        <f>IF($X108="","",IF(INDEX('Per Invoice'!E$2:E$401,$X108)="","",INDEX('Per Invoice'!E$2:E$401,$X108)))</f>
        <v/>
      </c>
      <c r="F108">
        <f>IF($X108="","",IF(INDEX('Per Invoice'!F$2:F$401,$X108)="","",INDEX('Per Invoice'!F$2:F$401,$X108)))</f>
        <v/>
      </c>
      <c r="G108">
        <f>IF($X108="","",IF(INDEX('Per Invoice'!G$2:G$401,$X108)="","",INDEX('Per Invoice'!G$2:G$401,$X108)))</f>
        <v/>
      </c>
      <c r="H108">
        <f>IF($X108="","",IF(INDEX('Per Invoice'!H$2:H$401,$X108)="","",INDEX('Per Invoice'!H$2:H$401,$X108)))</f>
        <v/>
      </c>
      <c r="I108">
        <f>IF($X108="","",IF(INDEX('Per Invoice'!I$2:I$401,$X108)="","",INDEX('Per Invoice'!I$2:I$401,$X108)))</f>
        <v/>
      </c>
      <c r="J108">
        <f>IF($X108="","",IF(INDEX('Per Invoice'!J$2:J$401,$X108)="","",INDEX('Per Invoice'!J$2:J$401,$X108)))</f>
        <v/>
      </c>
      <c r="K108" s="14">
        <f>IF($X108="","",IF(INDEX('Per Invoice'!K$2:K$401,$X108)="","",INDEX('Per Invoice'!K$2:K$401,$X108)))</f>
        <v/>
      </c>
      <c r="L108">
        <f>IF($X108="","",IF(INDEX('Per Invoice'!L$2:L$401,$X108)="","",INDEX('Per Invoice'!L$2:L$401,$X108)))</f>
        <v/>
      </c>
      <c r="M108" s="7">
        <f>IF($X108="","",IF(INDEX('Per Invoice'!M$2:M$401,$X108)="","",INDEX('Per Invoice'!M$2:M$401,$X108)))</f>
        <v/>
      </c>
      <c r="N108">
        <f>IF($X108="","",IF(INDEX('Per Invoice'!N$2:N$401,$X108)="","",INDEX('Per Invoice'!N$2:N$401,$X108)))</f>
        <v/>
      </c>
      <c r="O108" s="7">
        <f>IF($X108="","",IF(INDEX('Per Invoice'!O$2:O$401,$X108)="","",INDEX('Per Invoice'!O$2:O$401,$X108)))</f>
        <v/>
      </c>
      <c r="P108" s="7">
        <f>IF($X108="","",IF(INDEX('Per Invoice'!P$2:P$401,$X108)="","",INDEX('Per Invoice'!P$2:P$401,$X108)))</f>
        <v/>
      </c>
      <c r="Q108">
        <f>IF($X108="","",IF(INDEX('Per Invoice'!Q$2:Q$401,$X108)="","",INDEX('Per Invoice'!Q$2:Q$401,$X108)))</f>
        <v/>
      </c>
      <c r="R108" s="7">
        <f>IF($X108="","",IF(INDEX('Per Invoice'!R$2:R$401,$X108)="","",INDEX('Per Invoice'!R$2:R$401,$X108)))</f>
        <v/>
      </c>
      <c r="S108" s="7">
        <f>IF($X108="","",IF(INDEX('Per Invoice'!S$2:S$401,$X108)="","",INDEX('Per Invoice'!S$2:S$401,$X108)))</f>
        <v/>
      </c>
      <c r="T108" s="7">
        <f>IF($X108="","",IF(INDEX('Per Invoice'!T$2:T$401,$X108)="","",INDEX('Per Invoice'!T$2:T$401,$X108)))</f>
        <v/>
      </c>
      <c r="U108" s="7">
        <f>IF($X108="","",IF(INDEX('Per Invoice'!U$2:U$401,$X108)="","",INDEX('Per Invoice'!U$2:U$401,$X108)))</f>
        <v/>
      </c>
      <c r="V108" s="7">
        <f>IF($X108="","",IF(INDEX('Per Invoice'!V$2:V$401,$X108)="","",INDEX('Per Invoice'!V$2:V$401,$X108)))</f>
        <v/>
      </c>
      <c r="W108" s="7">
        <f>IF($X108="","",IF(INDEX('Per Invoice'!W$2:W$401,$X108)="","",INDEX('Per Invoice'!W$2:W$401,$X108)))</f>
        <v/>
      </c>
      <c r="X108" s="16">
        <f>IFERROR(MATCH(Settings!$C$33&amp;"|"&amp;ROWS($X$2:$X108),'Per Invoice'!$Y$2:$Y$401,0),"")</f>
        <v/>
      </c>
    </row>
    <row r="109">
      <c r="A109">
        <f>IF($X109="","",IF(INDEX('Per Invoice'!A$2:A$401,$X109)="","",INDEX('Per Invoice'!A$2:A$401,$X109)))</f>
        <v/>
      </c>
      <c r="B109">
        <f>IF($X109="","",IF(INDEX('Per Invoice'!B$2:B$401,$X109)="","",INDEX('Per Invoice'!B$2:B$401,$X109)))</f>
        <v/>
      </c>
      <c r="C109">
        <f>IF($X109="","",IF(INDEX('Per Invoice'!C$2:C$401,$X109)="","",INDEX('Per Invoice'!C$2:C$401,$X109)))</f>
        <v/>
      </c>
      <c r="D109">
        <f>IF($X109="","",IF(INDEX('Per Invoice'!D$2:D$401,$X109)="","",INDEX('Per Invoice'!D$2:D$401,$X109)))</f>
        <v/>
      </c>
      <c r="E109">
        <f>IF($X109="","",IF(INDEX('Per Invoice'!E$2:E$401,$X109)="","",INDEX('Per Invoice'!E$2:E$401,$X109)))</f>
        <v/>
      </c>
      <c r="F109">
        <f>IF($X109="","",IF(INDEX('Per Invoice'!F$2:F$401,$X109)="","",INDEX('Per Invoice'!F$2:F$401,$X109)))</f>
        <v/>
      </c>
      <c r="G109">
        <f>IF($X109="","",IF(INDEX('Per Invoice'!G$2:G$401,$X109)="","",INDEX('Per Invoice'!G$2:G$401,$X109)))</f>
        <v/>
      </c>
      <c r="H109">
        <f>IF($X109="","",IF(INDEX('Per Invoice'!H$2:H$401,$X109)="","",INDEX('Per Invoice'!H$2:H$401,$X109)))</f>
        <v/>
      </c>
      <c r="I109">
        <f>IF($X109="","",IF(INDEX('Per Invoice'!I$2:I$401,$X109)="","",INDEX('Per Invoice'!I$2:I$401,$X109)))</f>
        <v/>
      </c>
      <c r="J109">
        <f>IF($X109="","",IF(INDEX('Per Invoice'!J$2:J$401,$X109)="","",INDEX('Per Invoice'!J$2:J$401,$X109)))</f>
        <v/>
      </c>
      <c r="K109" s="14">
        <f>IF($X109="","",IF(INDEX('Per Invoice'!K$2:K$401,$X109)="","",INDEX('Per Invoice'!K$2:K$401,$X109)))</f>
        <v/>
      </c>
      <c r="L109">
        <f>IF($X109="","",IF(INDEX('Per Invoice'!L$2:L$401,$X109)="","",INDEX('Per Invoice'!L$2:L$401,$X109)))</f>
        <v/>
      </c>
      <c r="M109" s="7">
        <f>IF($X109="","",IF(INDEX('Per Invoice'!M$2:M$401,$X109)="","",INDEX('Per Invoice'!M$2:M$401,$X109)))</f>
        <v/>
      </c>
      <c r="N109">
        <f>IF($X109="","",IF(INDEX('Per Invoice'!N$2:N$401,$X109)="","",INDEX('Per Invoice'!N$2:N$401,$X109)))</f>
        <v/>
      </c>
      <c r="O109" s="7">
        <f>IF($X109="","",IF(INDEX('Per Invoice'!O$2:O$401,$X109)="","",INDEX('Per Invoice'!O$2:O$401,$X109)))</f>
        <v/>
      </c>
      <c r="P109" s="7">
        <f>IF($X109="","",IF(INDEX('Per Invoice'!P$2:P$401,$X109)="","",INDEX('Per Invoice'!P$2:P$401,$X109)))</f>
        <v/>
      </c>
      <c r="Q109">
        <f>IF($X109="","",IF(INDEX('Per Invoice'!Q$2:Q$401,$X109)="","",INDEX('Per Invoice'!Q$2:Q$401,$X109)))</f>
        <v/>
      </c>
      <c r="R109" s="7">
        <f>IF($X109="","",IF(INDEX('Per Invoice'!R$2:R$401,$X109)="","",INDEX('Per Invoice'!R$2:R$401,$X109)))</f>
        <v/>
      </c>
      <c r="S109" s="7">
        <f>IF($X109="","",IF(INDEX('Per Invoice'!S$2:S$401,$X109)="","",INDEX('Per Invoice'!S$2:S$401,$X109)))</f>
        <v/>
      </c>
      <c r="T109" s="7">
        <f>IF($X109="","",IF(INDEX('Per Invoice'!T$2:T$401,$X109)="","",INDEX('Per Invoice'!T$2:T$401,$X109)))</f>
        <v/>
      </c>
      <c r="U109" s="7">
        <f>IF($X109="","",IF(INDEX('Per Invoice'!U$2:U$401,$X109)="","",INDEX('Per Invoice'!U$2:U$401,$X109)))</f>
        <v/>
      </c>
      <c r="V109" s="7">
        <f>IF($X109="","",IF(INDEX('Per Invoice'!V$2:V$401,$X109)="","",INDEX('Per Invoice'!V$2:V$401,$X109)))</f>
        <v/>
      </c>
      <c r="W109" s="7">
        <f>IF($X109="","",IF(INDEX('Per Invoice'!W$2:W$401,$X109)="","",INDEX('Per Invoice'!W$2:W$401,$X109)))</f>
        <v/>
      </c>
      <c r="X109" s="16">
        <f>IFERROR(MATCH(Settings!$C$33&amp;"|"&amp;ROWS($X$2:$X109),'Per Invoice'!$Y$2:$Y$401,0),"")</f>
        <v/>
      </c>
    </row>
    <row r="110">
      <c r="A110">
        <f>IF($X110="","",IF(INDEX('Per Invoice'!A$2:A$401,$X110)="","",INDEX('Per Invoice'!A$2:A$401,$X110)))</f>
        <v/>
      </c>
      <c r="B110">
        <f>IF($X110="","",IF(INDEX('Per Invoice'!B$2:B$401,$X110)="","",INDEX('Per Invoice'!B$2:B$401,$X110)))</f>
        <v/>
      </c>
      <c r="C110">
        <f>IF($X110="","",IF(INDEX('Per Invoice'!C$2:C$401,$X110)="","",INDEX('Per Invoice'!C$2:C$401,$X110)))</f>
        <v/>
      </c>
      <c r="D110">
        <f>IF($X110="","",IF(INDEX('Per Invoice'!D$2:D$401,$X110)="","",INDEX('Per Invoice'!D$2:D$401,$X110)))</f>
        <v/>
      </c>
      <c r="E110">
        <f>IF($X110="","",IF(INDEX('Per Invoice'!E$2:E$401,$X110)="","",INDEX('Per Invoice'!E$2:E$401,$X110)))</f>
        <v/>
      </c>
      <c r="F110">
        <f>IF($X110="","",IF(INDEX('Per Invoice'!F$2:F$401,$X110)="","",INDEX('Per Invoice'!F$2:F$401,$X110)))</f>
        <v/>
      </c>
      <c r="G110">
        <f>IF($X110="","",IF(INDEX('Per Invoice'!G$2:G$401,$X110)="","",INDEX('Per Invoice'!G$2:G$401,$X110)))</f>
        <v/>
      </c>
      <c r="H110">
        <f>IF($X110="","",IF(INDEX('Per Invoice'!H$2:H$401,$X110)="","",INDEX('Per Invoice'!H$2:H$401,$X110)))</f>
        <v/>
      </c>
      <c r="I110">
        <f>IF($X110="","",IF(INDEX('Per Invoice'!I$2:I$401,$X110)="","",INDEX('Per Invoice'!I$2:I$401,$X110)))</f>
        <v/>
      </c>
      <c r="J110">
        <f>IF($X110="","",IF(INDEX('Per Invoice'!J$2:J$401,$X110)="","",INDEX('Per Invoice'!J$2:J$401,$X110)))</f>
        <v/>
      </c>
      <c r="K110" s="14">
        <f>IF($X110="","",IF(INDEX('Per Invoice'!K$2:K$401,$X110)="","",INDEX('Per Invoice'!K$2:K$401,$X110)))</f>
        <v/>
      </c>
      <c r="L110">
        <f>IF($X110="","",IF(INDEX('Per Invoice'!L$2:L$401,$X110)="","",INDEX('Per Invoice'!L$2:L$401,$X110)))</f>
        <v/>
      </c>
      <c r="M110" s="7">
        <f>IF($X110="","",IF(INDEX('Per Invoice'!M$2:M$401,$X110)="","",INDEX('Per Invoice'!M$2:M$401,$X110)))</f>
        <v/>
      </c>
      <c r="N110">
        <f>IF($X110="","",IF(INDEX('Per Invoice'!N$2:N$401,$X110)="","",INDEX('Per Invoice'!N$2:N$401,$X110)))</f>
        <v/>
      </c>
      <c r="O110" s="7">
        <f>IF($X110="","",IF(INDEX('Per Invoice'!O$2:O$401,$X110)="","",INDEX('Per Invoice'!O$2:O$401,$X110)))</f>
        <v/>
      </c>
      <c r="P110" s="7">
        <f>IF($X110="","",IF(INDEX('Per Invoice'!P$2:P$401,$X110)="","",INDEX('Per Invoice'!P$2:P$401,$X110)))</f>
        <v/>
      </c>
      <c r="Q110">
        <f>IF($X110="","",IF(INDEX('Per Invoice'!Q$2:Q$401,$X110)="","",INDEX('Per Invoice'!Q$2:Q$401,$X110)))</f>
        <v/>
      </c>
      <c r="R110" s="7">
        <f>IF($X110="","",IF(INDEX('Per Invoice'!R$2:R$401,$X110)="","",INDEX('Per Invoice'!R$2:R$401,$X110)))</f>
        <v/>
      </c>
      <c r="S110" s="7">
        <f>IF($X110="","",IF(INDEX('Per Invoice'!S$2:S$401,$X110)="","",INDEX('Per Invoice'!S$2:S$401,$X110)))</f>
        <v/>
      </c>
      <c r="T110" s="7">
        <f>IF($X110="","",IF(INDEX('Per Invoice'!T$2:T$401,$X110)="","",INDEX('Per Invoice'!T$2:T$401,$X110)))</f>
        <v/>
      </c>
      <c r="U110" s="7">
        <f>IF($X110="","",IF(INDEX('Per Invoice'!U$2:U$401,$X110)="","",INDEX('Per Invoice'!U$2:U$401,$X110)))</f>
        <v/>
      </c>
      <c r="V110" s="7">
        <f>IF($X110="","",IF(INDEX('Per Invoice'!V$2:V$401,$X110)="","",INDEX('Per Invoice'!V$2:V$401,$X110)))</f>
        <v/>
      </c>
      <c r="W110" s="7">
        <f>IF($X110="","",IF(INDEX('Per Invoice'!W$2:W$401,$X110)="","",INDEX('Per Invoice'!W$2:W$401,$X110)))</f>
        <v/>
      </c>
      <c r="X110" s="16">
        <f>IFERROR(MATCH(Settings!$C$33&amp;"|"&amp;ROWS($X$2:$X110),'Per Invoice'!$Y$2:$Y$401,0),"")</f>
        <v/>
      </c>
    </row>
    <row r="111">
      <c r="A111">
        <f>IF($X111="","",IF(INDEX('Per Invoice'!A$2:A$401,$X111)="","",INDEX('Per Invoice'!A$2:A$401,$X111)))</f>
        <v/>
      </c>
      <c r="B111">
        <f>IF($X111="","",IF(INDEX('Per Invoice'!B$2:B$401,$X111)="","",INDEX('Per Invoice'!B$2:B$401,$X111)))</f>
        <v/>
      </c>
      <c r="C111">
        <f>IF($X111="","",IF(INDEX('Per Invoice'!C$2:C$401,$X111)="","",INDEX('Per Invoice'!C$2:C$401,$X111)))</f>
        <v/>
      </c>
      <c r="D111">
        <f>IF($X111="","",IF(INDEX('Per Invoice'!D$2:D$401,$X111)="","",INDEX('Per Invoice'!D$2:D$401,$X111)))</f>
        <v/>
      </c>
      <c r="E111">
        <f>IF($X111="","",IF(INDEX('Per Invoice'!E$2:E$401,$X111)="","",INDEX('Per Invoice'!E$2:E$401,$X111)))</f>
        <v/>
      </c>
      <c r="F111">
        <f>IF($X111="","",IF(INDEX('Per Invoice'!F$2:F$401,$X111)="","",INDEX('Per Invoice'!F$2:F$401,$X111)))</f>
        <v/>
      </c>
      <c r="G111">
        <f>IF($X111="","",IF(INDEX('Per Invoice'!G$2:G$401,$X111)="","",INDEX('Per Invoice'!G$2:G$401,$X111)))</f>
        <v/>
      </c>
      <c r="H111">
        <f>IF($X111="","",IF(INDEX('Per Invoice'!H$2:H$401,$X111)="","",INDEX('Per Invoice'!H$2:H$401,$X111)))</f>
        <v/>
      </c>
      <c r="I111">
        <f>IF($X111="","",IF(INDEX('Per Invoice'!I$2:I$401,$X111)="","",INDEX('Per Invoice'!I$2:I$401,$X111)))</f>
        <v/>
      </c>
      <c r="J111">
        <f>IF($X111="","",IF(INDEX('Per Invoice'!J$2:J$401,$X111)="","",INDEX('Per Invoice'!J$2:J$401,$X111)))</f>
        <v/>
      </c>
      <c r="K111" s="14">
        <f>IF($X111="","",IF(INDEX('Per Invoice'!K$2:K$401,$X111)="","",INDEX('Per Invoice'!K$2:K$401,$X111)))</f>
        <v/>
      </c>
      <c r="L111">
        <f>IF($X111="","",IF(INDEX('Per Invoice'!L$2:L$401,$X111)="","",INDEX('Per Invoice'!L$2:L$401,$X111)))</f>
        <v/>
      </c>
      <c r="M111" s="7">
        <f>IF($X111="","",IF(INDEX('Per Invoice'!M$2:M$401,$X111)="","",INDEX('Per Invoice'!M$2:M$401,$X111)))</f>
        <v/>
      </c>
      <c r="N111">
        <f>IF($X111="","",IF(INDEX('Per Invoice'!N$2:N$401,$X111)="","",INDEX('Per Invoice'!N$2:N$401,$X111)))</f>
        <v/>
      </c>
      <c r="O111" s="7">
        <f>IF($X111="","",IF(INDEX('Per Invoice'!O$2:O$401,$X111)="","",INDEX('Per Invoice'!O$2:O$401,$X111)))</f>
        <v/>
      </c>
      <c r="P111" s="7">
        <f>IF($X111="","",IF(INDEX('Per Invoice'!P$2:P$401,$X111)="","",INDEX('Per Invoice'!P$2:P$401,$X111)))</f>
        <v/>
      </c>
      <c r="Q111">
        <f>IF($X111="","",IF(INDEX('Per Invoice'!Q$2:Q$401,$X111)="","",INDEX('Per Invoice'!Q$2:Q$401,$X111)))</f>
        <v/>
      </c>
      <c r="R111" s="7">
        <f>IF($X111="","",IF(INDEX('Per Invoice'!R$2:R$401,$X111)="","",INDEX('Per Invoice'!R$2:R$401,$X111)))</f>
        <v/>
      </c>
      <c r="S111" s="7">
        <f>IF($X111="","",IF(INDEX('Per Invoice'!S$2:S$401,$X111)="","",INDEX('Per Invoice'!S$2:S$401,$X111)))</f>
        <v/>
      </c>
      <c r="T111" s="7">
        <f>IF($X111="","",IF(INDEX('Per Invoice'!T$2:T$401,$X111)="","",INDEX('Per Invoice'!T$2:T$401,$X111)))</f>
        <v/>
      </c>
      <c r="U111" s="7">
        <f>IF($X111="","",IF(INDEX('Per Invoice'!U$2:U$401,$X111)="","",INDEX('Per Invoice'!U$2:U$401,$X111)))</f>
        <v/>
      </c>
      <c r="V111" s="7">
        <f>IF($X111="","",IF(INDEX('Per Invoice'!V$2:V$401,$X111)="","",INDEX('Per Invoice'!V$2:V$401,$X111)))</f>
        <v/>
      </c>
      <c r="W111" s="7">
        <f>IF($X111="","",IF(INDEX('Per Invoice'!W$2:W$401,$X111)="","",INDEX('Per Invoice'!W$2:W$401,$X111)))</f>
        <v/>
      </c>
      <c r="X111" s="16">
        <f>IFERROR(MATCH(Settings!$C$33&amp;"|"&amp;ROWS($X$2:$X111),'Per Invoice'!$Y$2:$Y$401,0),"")</f>
        <v/>
      </c>
    </row>
    <row r="112">
      <c r="A112">
        <f>IF($X112="","",IF(INDEX('Per Invoice'!A$2:A$401,$X112)="","",INDEX('Per Invoice'!A$2:A$401,$X112)))</f>
        <v/>
      </c>
      <c r="B112">
        <f>IF($X112="","",IF(INDEX('Per Invoice'!B$2:B$401,$X112)="","",INDEX('Per Invoice'!B$2:B$401,$X112)))</f>
        <v/>
      </c>
      <c r="C112">
        <f>IF($X112="","",IF(INDEX('Per Invoice'!C$2:C$401,$X112)="","",INDEX('Per Invoice'!C$2:C$401,$X112)))</f>
        <v/>
      </c>
      <c r="D112">
        <f>IF($X112="","",IF(INDEX('Per Invoice'!D$2:D$401,$X112)="","",INDEX('Per Invoice'!D$2:D$401,$X112)))</f>
        <v/>
      </c>
      <c r="E112">
        <f>IF($X112="","",IF(INDEX('Per Invoice'!E$2:E$401,$X112)="","",INDEX('Per Invoice'!E$2:E$401,$X112)))</f>
        <v/>
      </c>
      <c r="F112">
        <f>IF($X112="","",IF(INDEX('Per Invoice'!F$2:F$401,$X112)="","",INDEX('Per Invoice'!F$2:F$401,$X112)))</f>
        <v/>
      </c>
      <c r="G112">
        <f>IF($X112="","",IF(INDEX('Per Invoice'!G$2:G$401,$X112)="","",INDEX('Per Invoice'!G$2:G$401,$X112)))</f>
        <v/>
      </c>
      <c r="H112">
        <f>IF($X112="","",IF(INDEX('Per Invoice'!H$2:H$401,$X112)="","",INDEX('Per Invoice'!H$2:H$401,$X112)))</f>
        <v/>
      </c>
      <c r="I112">
        <f>IF($X112="","",IF(INDEX('Per Invoice'!I$2:I$401,$X112)="","",INDEX('Per Invoice'!I$2:I$401,$X112)))</f>
        <v/>
      </c>
      <c r="J112">
        <f>IF($X112="","",IF(INDEX('Per Invoice'!J$2:J$401,$X112)="","",INDEX('Per Invoice'!J$2:J$401,$X112)))</f>
        <v/>
      </c>
      <c r="K112" s="14">
        <f>IF($X112="","",IF(INDEX('Per Invoice'!K$2:K$401,$X112)="","",INDEX('Per Invoice'!K$2:K$401,$X112)))</f>
        <v/>
      </c>
      <c r="L112">
        <f>IF($X112="","",IF(INDEX('Per Invoice'!L$2:L$401,$X112)="","",INDEX('Per Invoice'!L$2:L$401,$X112)))</f>
        <v/>
      </c>
      <c r="M112" s="7">
        <f>IF($X112="","",IF(INDEX('Per Invoice'!M$2:M$401,$X112)="","",INDEX('Per Invoice'!M$2:M$401,$X112)))</f>
        <v/>
      </c>
      <c r="N112">
        <f>IF($X112="","",IF(INDEX('Per Invoice'!N$2:N$401,$X112)="","",INDEX('Per Invoice'!N$2:N$401,$X112)))</f>
        <v/>
      </c>
      <c r="O112" s="7">
        <f>IF($X112="","",IF(INDEX('Per Invoice'!O$2:O$401,$X112)="","",INDEX('Per Invoice'!O$2:O$401,$X112)))</f>
        <v/>
      </c>
      <c r="P112" s="7">
        <f>IF($X112="","",IF(INDEX('Per Invoice'!P$2:P$401,$X112)="","",INDEX('Per Invoice'!P$2:P$401,$X112)))</f>
        <v/>
      </c>
      <c r="Q112">
        <f>IF($X112="","",IF(INDEX('Per Invoice'!Q$2:Q$401,$X112)="","",INDEX('Per Invoice'!Q$2:Q$401,$X112)))</f>
        <v/>
      </c>
      <c r="R112" s="7">
        <f>IF($X112="","",IF(INDEX('Per Invoice'!R$2:R$401,$X112)="","",INDEX('Per Invoice'!R$2:R$401,$X112)))</f>
        <v/>
      </c>
      <c r="S112" s="7">
        <f>IF($X112="","",IF(INDEX('Per Invoice'!S$2:S$401,$X112)="","",INDEX('Per Invoice'!S$2:S$401,$X112)))</f>
        <v/>
      </c>
      <c r="T112" s="7">
        <f>IF($X112="","",IF(INDEX('Per Invoice'!T$2:T$401,$X112)="","",INDEX('Per Invoice'!T$2:T$401,$X112)))</f>
        <v/>
      </c>
      <c r="U112" s="7">
        <f>IF($X112="","",IF(INDEX('Per Invoice'!U$2:U$401,$X112)="","",INDEX('Per Invoice'!U$2:U$401,$X112)))</f>
        <v/>
      </c>
      <c r="V112" s="7">
        <f>IF($X112="","",IF(INDEX('Per Invoice'!V$2:V$401,$X112)="","",INDEX('Per Invoice'!V$2:V$401,$X112)))</f>
        <v/>
      </c>
      <c r="W112" s="7">
        <f>IF($X112="","",IF(INDEX('Per Invoice'!W$2:W$401,$X112)="","",INDEX('Per Invoice'!W$2:W$401,$X112)))</f>
        <v/>
      </c>
      <c r="X112" s="16">
        <f>IFERROR(MATCH(Settings!$C$33&amp;"|"&amp;ROWS($X$2:$X112),'Per Invoice'!$Y$2:$Y$401,0),"")</f>
        <v/>
      </c>
    </row>
    <row r="113">
      <c r="A113">
        <f>IF($X113="","",IF(INDEX('Per Invoice'!A$2:A$401,$X113)="","",INDEX('Per Invoice'!A$2:A$401,$X113)))</f>
        <v/>
      </c>
      <c r="B113">
        <f>IF($X113="","",IF(INDEX('Per Invoice'!B$2:B$401,$X113)="","",INDEX('Per Invoice'!B$2:B$401,$X113)))</f>
        <v/>
      </c>
      <c r="C113">
        <f>IF($X113="","",IF(INDEX('Per Invoice'!C$2:C$401,$X113)="","",INDEX('Per Invoice'!C$2:C$401,$X113)))</f>
        <v/>
      </c>
      <c r="D113">
        <f>IF($X113="","",IF(INDEX('Per Invoice'!D$2:D$401,$X113)="","",INDEX('Per Invoice'!D$2:D$401,$X113)))</f>
        <v/>
      </c>
      <c r="E113">
        <f>IF($X113="","",IF(INDEX('Per Invoice'!E$2:E$401,$X113)="","",INDEX('Per Invoice'!E$2:E$401,$X113)))</f>
        <v/>
      </c>
      <c r="F113">
        <f>IF($X113="","",IF(INDEX('Per Invoice'!F$2:F$401,$X113)="","",INDEX('Per Invoice'!F$2:F$401,$X113)))</f>
        <v/>
      </c>
      <c r="G113">
        <f>IF($X113="","",IF(INDEX('Per Invoice'!G$2:G$401,$X113)="","",INDEX('Per Invoice'!G$2:G$401,$X113)))</f>
        <v/>
      </c>
      <c r="H113">
        <f>IF($X113="","",IF(INDEX('Per Invoice'!H$2:H$401,$X113)="","",INDEX('Per Invoice'!H$2:H$401,$X113)))</f>
        <v/>
      </c>
      <c r="I113">
        <f>IF($X113="","",IF(INDEX('Per Invoice'!I$2:I$401,$X113)="","",INDEX('Per Invoice'!I$2:I$401,$X113)))</f>
        <v/>
      </c>
      <c r="J113">
        <f>IF($X113="","",IF(INDEX('Per Invoice'!J$2:J$401,$X113)="","",INDEX('Per Invoice'!J$2:J$401,$X113)))</f>
        <v/>
      </c>
      <c r="K113" s="14">
        <f>IF($X113="","",IF(INDEX('Per Invoice'!K$2:K$401,$X113)="","",INDEX('Per Invoice'!K$2:K$401,$X113)))</f>
        <v/>
      </c>
      <c r="L113">
        <f>IF($X113="","",IF(INDEX('Per Invoice'!L$2:L$401,$X113)="","",INDEX('Per Invoice'!L$2:L$401,$X113)))</f>
        <v/>
      </c>
      <c r="M113" s="7">
        <f>IF($X113="","",IF(INDEX('Per Invoice'!M$2:M$401,$X113)="","",INDEX('Per Invoice'!M$2:M$401,$X113)))</f>
        <v/>
      </c>
      <c r="N113">
        <f>IF($X113="","",IF(INDEX('Per Invoice'!N$2:N$401,$X113)="","",INDEX('Per Invoice'!N$2:N$401,$X113)))</f>
        <v/>
      </c>
      <c r="O113" s="7">
        <f>IF($X113="","",IF(INDEX('Per Invoice'!O$2:O$401,$X113)="","",INDEX('Per Invoice'!O$2:O$401,$X113)))</f>
        <v/>
      </c>
      <c r="P113" s="7">
        <f>IF($X113="","",IF(INDEX('Per Invoice'!P$2:P$401,$X113)="","",INDEX('Per Invoice'!P$2:P$401,$X113)))</f>
        <v/>
      </c>
      <c r="Q113">
        <f>IF($X113="","",IF(INDEX('Per Invoice'!Q$2:Q$401,$X113)="","",INDEX('Per Invoice'!Q$2:Q$401,$X113)))</f>
        <v/>
      </c>
      <c r="R113" s="7">
        <f>IF($X113="","",IF(INDEX('Per Invoice'!R$2:R$401,$X113)="","",INDEX('Per Invoice'!R$2:R$401,$X113)))</f>
        <v/>
      </c>
      <c r="S113" s="7">
        <f>IF($X113="","",IF(INDEX('Per Invoice'!S$2:S$401,$X113)="","",INDEX('Per Invoice'!S$2:S$401,$X113)))</f>
        <v/>
      </c>
      <c r="T113" s="7">
        <f>IF($X113="","",IF(INDEX('Per Invoice'!T$2:T$401,$X113)="","",INDEX('Per Invoice'!T$2:T$401,$X113)))</f>
        <v/>
      </c>
      <c r="U113" s="7">
        <f>IF($X113="","",IF(INDEX('Per Invoice'!U$2:U$401,$X113)="","",INDEX('Per Invoice'!U$2:U$401,$X113)))</f>
        <v/>
      </c>
      <c r="V113" s="7">
        <f>IF($X113="","",IF(INDEX('Per Invoice'!V$2:V$401,$X113)="","",INDEX('Per Invoice'!V$2:V$401,$X113)))</f>
        <v/>
      </c>
      <c r="W113" s="7">
        <f>IF($X113="","",IF(INDEX('Per Invoice'!W$2:W$401,$X113)="","",INDEX('Per Invoice'!W$2:W$401,$X113)))</f>
        <v/>
      </c>
      <c r="X113" s="16">
        <f>IFERROR(MATCH(Settings!$C$33&amp;"|"&amp;ROWS($X$2:$X113),'Per Invoice'!$Y$2:$Y$401,0),"")</f>
        <v/>
      </c>
    </row>
    <row r="114">
      <c r="A114">
        <f>IF($X114="","",IF(INDEX('Per Invoice'!A$2:A$401,$X114)="","",INDEX('Per Invoice'!A$2:A$401,$X114)))</f>
        <v/>
      </c>
      <c r="B114">
        <f>IF($X114="","",IF(INDEX('Per Invoice'!B$2:B$401,$X114)="","",INDEX('Per Invoice'!B$2:B$401,$X114)))</f>
        <v/>
      </c>
      <c r="C114">
        <f>IF($X114="","",IF(INDEX('Per Invoice'!C$2:C$401,$X114)="","",INDEX('Per Invoice'!C$2:C$401,$X114)))</f>
        <v/>
      </c>
      <c r="D114">
        <f>IF($X114="","",IF(INDEX('Per Invoice'!D$2:D$401,$X114)="","",INDEX('Per Invoice'!D$2:D$401,$X114)))</f>
        <v/>
      </c>
      <c r="E114">
        <f>IF($X114="","",IF(INDEX('Per Invoice'!E$2:E$401,$X114)="","",INDEX('Per Invoice'!E$2:E$401,$X114)))</f>
        <v/>
      </c>
      <c r="F114">
        <f>IF($X114="","",IF(INDEX('Per Invoice'!F$2:F$401,$X114)="","",INDEX('Per Invoice'!F$2:F$401,$X114)))</f>
        <v/>
      </c>
      <c r="G114">
        <f>IF($X114="","",IF(INDEX('Per Invoice'!G$2:G$401,$X114)="","",INDEX('Per Invoice'!G$2:G$401,$X114)))</f>
        <v/>
      </c>
      <c r="H114">
        <f>IF($X114="","",IF(INDEX('Per Invoice'!H$2:H$401,$X114)="","",INDEX('Per Invoice'!H$2:H$401,$X114)))</f>
        <v/>
      </c>
      <c r="I114">
        <f>IF($X114="","",IF(INDEX('Per Invoice'!I$2:I$401,$X114)="","",INDEX('Per Invoice'!I$2:I$401,$X114)))</f>
        <v/>
      </c>
      <c r="J114">
        <f>IF($X114="","",IF(INDEX('Per Invoice'!J$2:J$401,$X114)="","",INDEX('Per Invoice'!J$2:J$401,$X114)))</f>
        <v/>
      </c>
      <c r="K114" s="14">
        <f>IF($X114="","",IF(INDEX('Per Invoice'!K$2:K$401,$X114)="","",INDEX('Per Invoice'!K$2:K$401,$X114)))</f>
        <v/>
      </c>
      <c r="L114">
        <f>IF($X114="","",IF(INDEX('Per Invoice'!L$2:L$401,$X114)="","",INDEX('Per Invoice'!L$2:L$401,$X114)))</f>
        <v/>
      </c>
      <c r="M114" s="7">
        <f>IF($X114="","",IF(INDEX('Per Invoice'!M$2:M$401,$X114)="","",INDEX('Per Invoice'!M$2:M$401,$X114)))</f>
        <v/>
      </c>
      <c r="N114">
        <f>IF($X114="","",IF(INDEX('Per Invoice'!N$2:N$401,$X114)="","",INDEX('Per Invoice'!N$2:N$401,$X114)))</f>
        <v/>
      </c>
      <c r="O114" s="7">
        <f>IF($X114="","",IF(INDEX('Per Invoice'!O$2:O$401,$X114)="","",INDEX('Per Invoice'!O$2:O$401,$X114)))</f>
        <v/>
      </c>
      <c r="P114" s="7">
        <f>IF($X114="","",IF(INDEX('Per Invoice'!P$2:P$401,$X114)="","",INDEX('Per Invoice'!P$2:P$401,$X114)))</f>
        <v/>
      </c>
      <c r="Q114">
        <f>IF($X114="","",IF(INDEX('Per Invoice'!Q$2:Q$401,$X114)="","",INDEX('Per Invoice'!Q$2:Q$401,$X114)))</f>
        <v/>
      </c>
      <c r="R114" s="7">
        <f>IF($X114="","",IF(INDEX('Per Invoice'!R$2:R$401,$X114)="","",INDEX('Per Invoice'!R$2:R$401,$X114)))</f>
        <v/>
      </c>
      <c r="S114" s="7">
        <f>IF($X114="","",IF(INDEX('Per Invoice'!S$2:S$401,$X114)="","",INDEX('Per Invoice'!S$2:S$401,$X114)))</f>
        <v/>
      </c>
      <c r="T114" s="7">
        <f>IF($X114="","",IF(INDEX('Per Invoice'!T$2:T$401,$X114)="","",INDEX('Per Invoice'!T$2:T$401,$X114)))</f>
        <v/>
      </c>
      <c r="U114" s="7">
        <f>IF($X114="","",IF(INDEX('Per Invoice'!U$2:U$401,$X114)="","",INDEX('Per Invoice'!U$2:U$401,$X114)))</f>
        <v/>
      </c>
      <c r="V114" s="7">
        <f>IF($X114="","",IF(INDEX('Per Invoice'!V$2:V$401,$X114)="","",INDEX('Per Invoice'!V$2:V$401,$X114)))</f>
        <v/>
      </c>
      <c r="W114" s="7">
        <f>IF($X114="","",IF(INDEX('Per Invoice'!W$2:W$401,$X114)="","",INDEX('Per Invoice'!W$2:W$401,$X114)))</f>
        <v/>
      </c>
      <c r="X114" s="16">
        <f>IFERROR(MATCH(Settings!$C$33&amp;"|"&amp;ROWS($X$2:$X114),'Per Invoice'!$Y$2:$Y$401,0),"")</f>
        <v/>
      </c>
    </row>
    <row r="115">
      <c r="A115">
        <f>IF($X115="","",IF(INDEX('Per Invoice'!A$2:A$401,$X115)="","",INDEX('Per Invoice'!A$2:A$401,$X115)))</f>
        <v/>
      </c>
      <c r="B115">
        <f>IF($X115="","",IF(INDEX('Per Invoice'!B$2:B$401,$X115)="","",INDEX('Per Invoice'!B$2:B$401,$X115)))</f>
        <v/>
      </c>
      <c r="C115">
        <f>IF($X115="","",IF(INDEX('Per Invoice'!C$2:C$401,$X115)="","",INDEX('Per Invoice'!C$2:C$401,$X115)))</f>
        <v/>
      </c>
      <c r="D115">
        <f>IF($X115="","",IF(INDEX('Per Invoice'!D$2:D$401,$X115)="","",INDEX('Per Invoice'!D$2:D$401,$X115)))</f>
        <v/>
      </c>
      <c r="E115">
        <f>IF($X115="","",IF(INDEX('Per Invoice'!E$2:E$401,$X115)="","",INDEX('Per Invoice'!E$2:E$401,$X115)))</f>
        <v/>
      </c>
      <c r="F115">
        <f>IF($X115="","",IF(INDEX('Per Invoice'!F$2:F$401,$X115)="","",INDEX('Per Invoice'!F$2:F$401,$X115)))</f>
        <v/>
      </c>
      <c r="G115">
        <f>IF($X115="","",IF(INDEX('Per Invoice'!G$2:G$401,$X115)="","",INDEX('Per Invoice'!G$2:G$401,$X115)))</f>
        <v/>
      </c>
      <c r="H115">
        <f>IF($X115="","",IF(INDEX('Per Invoice'!H$2:H$401,$X115)="","",INDEX('Per Invoice'!H$2:H$401,$X115)))</f>
        <v/>
      </c>
      <c r="I115">
        <f>IF($X115="","",IF(INDEX('Per Invoice'!I$2:I$401,$X115)="","",INDEX('Per Invoice'!I$2:I$401,$X115)))</f>
        <v/>
      </c>
      <c r="J115">
        <f>IF($X115="","",IF(INDEX('Per Invoice'!J$2:J$401,$X115)="","",INDEX('Per Invoice'!J$2:J$401,$X115)))</f>
        <v/>
      </c>
      <c r="K115" s="14">
        <f>IF($X115="","",IF(INDEX('Per Invoice'!K$2:K$401,$X115)="","",INDEX('Per Invoice'!K$2:K$401,$X115)))</f>
        <v/>
      </c>
      <c r="L115">
        <f>IF($X115="","",IF(INDEX('Per Invoice'!L$2:L$401,$X115)="","",INDEX('Per Invoice'!L$2:L$401,$X115)))</f>
        <v/>
      </c>
      <c r="M115" s="7">
        <f>IF($X115="","",IF(INDEX('Per Invoice'!M$2:M$401,$X115)="","",INDEX('Per Invoice'!M$2:M$401,$X115)))</f>
        <v/>
      </c>
      <c r="N115">
        <f>IF($X115="","",IF(INDEX('Per Invoice'!N$2:N$401,$X115)="","",INDEX('Per Invoice'!N$2:N$401,$X115)))</f>
        <v/>
      </c>
      <c r="O115" s="7">
        <f>IF($X115="","",IF(INDEX('Per Invoice'!O$2:O$401,$X115)="","",INDEX('Per Invoice'!O$2:O$401,$X115)))</f>
        <v/>
      </c>
      <c r="P115" s="7">
        <f>IF($X115="","",IF(INDEX('Per Invoice'!P$2:P$401,$X115)="","",INDEX('Per Invoice'!P$2:P$401,$X115)))</f>
        <v/>
      </c>
      <c r="Q115">
        <f>IF($X115="","",IF(INDEX('Per Invoice'!Q$2:Q$401,$X115)="","",INDEX('Per Invoice'!Q$2:Q$401,$X115)))</f>
        <v/>
      </c>
      <c r="R115" s="7">
        <f>IF($X115="","",IF(INDEX('Per Invoice'!R$2:R$401,$X115)="","",INDEX('Per Invoice'!R$2:R$401,$X115)))</f>
        <v/>
      </c>
      <c r="S115" s="7">
        <f>IF($X115="","",IF(INDEX('Per Invoice'!S$2:S$401,$X115)="","",INDEX('Per Invoice'!S$2:S$401,$X115)))</f>
        <v/>
      </c>
      <c r="T115" s="7">
        <f>IF($X115="","",IF(INDEX('Per Invoice'!T$2:T$401,$X115)="","",INDEX('Per Invoice'!T$2:T$401,$X115)))</f>
        <v/>
      </c>
      <c r="U115" s="7">
        <f>IF($X115="","",IF(INDEX('Per Invoice'!U$2:U$401,$X115)="","",INDEX('Per Invoice'!U$2:U$401,$X115)))</f>
        <v/>
      </c>
      <c r="V115" s="7">
        <f>IF($X115="","",IF(INDEX('Per Invoice'!V$2:V$401,$X115)="","",INDEX('Per Invoice'!V$2:V$401,$X115)))</f>
        <v/>
      </c>
      <c r="W115" s="7">
        <f>IF($X115="","",IF(INDEX('Per Invoice'!W$2:W$401,$X115)="","",INDEX('Per Invoice'!W$2:W$401,$X115)))</f>
        <v/>
      </c>
      <c r="X115" s="16">
        <f>IFERROR(MATCH(Settings!$C$33&amp;"|"&amp;ROWS($X$2:$X115),'Per Invoice'!$Y$2:$Y$401,0),"")</f>
        <v/>
      </c>
    </row>
    <row r="116">
      <c r="A116">
        <f>IF($X116="","",IF(INDEX('Per Invoice'!A$2:A$401,$X116)="","",INDEX('Per Invoice'!A$2:A$401,$X116)))</f>
        <v/>
      </c>
      <c r="B116">
        <f>IF($X116="","",IF(INDEX('Per Invoice'!B$2:B$401,$X116)="","",INDEX('Per Invoice'!B$2:B$401,$X116)))</f>
        <v/>
      </c>
      <c r="C116">
        <f>IF($X116="","",IF(INDEX('Per Invoice'!C$2:C$401,$X116)="","",INDEX('Per Invoice'!C$2:C$401,$X116)))</f>
        <v/>
      </c>
      <c r="D116">
        <f>IF($X116="","",IF(INDEX('Per Invoice'!D$2:D$401,$X116)="","",INDEX('Per Invoice'!D$2:D$401,$X116)))</f>
        <v/>
      </c>
      <c r="E116">
        <f>IF($X116="","",IF(INDEX('Per Invoice'!E$2:E$401,$X116)="","",INDEX('Per Invoice'!E$2:E$401,$X116)))</f>
        <v/>
      </c>
      <c r="F116">
        <f>IF($X116="","",IF(INDEX('Per Invoice'!F$2:F$401,$X116)="","",INDEX('Per Invoice'!F$2:F$401,$X116)))</f>
        <v/>
      </c>
      <c r="G116">
        <f>IF($X116="","",IF(INDEX('Per Invoice'!G$2:G$401,$X116)="","",INDEX('Per Invoice'!G$2:G$401,$X116)))</f>
        <v/>
      </c>
      <c r="H116">
        <f>IF($X116="","",IF(INDEX('Per Invoice'!H$2:H$401,$X116)="","",INDEX('Per Invoice'!H$2:H$401,$X116)))</f>
        <v/>
      </c>
      <c r="I116">
        <f>IF($X116="","",IF(INDEX('Per Invoice'!I$2:I$401,$X116)="","",INDEX('Per Invoice'!I$2:I$401,$X116)))</f>
        <v/>
      </c>
      <c r="J116">
        <f>IF($X116="","",IF(INDEX('Per Invoice'!J$2:J$401,$X116)="","",INDEX('Per Invoice'!J$2:J$401,$X116)))</f>
        <v/>
      </c>
      <c r="K116" s="14">
        <f>IF($X116="","",IF(INDEX('Per Invoice'!K$2:K$401,$X116)="","",INDEX('Per Invoice'!K$2:K$401,$X116)))</f>
        <v/>
      </c>
      <c r="L116">
        <f>IF($X116="","",IF(INDEX('Per Invoice'!L$2:L$401,$X116)="","",INDEX('Per Invoice'!L$2:L$401,$X116)))</f>
        <v/>
      </c>
      <c r="M116" s="7">
        <f>IF($X116="","",IF(INDEX('Per Invoice'!M$2:M$401,$X116)="","",INDEX('Per Invoice'!M$2:M$401,$X116)))</f>
        <v/>
      </c>
      <c r="N116">
        <f>IF($X116="","",IF(INDEX('Per Invoice'!N$2:N$401,$X116)="","",INDEX('Per Invoice'!N$2:N$401,$X116)))</f>
        <v/>
      </c>
      <c r="O116" s="7">
        <f>IF($X116="","",IF(INDEX('Per Invoice'!O$2:O$401,$X116)="","",INDEX('Per Invoice'!O$2:O$401,$X116)))</f>
        <v/>
      </c>
      <c r="P116" s="7">
        <f>IF($X116="","",IF(INDEX('Per Invoice'!P$2:P$401,$X116)="","",INDEX('Per Invoice'!P$2:P$401,$X116)))</f>
        <v/>
      </c>
      <c r="Q116">
        <f>IF($X116="","",IF(INDEX('Per Invoice'!Q$2:Q$401,$X116)="","",INDEX('Per Invoice'!Q$2:Q$401,$X116)))</f>
        <v/>
      </c>
      <c r="R116" s="7">
        <f>IF($X116="","",IF(INDEX('Per Invoice'!R$2:R$401,$X116)="","",INDEX('Per Invoice'!R$2:R$401,$X116)))</f>
        <v/>
      </c>
      <c r="S116" s="7">
        <f>IF($X116="","",IF(INDEX('Per Invoice'!S$2:S$401,$X116)="","",INDEX('Per Invoice'!S$2:S$401,$X116)))</f>
        <v/>
      </c>
      <c r="T116" s="7">
        <f>IF($X116="","",IF(INDEX('Per Invoice'!T$2:T$401,$X116)="","",INDEX('Per Invoice'!T$2:T$401,$X116)))</f>
        <v/>
      </c>
      <c r="U116" s="7">
        <f>IF($X116="","",IF(INDEX('Per Invoice'!U$2:U$401,$X116)="","",INDEX('Per Invoice'!U$2:U$401,$X116)))</f>
        <v/>
      </c>
      <c r="V116" s="7">
        <f>IF($X116="","",IF(INDEX('Per Invoice'!V$2:V$401,$X116)="","",INDEX('Per Invoice'!V$2:V$401,$X116)))</f>
        <v/>
      </c>
      <c r="W116" s="7">
        <f>IF($X116="","",IF(INDEX('Per Invoice'!W$2:W$401,$X116)="","",INDEX('Per Invoice'!W$2:W$401,$X116)))</f>
        <v/>
      </c>
      <c r="X116" s="16">
        <f>IFERROR(MATCH(Settings!$C$33&amp;"|"&amp;ROWS($X$2:$X116),'Per Invoice'!$Y$2:$Y$401,0),"")</f>
        <v/>
      </c>
    </row>
    <row r="117">
      <c r="A117">
        <f>IF($X117="","",IF(INDEX('Per Invoice'!A$2:A$401,$X117)="","",INDEX('Per Invoice'!A$2:A$401,$X117)))</f>
        <v/>
      </c>
      <c r="B117">
        <f>IF($X117="","",IF(INDEX('Per Invoice'!B$2:B$401,$X117)="","",INDEX('Per Invoice'!B$2:B$401,$X117)))</f>
        <v/>
      </c>
      <c r="C117">
        <f>IF($X117="","",IF(INDEX('Per Invoice'!C$2:C$401,$X117)="","",INDEX('Per Invoice'!C$2:C$401,$X117)))</f>
        <v/>
      </c>
      <c r="D117">
        <f>IF($X117="","",IF(INDEX('Per Invoice'!D$2:D$401,$X117)="","",INDEX('Per Invoice'!D$2:D$401,$X117)))</f>
        <v/>
      </c>
      <c r="E117">
        <f>IF($X117="","",IF(INDEX('Per Invoice'!E$2:E$401,$X117)="","",INDEX('Per Invoice'!E$2:E$401,$X117)))</f>
        <v/>
      </c>
      <c r="F117">
        <f>IF($X117="","",IF(INDEX('Per Invoice'!F$2:F$401,$X117)="","",INDEX('Per Invoice'!F$2:F$401,$X117)))</f>
        <v/>
      </c>
      <c r="G117">
        <f>IF($X117="","",IF(INDEX('Per Invoice'!G$2:G$401,$X117)="","",INDEX('Per Invoice'!G$2:G$401,$X117)))</f>
        <v/>
      </c>
      <c r="H117">
        <f>IF($X117="","",IF(INDEX('Per Invoice'!H$2:H$401,$X117)="","",INDEX('Per Invoice'!H$2:H$401,$X117)))</f>
        <v/>
      </c>
      <c r="I117">
        <f>IF($X117="","",IF(INDEX('Per Invoice'!I$2:I$401,$X117)="","",INDEX('Per Invoice'!I$2:I$401,$X117)))</f>
        <v/>
      </c>
      <c r="J117">
        <f>IF($X117="","",IF(INDEX('Per Invoice'!J$2:J$401,$X117)="","",INDEX('Per Invoice'!J$2:J$401,$X117)))</f>
        <v/>
      </c>
      <c r="K117" s="14">
        <f>IF($X117="","",IF(INDEX('Per Invoice'!K$2:K$401,$X117)="","",INDEX('Per Invoice'!K$2:K$401,$X117)))</f>
        <v/>
      </c>
      <c r="L117">
        <f>IF($X117="","",IF(INDEX('Per Invoice'!L$2:L$401,$X117)="","",INDEX('Per Invoice'!L$2:L$401,$X117)))</f>
        <v/>
      </c>
      <c r="M117" s="7">
        <f>IF($X117="","",IF(INDEX('Per Invoice'!M$2:M$401,$X117)="","",INDEX('Per Invoice'!M$2:M$401,$X117)))</f>
        <v/>
      </c>
      <c r="N117">
        <f>IF($X117="","",IF(INDEX('Per Invoice'!N$2:N$401,$X117)="","",INDEX('Per Invoice'!N$2:N$401,$X117)))</f>
        <v/>
      </c>
      <c r="O117" s="7">
        <f>IF($X117="","",IF(INDEX('Per Invoice'!O$2:O$401,$X117)="","",INDEX('Per Invoice'!O$2:O$401,$X117)))</f>
        <v/>
      </c>
      <c r="P117" s="7">
        <f>IF($X117="","",IF(INDEX('Per Invoice'!P$2:P$401,$X117)="","",INDEX('Per Invoice'!P$2:P$401,$X117)))</f>
        <v/>
      </c>
      <c r="Q117">
        <f>IF($X117="","",IF(INDEX('Per Invoice'!Q$2:Q$401,$X117)="","",INDEX('Per Invoice'!Q$2:Q$401,$X117)))</f>
        <v/>
      </c>
      <c r="R117" s="7">
        <f>IF($X117="","",IF(INDEX('Per Invoice'!R$2:R$401,$X117)="","",INDEX('Per Invoice'!R$2:R$401,$X117)))</f>
        <v/>
      </c>
      <c r="S117" s="7">
        <f>IF($X117="","",IF(INDEX('Per Invoice'!S$2:S$401,$X117)="","",INDEX('Per Invoice'!S$2:S$401,$X117)))</f>
        <v/>
      </c>
      <c r="T117" s="7">
        <f>IF($X117="","",IF(INDEX('Per Invoice'!T$2:T$401,$X117)="","",INDEX('Per Invoice'!T$2:T$401,$X117)))</f>
        <v/>
      </c>
      <c r="U117" s="7">
        <f>IF($X117="","",IF(INDEX('Per Invoice'!U$2:U$401,$X117)="","",INDEX('Per Invoice'!U$2:U$401,$X117)))</f>
        <v/>
      </c>
      <c r="V117" s="7">
        <f>IF($X117="","",IF(INDEX('Per Invoice'!V$2:V$401,$X117)="","",INDEX('Per Invoice'!V$2:V$401,$X117)))</f>
        <v/>
      </c>
      <c r="W117" s="7">
        <f>IF($X117="","",IF(INDEX('Per Invoice'!W$2:W$401,$X117)="","",INDEX('Per Invoice'!W$2:W$401,$X117)))</f>
        <v/>
      </c>
      <c r="X117" s="16">
        <f>IFERROR(MATCH(Settings!$C$33&amp;"|"&amp;ROWS($X$2:$X117),'Per Invoice'!$Y$2:$Y$401,0),"")</f>
        <v/>
      </c>
    </row>
    <row r="118">
      <c r="A118">
        <f>IF($X118="","",IF(INDEX('Per Invoice'!A$2:A$401,$X118)="","",INDEX('Per Invoice'!A$2:A$401,$X118)))</f>
        <v/>
      </c>
      <c r="B118">
        <f>IF($X118="","",IF(INDEX('Per Invoice'!B$2:B$401,$X118)="","",INDEX('Per Invoice'!B$2:B$401,$X118)))</f>
        <v/>
      </c>
      <c r="C118">
        <f>IF($X118="","",IF(INDEX('Per Invoice'!C$2:C$401,$X118)="","",INDEX('Per Invoice'!C$2:C$401,$X118)))</f>
        <v/>
      </c>
      <c r="D118">
        <f>IF($X118="","",IF(INDEX('Per Invoice'!D$2:D$401,$X118)="","",INDEX('Per Invoice'!D$2:D$401,$X118)))</f>
        <v/>
      </c>
      <c r="E118">
        <f>IF($X118="","",IF(INDEX('Per Invoice'!E$2:E$401,$X118)="","",INDEX('Per Invoice'!E$2:E$401,$X118)))</f>
        <v/>
      </c>
      <c r="F118">
        <f>IF($X118="","",IF(INDEX('Per Invoice'!F$2:F$401,$X118)="","",INDEX('Per Invoice'!F$2:F$401,$X118)))</f>
        <v/>
      </c>
      <c r="G118">
        <f>IF($X118="","",IF(INDEX('Per Invoice'!G$2:G$401,$X118)="","",INDEX('Per Invoice'!G$2:G$401,$X118)))</f>
        <v/>
      </c>
      <c r="H118">
        <f>IF($X118="","",IF(INDEX('Per Invoice'!H$2:H$401,$X118)="","",INDEX('Per Invoice'!H$2:H$401,$X118)))</f>
        <v/>
      </c>
      <c r="I118">
        <f>IF($X118="","",IF(INDEX('Per Invoice'!I$2:I$401,$X118)="","",INDEX('Per Invoice'!I$2:I$401,$X118)))</f>
        <v/>
      </c>
      <c r="J118">
        <f>IF($X118="","",IF(INDEX('Per Invoice'!J$2:J$401,$X118)="","",INDEX('Per Invoice'!J$2:J$401,$X118)))</f>
        <v/>
      </c>
      <c r="K118" s="14">
        <f>IF($X118="","",IF(INDEX('Per Invoice'!K$2:K$401,$X118)="","",INDEX('Per Invoice'!K$2:K$401,$X118)))</f>
        <v/>
      </c>
      <c r="L118">
        <f>IF($X118="","",IF(INDEX('Per Invoice'!L$2:L$401,$X118)="","",INDEX('Per Invoice'!L$2:L$401,$X118)))</f>
        <v/>
      </c>
      <c r="M118" s="7">
        <f>IF($X118="","",IF(INDEX('Per Invoice'!M$2:M$401,$X118)="","",INDEX('Per Invoice'!M$2:M$401,$X118)))</f>
        <v/>
      </c>
      <c r="N118">
        <f>IF($X118="","",IF(INDEX('Per Invoice'!N$2:N$401,$X118)="","",INDEX('Per Invoice'!N$2:N$401,$X118)))</f>
        <v/>
      </c>
      <c r="O118" s="7">
        <f>IF($X118="","",IF(INDEX('Per Invoice'!O$2:O$401,$X118)="","",INDEX('Per Invoice'!O$2:O$401,$X118)))</f>
        <v/>
      </c>
      <c r="P118" s="7">
        <f>IF($X118="","",IF(INDEX('Per Invoice'!P$2:P$401,$X118)="","",INDEX('Per Invoice'!P$2:P$401,$X118)))</f>
        <v/>
      </c>
      <c r="Q118">
        <f>IF($X118="","",IF(INDEX('Per Invoice'!Q$2:Q$401,$X118)="","",INDEX('Per Invoice'!Q$2:Q$401,$X118)))</f>
        <v/>
      </c>
      <c r="R118" s="7">
        <f>IF($X118="","",IF(INDEX('Per Invoice'!R$2:R$401,$X118)="","",INDEX('Per Invoice'!R$2:R$401,$X118)))</f>
        <v/>
      </c>
      <c r="S118" s="7">
        <f>IF($X118="","",IF(INDEX('Per Invoice'!S$2:S$401,$X118)="","",INDEX('Per Invoice'!S$2:S$401,$X118)))</f>
        <v/>
      </c>
      <c r="T118" s="7">
        <f>IF($X118="","",IF(INDEX('Per Invoice'!T$2:T$401,$X118)="","",INDEX('Per Invoice'!T$2:T$401,$X118)))</f>
        <v/>
      </c>
      <c r="U118" s="7">
        <f>IF($X118="","",IF(INDEX('Per Invoice'!U$2:U$401,$X118)="","",INDEX('Per Invoice'!U$2:U$401,$X118)))</f>
        <v/>
      </c>
      <c r="V118" s="7">
        <f>IF($X118="","",IF(INDEX('Per Invoice'!V$2:V$401,$X118)="","",INDEX('Per Invoice'!V$2:V$401,$X118)))</f>
        <v/>
      </c>
      <c r="W118" s="7">
        <f>IF($X118="","",IF(INDEX('Per Invoice'!W$2:W$401,$X118)="","",INDEX('Per Invoice'!W$2:W$401,$X118)))</f>
        <v/>
      </c>
      <c r="X118" s="16">
        <f>IFERROR(MATCH(Settings!$C$33&amp;"|"&amp;ROWS($X$2:$X118),'Per Invoice'!$Y$2:$Y$401,0),"")</f>
        <v/>
      </c>
    </row>
    <row r="119">
      <c r="A119">
        <f>IF($X119="","",IF(INDEX('Per Invoice'!A$2:A$401,$X119)="","",INDEX('Per Invoice'!A$2:A$401,$X119)))</f>
        <v/>
      </c>
      <c r="B119">
        <f>IF($X119="","",IF(INDEX('Per Invoice'!B$2:B$401,$X119)="","",INDEX('Per Invoice'!B$2:B$401,$X119)))</f>
        <v/>
      </c>
      <c r="C119">
        <f>IF($X119="","",IF(INDEX('Per Invoice'!C$2:C$401,$X119)="","",INDEX('Per Invoice'!C$2:C$401,$X119)))</f>
        <v/>
      </c>
      <c r="D119">
        <f>IF($X119="","",IF(INDEX('Per Invoice'!D$2:D$401,$X119)="","",INDEX('Per Invoice'!D$2:D$401,$X119)))</f>
        <v/>
      </c>
      <c r="E119">
        <f>IF($X119="","",IF(INDEX('Per Invoice'!E$2:E$401,$X119)="","",INDEX('Per Invoice'!E$2:E$401,$X119)))</f>
        <v/>
      </c>
      <c r="F119">
        <f>IF($X119="","",IF(INDEX('Per Invoice'!F$2:F$401,$X119)="","",INDEX('Per Invoice'!F$2:F$401,$X119)))</f>
        <v/>
      </c>
      <c r="G119">
        <f>IF($X119="","",IF(INDEX('Per Invoice'!G$2:G$401,$X119)="","",INDEX('Per Invoice'!G$2:G$401,$X119)))</f>
        <v/>
      </c>
      <c r="H119">
        <f>IF($X119="","",IF(INDEX('Per Invoice'!H$2:H$401,$X119)="","",INDEX('Per Invoice'!H$2:H$401,$X119)))</f>
        <v/>
      </c>
      <c r="I119">
        <f>IF($X119="","",IF(INDEX('Per Invoice'!I$2:I$401,$X119)="","",INDEX('Per Invoice'!I$2:I$401,$X119)))</f>
        <v/>
      </c>
      <c r="J119">
        <f>IF($X119="","",IF(INDEX('Per Invoice'!J$2:J$401,$X119)="","",INDEX('Per Invoice'!J$2:J$401,$X119)))</f>
        <v/>
      </c>
      <c r="K119" s="14">
        <f>IF($X119="","",IF(INDEX('Per Invoice'!K$2:K$401,$X119)="","",INDEX('Per Invoice'!K$2:K$401,$X119)))</f>
        <v/>
      </c>
      <c r="L119">
        <f>IF($X119="","",IF(INDEX('Per Invoice'!L$2:L$401,$X119)="","",INDEX('Per Invoice'!L$2:L$401,$X119)))</f>
        <v/>
      </c>
      <c r="M119" s="7">
        <f>IF($X119="","",IF(INDEX('Per Invoice'!M$2:M$401,$X119)="","",INDEX('Per Invoice'!M$2:M$401,$X119)))</f>
        <v/>
      </c>
      <c r="N119">
        <f>IF($X119="","",IF(INDEX('Per Invoice'!N$2:N$401,$X119)="","",INDEX('Per Invoice'!N$2:N$401,$X119)))</f>
        <v/>
      </c>
      <c r="O119" s="7">
        <f>IF($X119="","",IF(INDEX('Per Invoice'!O$2:O$401,$X119)="","",INDEX('Per Invoice'!O$2:O$401,$X119)))</f>
        <v/>
      </c>
      <c r="P119" s="7">
        <f>IF($X119="","",IF(INDEX('Per Invoice'!P$2:P$401,$X119)="","",INDEX('Per Invoice'!P$2:P$401,$X119)))</f>
        <v/>
      </c>
      <c r="Q119">
        <f>IF($X119="","",IF(INDEX('Per Invoice'!Q$2:Q$401,$X119)="","",INDEX('Per Invoice'!Q$2:Q$401,$X119)))</f>
        <v/>
      </c>
      <c r="R119" s="7">
        <f>IF($X119="","",IF(INDEX('Per Invoice'!R$2:R$401,$X119)="","",INDEX('Per Invoice'!R$2:R$401,$X119)))</f>
        <v/>
      </c>
      <c r="S119" s="7">
        <f>IF($X119="","",IF(INDEX('Per Invoice'!S$2:S$401,$X119)="","",INDEX('Per Invoice'!S$2:S$401,$X119)))</f>
        <v/>
      </c>
      <c r="T119" s="7">
        <f>IF($X119="","",IF(INDEX('Per Invoice'!T$2:T$401,$X119)="","",INDEX('Per Invoice'!T$2:T$401,$X119)))</f>
        <v/>
      </c>
      <c r="U119" s="7">
        <f>IF($X119="","",IF(INDEX('Per Invoice'!U$2:U$401,$X119)="","",INDEX('Per Invoice'!U$2:U$401,$X119)))</f>
        <v/>
      </c>
      <c r="V119" s="7">
        <f>IF($X119="","",IF(INDEX('Per Invoice'!V$2:V$401,$X119)="","",INDEX('Per Invoice'!V$2:V$401,$X119)))</f>
        <v/>
      </c>
      <c r="W119" s="7">
        <f>IF($X119="","",IF(INDEX('Per Invoice'!W$2:W$401,$X119)="","",INDEX('Per Invoice'!W$2:W$401,$X119)))</f>
        <v/>
      </c>
      <c r="X119" s="16">
        <f>IFERROR(MATCH(Settings!$C$33&amp;"|"&amp;ROWS($X$2:$X119),'Per Invoice'!$Y$2:$Y$401,0),"")</f>
        <v/>
      </c>
    </row>
    <row r="120">
      <c r="A120">
        <f>IF($X120="","",IF(INDEX('Per Invoice'!A$2:A$401,$X120)="","",INDEX('Per Invoice'!A$2:A$401,$X120)))</f>
        <v/>
      </c>
      <c r="B120">
        <f>IF($X120="","",IF(INDEX('Per Invoice'!B$2:B$401,$X120)="","",INDEX('Per Invoice'!B$2:B$401,$X120)))</f>
        <v/>
      </c>
      <c r="C120">
        <f>IF($X120="","",IF(INDEX('Per Invoice'!C$2:C$401,$X120)="","",INDEX('Per Invoice'!C$2:C$401,$X120)))</f>
        <v/>
      </c>
      <c r="D120">
        <f>IF($X120="","",IF(INDEX('Per Invoice'!D$2:D$401,$X120)="","",INDEX('Per Invoice'!D$2:D$401,$X120)))</f>
        <v/>
      </c>
      <c r="E120">
        <f>IF($X120="","",IF(INDEX('Per Invoice'!E$2:E$401,$X120)="","",INDEX('Per Invoice'!E$2:E$401,$X120)))</f>
        <v/>
      </c>
      <c r="F120">
        <f>IF($X120="","",IF(INDEX('Per Invoice'!F$2:F$401,$X120)="","",INDEX('Per Invoice'!F$2:F$401,$X120)))</f>
        <v/>
      </c>
      <c r="G120">
        <f>IF($X120="","",IF(INDEX('Per Invoice'!G$2:G$401,$X120)="","",INDEX('Per Invoice'!G$2:G$401,$X120)))</f>
        <v/>
      </c>
      <c r="H120">
        <f>IF($X120="","",IF(INDEX('Per Invoice'!H$2:H$401,$X120)="","",INDEX('Per Invoice'!H$2:H$401,$X120)))</f>
        <v/>
      </c>
      <c r="I120">
        <f>IF($X120="","",IF(INDEX('Per Invoice'!I$2:I$401,$X120)="","",INDEX('Per Invoice'!I$2:I$401,$X120)))</f>
        <v/>
      </c>
      <c r="J120">
        <f>IF($X120="","",IF(INDEX('Per Invoice'!J$2:J$401,$X120)="","",INDEX('Per Invoice'!J$2:J$401,$X120)))</f>
        <v/>
      </c>
      <c r="K120" s="14">
        <f>IF($X120="","",IF(INDEX('Per Invoice'!K$2:K$401,$X120)="","",INDEX('Per Invoice'!K$2:K$401,$X120)))</f>
        <v/>
      </c>
      <c r="L120">
        <f>IF($X120="","",IF(INDEX('Per Invoice'!L$2:L$401,$X120)="","",INDEX('Per Invoice'!L$2:L$401,$X120)))</f>
        <v/>
      </c>
      <c r="M120" s="7">
        <f>IF($X120="","",IF(INDEX('Per Invoice'!M$2:M$401,$X120)="","",INDEX('Per Invoice'!M$2:M$401,$X120)))</f>
        <v/>
      </c>
      <c r="N120">
        <f>IF($X120="","",IF(INDEX('Per Invoice'!N$2:N$401,$X120)="","",INDEX('Per Invoice'!N$2:N$401,$X120)))</f>
        <v/>
      </c>
      <c r="O120" s="7">
        <f>IF($X120="","",IF(INDEX('Per Invoice'!O$2:O$401,$X120)="","",INDEX('Per Invoice'!O$2:O$401,$X120)))</f>
        <v/>
      </c>
      <c r="P120" s="7">
        <f>IF($X120="","",IF(INDEX('Per Invoice'!P$2:P$401,$X120)="","",INDEX('Per Invoice'!P$2:P$401,$X120)))</f>
        <v/>
      </c>
      <c r="Q120">
        <f>IF($X120="","",IF(INDEX('Per Invoice'!Q$2:Q$401,$X120)="","",INDEX('Per Invoice'!Q$2:Q$401,$X120)))</f>
        <v/>
      </c>
      <c r="R120" s="7">
        <f>IF($X120="","",IF(INDEX('Per Invoice'!R$2:R$401,$X120)="","",INDEX('Per Invoice'!R$2:R$401,$X120)))</f>
        <v/>
      </c>
      <c r="S120" s="7">
        <f>IF($X120="","",IF(INDEX('Per Invoice'!S$2:S$401,$X120)="","",INDEX('Per Invoice'!S$2:S$401,$X120)))</f>
        <v/>
      </c>
      <c r="T120" s="7">
        <f>IF($X120="","",IF(INDEX('Per Invoice'!T$2:T$401,$X120)="","",INDEX('Per Invoice'!T$2:T$401,$X120)))</f>
        <v/>
      </c>
      <c r="U120" s="7">
        <f>IF($X120="","",IF(INDEX('Per Invoice'!U$2:U$401,$X120)="","",INDEX('Per Invoice'!U$2:U$401,$X120)))</f>
        <v/>
      </c>
      <c r="V120" s="7">
        <f>IF($X120="","",IF(INDEX('Per Invoice'!V$2:V$401,$X120)="","",INDEX('Per Invoice'!V$2:V$401,$X120)))</f>
        <v/>
      </c>
      <c r="W120" s="7">
        <f>IF($X120="","",IF(INDEX('Per Invoice'!W$2:W$401,$X120)="","",INDEX('Per Invoice'!W$2:W$401,$X120)))</f>
        <v/>
      </c>
      <c r="X120" s="16">
        <f>IFERROR(MATCH(Settings!$C$33&amp;"|"&amp;ROWS($X$2:$X120),'Per Invoice'!$Y$2:$Y$401,0),"")</f>
        <v/>
      </c>
    </row>
    <row r="121">
      <c r="A121">
        <f>IF($X121="","",IF(INDEX('Per Invoice'!A$2:A$401,$X121)="","",INDEX('Per Invoice'!A$2:A$401,$X121)))</f>
        <v/>
      </c>
      <c r="B121">
        <f>IF($X121="","",IF(INDEX('Per Invoice'!B$2:B$401,$X121)="","",INDEX('Per Invoice'!B$2:B$401,$X121)))</f>
        <v/>
      </c>
      <c r="C121">
        <f>IF($X121="","",IF(INDEX('Per Invoice'!C$2:C$401,$X121)="","",INDEX('Per Invoice'!C$2:C$401,$X121)))</f>
        <v/>
      </c>
      <c r="D121">
        <f>IF($X121="","",IF(INDEX('Per Invoice'!D$2:D$401,$X121)="","",INDEX('Per Invoice'!D$2:D$401,$X121)))</f>
        <v/>
      </c>
      <c r="E121">
        <f>IF($X121="","",IF(INDEX('Per Invoice'!E$2:E$401,$X121)="","",INDEX('Per Invoice'!E$2:E$401,$X121)))</f>
        <v/>
      </c>
      <c r="F121">
        <f>IF($X121="","",IF(INDEX('Per Invoice'!F$2:F$401,$X121)="","",INDEX('Per Invoice'!F$2:F$401,$X121)))</f>
        <v/>
      </c>
      <c r="G121">
        <f>IF($X121="","",IF(INDEX('Per Invoice'!G$2:G$401,$X121)="","",INDEX('Per Invoice'!G$2:G$401,$X121)))</f>
        <v/>
      </c>
      <c r="H121">
        <f>IF($X121="","",IF(INDEX('Per Invoice'!H$2:H$401,$X121)="","",INDEX('Per Invoice'!H$2:H$401,$X121)))</f>
        <v/>
      </c>
      <c r="I121">
        <f>IF($X121="","",IF(INDEX('Per Invoice'!I$2:I$401,$X121)="","",INDEX('Per Invoice'!I$2:I$401,$X121)))</f>
        <v/>
      </c>
      <c r="J121">
        <f>IF($X121="","",IF(INDEX('Per Invoice'!J$2:J$401,$X121)="","",INDEX('Per Invoice'!J$2:J$401,$X121)))</f>
        <v/>
      </c>
      <c r="K121" s="14">
        <f>IF($X121="","",IF(INDEX('Per Invoice'!K$2:K$401,$X121)="","",INDEX('Per Invoice'!K$2:K$401,$X121)))</f>
        <v/>
      </c>
      <c r="L121">
        <f>IF($X121="","",IF(INDEX('Per Invoice'!L$2:L$401,$X121)="","",INDEX('Per Invoice'!L$2:L$401,$X121)))</f>
        <v/>
      </c>
      <c r="M121" s="7">
        <f>IF($X121="","",IF(INDEX('Per Invoice'!M$2:M$401,$X121)="","",INDEX('Per Invoice'!M$2:M$401,$X121)))</f>
        <v/>
      </c>
      <c r="N121">
        <f>IF($X121="","",IF(INDEX('Per Invoice'!N$2:N$401,$X121)="","",INDEX('Per Invoice'!N$2:N$401,$X121)))</f>
        <v/>
      </c>
      <c r="O121" s="7">
        <f>IF($X121="","",IF(INDEX('Per Invoice'!O$2:O$401,$X121)="","",INDEX('Per Invoice'!O$2:O$401,$X121)))</f>
        <v/>
      </c>
      <c r="P121" s="7">
        <f>IF($X121="","",IF(INDEX('Per Invoice'!P$2:P$401,$X121)="","",INDEX('Per Invoice'!P$2:P$401,$X121)))</f>
        <v/>
      </c>
      <c r="Q121">
        <f>IF($X121="","",IF(INDEX('Per Invoice'!Q$2:Q$401,$X121)="","",INDEX('Per Invoice'!Q$2:Q$401,$X121)))</f>
        <v/>
      </c>
      <c r="R121" s="7">
        <f>IF($X121="","",IF(INDEX('Per Invoice'!R$2:R$401,$X121)="","",INDEX('Per Invoice'!R$2:R$401,$X121)))</f>
        <v/>
      </c>
      <c r="S121" s="7">
        <f>IF($X121="","",IF(INDEX('Per Invoice'!S$2:S$401,$X121)="","",INDEX('Per Invoice'!S$2:S$401,$X121)))</f>
        <v/>
      </c>
      <c r="T121" s="7">
        <f>IF($X121="","",IF(INDEX('Per Invoice'!T$2:T$401,$X121)="","",INDEX('Per Invoice'!T$2:T$401,$X121)))</f>
        <v/>
      </c>
      <c r="U121" s="7">
        <f>IF($X121="","",IF(INDEX('Per Invoice'!U$2:U$401,$X121)="","",INDEX('Per Invoice'!U$2:U$401,$X121)))</f>
        <v/>
      </c>
      <c r="V121" s="7">
        <f>IF($X121="","",IF(INDEX('Per Invoice'!V$2:V$401,$X121)="","",INDEX('Per Invoice'!V$2:V$401,$X121)))</f>
        <v/>
      </c>
      <c r="W121" s="7">
        <f>IF($X121="","",IF(INDEX('Per Invoice'!W$2:W$401,$X121)="","",INDEX('Per Invoice'!W$2:W$401,$X121)))</f>
        <v/>
      </c>
      <c r="X121" s="16">
        <f>IFERROR(MATCH(Settings!$C$33&amp;"|"&amp;ROWS($X$2:$X121),'Per Invoice'!$Y$2:$Y$401,0),"")</f>
        <v/>
      </c>
    </row>
    <row r="122">
      <c r="A122">
        <f>IF($X122="","",IF(INDEX('Per Invoice'!A$2:A$401,$X122)="","",INDEX('Per Invoice'!A$2:A$401,$X122)))</f>
        <v/>
      </c>
      <c r="B122">
        <f>IF($X122="","",IF(INDEX('Per Invoice'!B$2:B$401,$X122)="","",INDEX('Per Invoice'!B$2:B$401,$X122)))</f>
        <v/>
      </c>
      <c r="C122">
        <f>IF($X122="","",IF(INDEX('Per Invoice'!C$2:C$401,$X122)="","",INDEX('Per Invoice'!C$2:C$401,$X122)))</f>
        <v/>
      </c>
      <c r="D122">
        <f>IF($X122="","",IF(INDEX('Per Invoice'!D$2:D$401,$X122)="","",INDEX('Per Invoice'!D$2:D$401,$X122)))</f>
        <v/>
      </c>
      <c r="E122">
        <f>IF($X122="","",IF(INDEX('Per Invoice'!E$2:E$401,$X122)="","",INDEX('Per Invoice'!E$2:E$401,$X122)))</f>
        <v/>
      </c>
      <c r="F122">
        <f>IF($X122="","",IF(INDEX('Per Invoice'!F$2:F$401,$X122)="","",INDEX('Per Invoice'!F$2:F$401,$X122)))</f>
        <v/>
      </c>
      <c r="G122">
        <f>IF($X122="","",IF(INDEX('Per Invoice'!G$2:G$401,$X122)="","",INDEX('Per Invoice'!G$2:G$401,$X122)))</f>
        <v/>
      </c>
      <c r="H122">
        <f>IF($X122="","",IF(INDEX('Per Invoice'!H$2:H$401,$X122)="","",INDEX('Per Invoice'!H$2:H$401,$X122)))</f>
        <v/>
      </c>
      <c r="I122">
        <f>IF($X122="","",IF(INDEX('Per Invoice'!I$2:I$401,$X122)="","",INDEX('Per Invoice'!I$2:I$401,$X122)))</f>
        <v/>
      </c>
      <c r="J122">
        <f>IF($X122="","",IF(INDEX('Per Invoice'!J$2:J$401,$X122)="","",INDEX('Per Invoice'!J$2:J$401,$X122)))</f>
        <v/>
      </c>
      <c r="K122" s="14">
        <f>IF($X122="","",IF(INDEX('Per Invoice'!K$2:K$401,$X122)="","",INDEX('Per Invoice'!K$2:K$401,$X122)))</f>
        <v/>
      </c>
      <c r="L122">
        <f>IF($X122="","",IF(INDEX('Per Invoice'!L$2:L$401,$X122)="","",INDEX('Per Invoice'!L$2:L$401,$X122)))</f>
        <v/>
      </c>
      <c r="M122" s="7">
        <f>IF($X122="","",IF(INDEX('Per Invoice'!M$2:M$401,$X122)="","",INDEX('Per Invoice'!M$2:M$401,$X122)))</f>
        <v/>
      </c>
      <c r="N122">
        <f>IF($X122="","",IF(INDEX('Per Invoice'!N$2:N$401,$X122)="","",INDEX('Per Invoice'!N$2:N$401,$X122)))</f>
        <v/>
      </c>
      <c r="O122" s="7">
        <f>IF($X122="","",IF(INDEX('Per Invoice'!O$2:O$401,$X122)="","",INDEX('Per Invoice'!O$2:O$401,$X122)))</f>
        <v/>
      </c>
      <c r="P122" s="7">
        <f>IF($X122="","",IF(INDEX('Per Invoice'!P$2:P$401,$X122)="","",INDEX('Per Invoice'!P$2:P$401,$X122)))</f>
        <v/>
      </c>
      <c r="Q122">
        <f>IF($X122="","",IF(INDEX('Per Invoice'!Q$2:Q$401,$X122)="","",INDEX('Per Invoice'!Q$2:Q$401,$X122)))</f>
        <v/>
      </c>
      <c r="R122" s="7">
        <f>IF($X122="","",IF(INDEX('Per Invoice'!R$2:R$401,$X122)="","",INDEX('Per Invoice'!R$2:R$401,$X122)))</f>
        <v/>
      </c>
      <c r="S122" s="7">
        <f>IF($X122="","",IF(INDEX('Per Invoice'!S$2:S$401,$X122)="","",INDEX('Per Invoice'!S$2:S$401,$X122)))</f>
        <v/>
      </c>
      <c r="T122" s="7">
        <f>IF($X122="","",IF(INDEX('Per Invoice'!T$2:T$401,$X122)="","",INDEX('Per Invoice'!T$2:T$401,$X122)))</f>
        <v/>
      </c>
      <c r="U122" s="7">
        <f>IF($X122="","",IF(INDEX('Per Invoice'!U$2:U$401,$X122)="","",INDEX('Per Invoice'!U$2:U$401,$X122)))</f>
        <v/>
      </c>
      <c r="V122" s="7">
        <f>IF($X122="","",IF(INDEX('Per Invoice'!V$2:V$401,$X122)="","",INDEX('Per Invoice'!V$2:V$401,$X122)))</f>
        <v/>
      </c>
      <c r="W122" s="7">
        <f>IF($X122="","",IF(INDEX('Per Invoice'!W$2:W$401,$X122)="","",INDEX('Per Invoice'!W$2:W$401,$X122)))</f>
        <v/>
      </c>
      <c r="X122" s="16">
        <f>IFERROR(MATCH(Settings!$C$33&amp;"|"&amp;ROWS($X$2:$X122),'Per Invoice'!$Y$2:$Y$401,0),"")</f>
        <v/>
      </c>
    </row>
    <row r="123">
      <c r="A123">
        <f>IF($X123="","",IF(INDEX('Per Invoice'!A$2:A$401,$X123)="","",INDEX('Per Invoice'!A$2:A$401,$X123)))</f>
        <v/>
      </c>
      <c r="B123">
        <f>IF($X123="","",IF(INDEX('Per Invoice'!B$2:B$401,$X123)="","",INDEX('Per Invoice'!B$2:B$401,$X123)))</f>
        <v/>
      </c>
      <c r="C123">
        <f>IF($X123="","",IF(INDEX('Per Invoice'!C$2:C$401,$X123)="","",INDEX('Per Invoice'!C$2:C$401,$X123)))</f>
        <v/>
      </c>
      <c r="D123">
        <f>IF($X123="","",IF(INDEX('Per Invoice'!D$2:D$401,$X123)="","",INDEX('Per Invoice'!D$2:D$401,$X123)))</f>
        <v/>
      </c>
      <c r="E123">
        <f>IF($X123="","",IF(INDEX('Per Invoice'!E$2:E$401,$X123)="","",INDEX('Per Invoice'!E$2:E$401,$X123)))</f>
        <v/>
      </c>
      <c r="F123">
        <f>IF($X123="","",IF(INDEX('Per Invoice'!F$2:F$401,$X123)="","",INDEX('Per Invoice'!F$2:F$401,$X123)))</f>
        <v/>
      </c>
      <c r="G123">
        <f>IF($X123="","",IF(INDEX('Per Invoice'!G$2:G$401,$X123)="","",INDEX('Per Invoice'!G$2:G$401,$X123)))</f>
        <v/>
      </c>
      <c r="H123">
        <f>IF($X123="","",IF(INDEX('Per Invoice'!H$2:H$401,$X123)="","",INDEX('Per Invoice'!H$2:H$401,$X123)))</f>
        <v/>
      </c>
      <c r="I123">
        <f>IF($X123="","",IF(INDEX('Per Invoice'!I$2:I$401,$X123)="","",INDEX('Per Invoice'!I$2:I$401,$X123)))</f>
        <v/>
      </c>
      <c r="J123">
        <f>IF($X123="","",IF(INDEX('Per Invoice'!J$2:J$401,$X123)="","",INDEX('Per Invoice'!J$2:J$401,$X123)))</f>
        <v/>
      </c>
      <c r="K123" s="14">
        <f>IF($X123="","",IF(INDEX('Per Invoice'!K$2:K$401,$X123)="","",INDEX('Per Invoice'!K$2:K$401,$X123)))</f>
        <v/>
      </c>
      <c r="L123">
        <f>IF($X123="","",IF(INDEX('Per Invoice'!L$2:L$401,$X123)="","",INDEX('Per Invoice'!L$2:L$401,$X123)))</f>
        <v/>
      </c>
      <c r="M123" s="7">
        <f>IF($X123="","",IF(INDEX('Per Invoice'!M$2:M$401,$X123)="","",INDEX('Per Invoice'!M$2:M$401,$X123)))</f>
        <v/>
      </c>
      <c r="N123">
        <f>IF($X123="","",IF(INDEX('Per Invoice'!N$2:N$401,$X123)="","",INDEX('Per Invoice'!N$2:N$401,$X123)))</f>
        <v/>
      </c>
      <c r="O123" s="7">
        <f>IF($X123="","",IF(INDEX('Per Invoice'!O$2:O$401,$X123)="","",INDEX('Per Invoice'!O$2:O$401,$X123)))</f>
        <v/>
      </c>
      <c r="P123" s="7">
        <f>IF($X123="","",IF(INDEX('Per Invoice'!P$2:P$401,$X123)="","",INDEX('Per Invoice'!P$2:P$401,$X123)))</f>
        <v/>
      </c>
      <c r="Q123">
        <f>IF($X123="","",IF(INDEX('Per Invoice'!Q$2:Q$401,$X123)="","",INDEX('Per Invoice'!Q$2:Q$401,$X123)))</f>
        <v/>
      </c>
      <c r="R123" s="7">
        <f>IF($X123="","",IF(INDEX('Per Invoice'!R$2:R$401,$X123)="","",INDEX('Per Invoice'!R$2:R$401,$X123)))</f>
        <v/>
      </c>
      <c r="S123" s="7">
        <f>IF($X123="","",IF(INDEX('Per Invoice'!S$2:S$401,$X123)="","",INDEX('Per Invoice'!S$2:S$401,$X123)))</f>
        <v/>
      </c>
      <c r="T123" s="7">
        <f>IF($X123="","",IF(INDEX('Per Invoice'!T$2:T$401,$X123)="","",INDEX('Per Invoice'!T$2:T$401,$X123)))</f>
        <v/>
      </c>
      <c r="U123" s="7">
        <f>IF($X123="","",IF(INDEX('Per Invoice'!U$2:U$401,$X123)="","",INDEX('Per Invoice'!U$2:U$401,$X123)))</f>
        <v/>
      </c>
      <c r="V123" s="7">
        <f>IF($X123="","",IF(INDEX('Per Invoice'!V$2:V$401,$X123)="","",INDEX('Per Invoice'!V$2:V$401,$X123)))</f>
        <v/>
      </c>
      <c r="W123" s="7">
        <f>IF($X123="","",IF(INDEX('Per Invoice'!W$2:W$401,$X123)="","",INDEX('Per Invoice'!W$2:W$401,$X123)))</f>
        <v/>
      </c>
      <c r="X123" s="16">
        <f>IFERROR(MATCH(Settings!$C$33&amp;"|"&amp;ROWS($X$2:$X123),'Per Invoice'!$Y$2:$Y$401,0),"")</f>
        <v/>
      </c>
    </row>
    <row r="124">
      <c r="A124">
        <f>IF($X124="","",IF(INDEX('Per Invoice'!A$2:A$401,$X124)="","",INDEX('Per Invoice'!A$2:A$401,$X124)))</f>
        <v/>
      </c>
      <c r="B124">
        <f>IF($X124="","",IF(INDEX('Per Invoice'!B$2:B$401,$X124)="","",INDEX('Per Invoice'!B$2:B$401,$X124)))</f>
        <v/>
      </c>
      <c r="C124">
        <f>IF($X124="","",IF(INDEX('Per Invoice'!C$2:C$401,$X124)="","",INDEX('Per Invoice'!C$2:C$401,$X124)))</f>
        <v/>
      </c>
      <c r="D124">
        <f>IF($X124="","",IF(INDEX('Per Invoice'!D$2:D$401,$X124)="","",INDEX('Per Invoice'!D$2:D$401,$X124)))</f>
        <v/>
      </c>
      <c r="E124">
        <f>IF($X124="","",IF(INDEX('Per Invoice'!E$2:E$401,$X124)="","",INDEX('Per Invoice'!E$2:E$401,$X124)))</f>
        <v/>
      </c>
      <c r="F124">
        <f>IF($X124="","",IF(INDEX('Per Invoice'!F$2:F$401,$X124)="","",INDEX('Per Invoice'!F$2:F$401,$X124)))</f>
        <v/>
      </c>
      <c r="G124">
        <f>IF($X124="","",IF(INDEX('Per Invoice'!G$2:G$401,$X124)="","",INDEX('Per Invoice'!G$2:G$401,$X124)))</f>
        <v/>
      </c>
      <c r="H124">
        <f>IF($X124="","",IF(INDEX('Per Invoice'!H$2:H$401,$X124)="","",INDEX('Per Invoice'!H$2:H$401,$X124)))</f>
        <v/>
      </c>
      <c r="I124">
        <f>IF($X124="","",IF(INDEX('Per Invoice'!I$2:I$401,$X124)="","",INDEX('Per Invoice'!I$2:I$401,$X124)))</f>
        <v/>
      </c>
      <c r="J124">
        <f>IF($X124="","",IF(INDEX('Per Invoice'!J$2:J$401,$X124)="","",INDEX('Per Invoice'!J$2:J$401,$X124)))</f>
        <v/>
      </c>
      <c r="K124" s="14">
        <f>IF($X124="","",IF(INDEX('Per Invoice'!K$2:K$401,$X124)="","",INDEX('Per Invoice'!K$2:K$401,$X124)))</f>
        <v/>
      </c>
      <c r="L124">
        <f>IF($X124="","",IF(INDEX('Per Invoice'!L$2:L$401,$X124)="","",INDEX('Per Invoice'!L$2:L$401,$X124)))</f>
        <v/>
      </c>
      <c r="M124" s="7">
        <f>IF($X124="","",IF(INDEX('Per Invoice'!M$2:M$401,$X124)="","",INDEX('Per Invoice'!M$2:M$401,$X124)))</f>
        <v/>
      </c>
      <c r="N124">
        <f>IF($X124="","",IF(INDEX('Per Invoice'!N$2:N$401,$X124)="","",INDEX('Per Invoice'!N$2:N$401,$X124)))</f>
        <v/>
      </c>
      <c r="O124" s="7">
        <f>IF($X124="","",IF(INDEX('Per Invoice'!O$2:O$401,$X124)="","",INDEX('Per Invoice'!O$2:O$401,$X124)))</f>
        <v/>
      </c>
      <c r="P124" s="7">
        <f>IF($X124="","",IF(INDEX('Per Invoice'!P$2:P$401,$X124)="","",INDEX('Per Invoice'!P$2:P$401,$X124)))</f>
        <v/>
      </c>
      <c r="Q124">
        <f>IF($X124="","",IF(INDEX('Per Invoice'!Q$2:Q$401,$X124)="","",INDEX('Per Invoice'!Q$2:Q$401,$X124)))</f>
        <v/>
      </c>
      <c r="R124" s="7">
        <f>IF($X124="","",IF(INDEX('Per Invoice'!R$2:R$401,$X124)="","",INDEX('Per Invoice'!R$2:R$401,$X124)))</f>
        <v/>
      </c>
      <c r="S124" s="7">
        <f>IF($X124="","",IF(INDEX('Per Invoice'!S$2:S$401,$X124)="","",INDEX('Per Invoice'!S$2:S$401,$X124)))</f>
        <v/>
      </c>
      <c r="T124" s="7">
        <f>IF($X124="","",IF(INDEX('Per Invoice'!T$2:T$401,$X124)="","",INDEX('Per Invoice'!T$2:T$401,$X124)))</f>
        <v/>
      </c>
      <c r="U124" s="7">
        <f>IF($X124="","",IF(INDEX('Per Invoice'!U$2:U$401,$X124)="","",INDEX('Per Invoice'!U$2:U$401,$X124)))</f>
        <v/>
      </c>
      <c r="V124" s="7">
        <f>IF($X124="","",IF(INDEX('Per Invoice'!V$2:V$401,$X124)="","",INDEX('Per Invoice'!V$2:V$401,$X124)))</f>
        <v/>
      </c>
      <c r="W124" s="7">
        <f>IF($X124="","",IF(INDEX('Per Invoice'!W$2:W$401,$X124)="","",INDEX('Per Invoice'!W$2:W$401,$X124)))</f>
        <v/>
      </c>
      <c r="X124" s="16">
        <f>IFERROR(MATCH(Settings!$C$33&amp;"|"&amp;ROWS($X$2:$X124),'Per Invoice'!$Y$2:$Y$401,0),"")</f>
        <v/>
      </c>
    </row>
    <row r="125">
      <c r="A125">
        <f>IF($X125="","",IF(INDEX('Per Invoice'!A$2:A$401,$X125)="","",INDEX('Per Invoice'!A$2:A$401,$X125)))</f>
        <v/>
      </c>
      <c r="B125">
        <f>IF($X125="","",IF(INDEX('Per Invoice'!B$2:B$401,$X125)="","",INDEX('Per Invoice'!B$2:B$401,$X125)))</f>
        <v/>
      </c>
      <c r="C125">
        <f>IF($X125="","",IF(INDEX('Per Invoice'!C$2:C$401,$X125)="","",INDEX('Per Invoice'!C$2:C$401,$X125)))</f>
        <v/>
      </c>
      <c r="D125">
        <f>IF($X125="","",IF(INDEX('Per Invoice'!D$2:D$401,$X125)="","",INDEX('Per Invoice'!D$2:D$401,$X125)))</f>
        <v/>
      </c>
      <c r="E125">
        <f>IF($X125="","",IF(INDEX('Per Invoice'!E$2:E$401,$X125)="","",INDEX('Per Invoice'!E$2:E$401,$X125)))</f>
        <v/>
      </c>
      <c r="F125">
        <f>IF($X125="","",IF(INDEX('Per Invoice'!F$2:F$401,$X125)="","",INDEX('Per Invoice'!F$2:F$401,$X125)))</f>
        <v/>
      </c>
      <c r="G125">
        <f>IF($X125="","",IF(INDEX('Per Invoice'!G$2:G$401,$X125)="","",INDEX('Per Invoice'!G$2:G$401,$X125)))</f>
        <v/>
      </c>
      <c r="H125">
        <f>IF($X125="","",IF(INDEX('Per Invoice'!H$2:H$401,$X125)="","",INDEX('Per Invoice'!H$2:H$401,$X125)))</f>
        <v/>
      </c>
      <c r="I125">
        <f>IF($X125="","",IF(INDEX('Per Invoice'!I$2:I$401,$X125)="","",INDEX('Per Invoice'!I$2:I$401,$X125)))</f>
        <v/>
      </c>
      <c r="J125">
        <f>IF($X125="","",IF(INDEX('Per Invoice'!J$2:J$401,$X125)="","",INDEX('Per Invoice'!J$2:J$401,$X125)))</f>
        <v/>
      </c>
      <c r="K125" s="14">
        <f>IF($X125="","",IF(INDEX('Per Invoice'!K$2:K$401,$X125)="","",INDEX('Per Invoice'!K$2:K$401,$X125)))</f>
        <v/>
      </c>
      <c r="L125">
        <f>IF($X125="","",IF(INDEX('Per Invoice'!L$2:L$401,$X125)="","",INDEX('Per Invoice'!L$2:L$401,$X125)))</f>
        <v/>
      </c>
      <c r="M125" s="7">
        <f>IF($X125="","",IF(INDEX('Per Invoice'!M$2:M$401,$X125)="","",INDEX('Per Invoice'!M$2:M$401,$X125)))</f>
        <v/>
      </c>
      <c r="N125">
        <f>IF($X125="","",IF(INDEX('Per Invoice'!N$2:N$401,$X125)="","",INDEX('Per Invoice'!N$2:N$401,$X125)))</f>
        <v/>
      </c>
      <c r="O125" s="7">
        <f>IF($X125="","",IF(INDEX('Per Invoice'!O$2:O$401,$X125)="","",INDEX('Per Invoice'!O$2:O$401,$X125)))</f>
        <v/>
      </c>
      <c r="P125" s="7">
        <f>IF($X125="","",IF(INDEX('Per Invoice'!P$2:P$401,$X125)="","",INDEX('Per Invoice'!P$2:P$401,$X125)))</f>
        <v/>
      </c>
      <c r="Q125">
        <f>IF($X125="","",IF(INDEX('Per Invoice'!Q$2:Q$401,$X125)="","",INDEX('Per Invoice'!Q$2:Q$401,$X125)))</f>
        <v/>
      </c>
      <c r="R125" s="7">
        <f>IF($X125="","",IF(INDEX('Per Invoice'!R$2:R$401,$X125)="","",INDEX('Per Invoice'!R$2:R$401,$X125)))</f>
        <v/>
      </c>
      <c r="S125" s="7">
        <f>IF($X125="","",IF(INDEX('Per Invoice'!S$2:S$401,$X125)="","",INDEX('Per Invoice'!S$2:S$401,$X125)))</f>
        <v/>
      </c>
      <c r="T125" s="7">
        <f>IF($X125="","",IF(INDEX('Per Invoice'!T$2:T$401,$X125)="","",INDEX('Per Invoice'!T$2:T$401,$X125)))</f>
        <v/>
      </c>
      <c r="U125" s="7">
        <f>IF($X125="","",IF(INDEX('Per Invoice'!U$2:U$401,$X125)="","",INDEX('Per Invoice'!U$2:U$401,$X125)))</f>
        <v/>
      </c>
      <c r="V125" s="7">
        <f>IF($X125="","",IF(INDEX('Per Invoice'!V$2:V$401,$X125)="","",INDEX('Per Invoice'!V$2:V$401,$X125)))</f>
        <v/>
      </c>
      <c r="W125" s="7">
        <f>IF($X125="","",IF(INDEX('Per Invoice'!W$2:W$401,$X125)="","",INDEX('Per Invoice'!W$2:W$401,$X125)))</f>
        <v/>
      </c>
      <c r="X125" s="16">
        <f>IFERROR(MATCH(Settings!$C$33&amp;"|"&amp;ROWS($X$2:$X125),'Per Invoice'!$Y$2:$Y$401,0),"")</f>
        <v/>
      </c>
    </row>
    <row r="126">
      <c r="A126">
        <f>IF($X126="","",IF(INDEX('Per Invoice'!A$2:A$401,$X126)="","",INDEX('Per Invoice'!A$2:A$401,$X126)))</f>
        <v/>
      </c>
      <c r="B126">
        <f>IF($X126="","",IF(INDEX('Per Invoice'!B$2:B$401,$X126)="","",INDEX('Per Invoice'!B$2:B$401,$X126)))</f>
        <v/>
      </c>
      <c r="C126">
        <f>IF($X126="","",IF(INDEX('Per Invoice'!C$2:C$401,$X126)="","",INDEX('Per Invoice'!C$2:C$401,$X126)))</f>
        <v/>
      </c>
      <c r="D126">
        <f>IF($X126="","",IF(INDEX('Per Invoice'!D$2:D$401,$X126)="","",INDEX('Per Invoice'!D$2:D$401,$X126)))</f>
        <v/>
      </c>
      <c r="E126">
        <f>IF($X126="","",IF(INDEX('Per Invoice'!E$2:E$401,$X126)="","",INDEX('Per Invoice'!E$2:E$401,$X126)))</f>
        <v/>
      </c>
      <c r="F126">
        <f>IF($X126="","",IF(INDEX('Per Invoice'!F$2:F$401,$X126)="","",INDEX('Per Invoice'!F$2:F$401,$X126)))</f>
        <v/>
      </c>
      <c r="G126">
        <f>IF($X126="","",IF(INDEX('Per Invoice'!G$2:G$401,$X126)="","",INDEX('Per Invoice'!G$2:G$401,$X126)))</f>
        <v/>
      </c>
      <c r="H126">
        <f>IF($X126="","",IF(INDEX('Per Invoice'!H$2:H$401,$X126)="","",INDEX('Per Invoice'!H$2:H$401,$X126)))</f>
        <v/>
      </c>
      <c r="I126">
        <f>IF($X126="","",IF(INDEX('Per Invoice'!I$2:I$401,$X126)="","",INDEX('Per Invoice'!I$2:I$401,$X126)))</f>
        <v/>
      </c>
      <c r="J126">
        <f>IF($X126="","",IF(INDEX('Per Invoice'!J$2:J$401,$X126)="","",INDEX('Per Invoice'!J$2:J$401,$X126)))</f>
        <v/>
      </c>
      <c r="K126" s="14">
        <f>IF($X126="","",IF(INDEX('Per Invoice'!K$2:K$401,$X126)="","",INDEX('Per Invoice'!K$2:K$401,$X126)))</f>
        <v/>
      </c>
      <c r="L126">
        <f>IF($X126="","",IF(INDEX('Per Invoice'!L$2:L$401,$X126)="","",INDEX('Per Invoice'!L$2:L$401,$X126)))</f>
        <v/>
      </c>
      <c r="M126" s="7">
        <f>IF($X126="","",IF(INDEX('Per Invoice'!M$2:M$401,$X126)="","",INDEX('Per Invoice'!M$2:M$401,$X126)))</f>
        <v/>
      </c>
      <c r="N126">
        <f>IF($X126="","",IF(INDEX('Per Invoice'!N$2:N$401,$X126)="","",INDEX('Per Invoice'!N$2:N$401,$X126)))</f>
        <v/>
      </c>
      <c r="O126" s="7">
        <f>IF($X126="","",IF(INDEX('Per Invoice'!O$2:O$401,$X126)="","",INDEX('Per Invoice'!O$2:O$401,$X126)))</f>
        <v/>
      </c>
      <c r="P126" s="7">
        <f>IF($X126="","",IF(INDEX('Per Invoice'!P$2:P$401,$X126)="","",INDEX('Per Invoice'!P$2:P$401,$X126)))</f>
        <v/>
      </c>
      <c r="Q126">
        <f>IF($X126="","",IF(INDEX('Per Invoice'!Q$2:Q$401,$X126)="","",INDEX('Per Invoice'!Q$2:Q$401,$X126)))</f>
        <v/>
      </c>
      <c r="R126" s="7">
        <f>IF($X126="","",IF(INDEX('Per Invoice'!R$2:R$401,$X126)="","",INDEX('Per Invoice'!R$2:R$401,$X126)))</f>
        <v/>
      </c>
      <c r="S126" s="7">
        <f>IF($X126="","",IF(INDEX('Per Invoice'!S$2:S$401,$X126)="","",INDEX('Per Invoice'!S$2:S$401,$X126)))</f>
        <v/>
      </c>
      <c r="T126" s="7">
        <f>IF($X126="","",IF(INDEX('Per Invoice'!T$2:T$401,$X126)="","",INDEX('Per Invoice'!T$2:T$401,$X126)))</f>
        <v/>
      </c>
      <c r="U126" s="7">
        <f>IF($X126="","",IF(INDEX('Per Invoice'!U$2:U$401,$X126)="","",INDEX('Per Invoice'!U$2:U$401,$X126)))</f>
        <v/>
      </c>
      <c r="V126" s="7">
        <f>IF($X126="","",IF(INDEX('Per Invoice'!V$2:V$401,$X126)="","",INDEX('Per Invoice'!V$2:V$401,$X126)))</f>
        <v/>
      </c>
      <c r="W126" s="7">
        <f>IF($X126="","",IF(INDEX('Per Invoice'!W$2:W$401,$X126)="","",INDEX('Per Invoice'!W$2:W$401,$X126)))</f>
        <v/>
      </c>
      <c r="X126" s="16">
        <f>IFERROR(MATCH(Settings!$C$33&amp;"|"&amp;ROWS($X$2:$X126),'Per Invoice'!$Y$2:$Y$401,0),"")</f>
        <v/>
      </c>
    </row>
    <row r="127">
      <c r="A127">
        <f>IF($X127="","",IF(INDEX('Per Invoice'!A$2:A$401,$X127)="","",INDEX('Per Invoice'!A$2:A$401,$X127)))</f>
        <v/>
      </c>
      <c r="B127">
        <f>IF($X127="","",IF(INDEX('Per Invoice'!B$2:B$401,$X127)="","",INDEX('Per Invoice'!B$2:B$401,$X127)))</f>
        <v/>
      </c>
      <c r="C127">
        <f>IF($X127="","",IF(INDEX('Per Invoice'!C$2:C$401,$X127)="","",INDEX('Per Invoice'!C$2:C$401,$X127)))</f>
        <v/>
      </c>
      <c r="D127">
        <f>IF($X127="","",IF(INDEX('Per Invoice'!D$2:D$401,$X127)="","",INDEX('Per Invoice'!D$2:D$401,$X127)))</f>
        <v/>
      </c>
      <c r="E127">
        <f>IF($X127="","",IF(INDEX('Per Invoice'!E$2:E$401,$X127)="","",INDEX('Per Invoice'!E$2:E$401,$X127)))</f>
        <v/>
      </c>
      <c r="F127">
        <f>IF($X127="","",IF(INDEX('Per Invoice'!F$2:F$401,$X127)="","",INDEX('Per Invoice'!F$2:F$401,$X127)))</f>
        <v/>
      </c>
      <c r="G127">
        <f>IF($X127="","",IF(INDEX('Per Invoice'!G$2:G$401,$X127)="","",INDEX('Per Invoice'!G$2:G$401,$X127)))</f>
        <v/>
      </c>
      <c r="H127">
        <f>IF($X127="","",IF(INDEX('Per Invoice'!H$2:H$401,$X127)="","",INDEX('Per Invoice'!H$2:H$401,$X127)))</f>
        <v/>
      </c>
      <c r="I127">
        <f>IF($X127="","",IF(INDEX('Per Invoice'!I$2:I$401,$X127)="","",INDEX('Per Invoice'!I$2:I$401,$X127)))</f>
        <v/>
      </c>
      <c r="J127">
        <f>IF($X127="","",IF(INDEX('Per Invoice'!J$2:J$401,$X127)="","",INDEX('Per Invoice'!J$2:J$401,$X127)))</f>
        <v/>
      </c>
      <c r="K127" s="14">
        <f>IF($X127="","",IF(INDEX('Per Invoice'!K$2:K$401,$X127)="","",INDEX('Per Invoice'!K$2:K$401,$X127)))</f>
        <v/>
      </c>
      <c r="L127">
        <f>IF($X127="","",IF(INDEX('Per Invoice'!L$2:L$401,$X127)="","",INDEX('Per Invoice'!L$2:L$401,$X127)))</f>
        <v/>
      </c>
      <c r="M127" s="7">
        <f>IF($X127="","",IF(INDEX('Per Invoice'!M$2:M$401,$X127)="","",INDEX('Per Invoice'!M$2:M$401,$X127)))</f>
        <v/>
      </c>
      <c r="N127">
        <f>IF($X127="","",IF(INDEX('Per Invoice'!N$2:N$401,$X127)="","",INDEX('Per Invoice'!N$2:N$401,$X127)))</f>
        <v/>
      </c>
      <c r="O127" s="7">
        <f>IF($X127="","",IF(INDEX('Per Invoice'!O$2:O$401,$X127)="","",INDEX('Per Invoice'!O$2:O$401,$X127)))</f>
        <v/>
      </c>
      <c r="P127" s="7">
        <f>IF($X127="","",IF(INDEX('Per Invoice'!P$2:P$401,$X127)="","",INDEX('Per Invoice'!P$2:P$401,$X127)))</f>
        <v/>
      </c>
      <c r="Q127">
        <f>IF($X127="","",IF(INDEX('Per Invoice'!Q$2:Q$401,$X127)="","",INDEX('Per Invoice'!Q$2:Q$401,$X127)))</f>
        <v/>
      </c>
      <c r="R127" s="7">
        <f>IF($X127="","",IF(INDEX('Per Invoice'!R$2:R$401,$X127)="","",INDEX('Per Invoice'!R$2:R$401,$X127)))</f>
        <v/>
      </c>
      <c r="S127" s="7">
        <f>IF($X127="","",IF(INDEX('Per Invoice'!S$2:S$401,$X127)="","",INDEX('Per Invoice'!S$2:S$401,$X127)))</f>
        <v/>
      </c>
      <c r="T127" s="7">
        <f>IF($X127="","",IF(INDEX('Per Invoice'!T$2:T$401,$X127)="","",INDEX('Per Invoice'!T$2:T$401,$X127)))</f>
        <v/>
      </c>
      <c r="U127" s="7">
        <f>IF($X127="","",IF(INDEX('Per Invoice'!U$2:U$401,$X127)="","",INDEX('Per Invoice'!U$2:U$401,$X127)))</f>
        <v/>
      </c>
      <c r="V127" s="7">
        <f>IF($X127="","",IF(INDEX('Per Invoice'!V$2:V$401,$X127)="","",INDEX('Per Invoice'!V$2:V$401,$X127)))</f>
        <v/>
      </c>
      <c r="W127" s="7">
        <f>IF($X127="","",IF(INDEX('Per Invoice'!W$2:W$401,$X127)="","",INDEX('Per Invoice'!W$2:W$401,$X127)))</f>
        <v/>
      </c>
      <c r="X127" s="16">
        <f>IFERROR(MATCH(Settings!$C$33&amp;"|"&amp;ROWS($X$2:$X127),'Per Invoice'!$Y$2:$Y$401,0),"")</f>
        <v/>
      </c>
    </row>
    <row r="128">
      <c r="A128">
        <f>IF($X128="","",IF(INDEX('Per Invoice'!A$2:A$401,$X128)="","",INDEX('Per Invoice'!A$2:A$401,$X128)))</f>
        <v/>
      </c>
      <c r="B128">
        <f>IF($X128="","",IF(INDEX('Per Invoice'!B$2:B$401,$X128)="","",INDEX('Per Invoice'!B$2:B$401,$X128)))</f>
        <v/>
      </c>
      <c r="C128">
        <f>IF($X128="","",IF(INDEX('Per Invoice'!C$2:C$401,$X128)="","",INDEX('Per Invoice'!C$2:C$401,$X128)))</f>
        <v/>
      </c>
      <c r="D128">
        <f>IF($X128="","",IF(INDEX('Per Invoice'!D$2:D$401,$X128)="","",INDEX('Per Invoice'!D$2:D$401,$X128)))</f>
        <v/>
      </c>
      <c r="E128">
        <f>IF($X128="","",IF(INDEX('Per Invoice'!E$2:E$401,$X128)="","",INDEX('Per Invoice'!E$2:E$401,$X128)))</f>
        <v/>
      </c>
      <c r="F128">
        <f>IF($X128="","",IF(INDEX('Per Invoice'!F$2:F$401,$X128)="","",INDEX('Per Invoice'!F$2:F$401,$X128)))</f>
        <v/>
      </c>
      <c r="G128">
        <f>IF($X128="","",IF(INDEX('Per Invoice'!G$2:G$401,$X128)="","",INDEX('Per Invoice'!G$2:G$401,$X128)))</f>
        <v/>
      </c>
      <c r="H128">
        <f>IF($X128="","",IF(INDEX('Per Invoice'!H$2:H$401,$X128)="","",INDEX('Per Invoice'!H$2:H$401,$X128)))</f>
        <v/>
      </c>
      <c r="I128">
        <f>IF($X128="","",IF(INDEX('Per Invoice'!I$2:I$401,$X128)="","",INDEX('Per Invoice'!I$2:I$401,$X128)))</f>
        <v/>
      </c>
      <c r="J128">
        <f>IF($X128="","",IF(INDEX('Per Invoice'!J$2:J$401,$X128)="","",INDEX('Per Invoice'!J$2:J$401,$X128)))</f>
        <v/>
      </c>
      <c r="K128" s="14">
        <f>IF($X128="","",IF(INDEX('Per Invoice'!K$2:K$401,$X128)="","",INDEX('Per Invoice'!K$2:K$401,$X128)))</f>
        <v/>
      </c>
      <c r="L128">
        <f>IF($X128="","",IF(INDEX('Per Invoice'!L$2:L$401,$X128)="","",INDEX('Per Invoice'!L$2:L$401,$X128)))</f>
        <v/>
      </c>
      <c r="M128" s="7">
        <f>IF($X128="","",IF(INDEX('Per Invoice'!M$2:M$401,$X128)="","",INDEX('Per Invoice'!M$2:M$401,$X128)))</f>
        <v/>
      </c>
      <c r="N128">
        <f>IF($X128="","",IF(INDEX('Per Invoice'!N$2:N$401,$X128)="","",INDEX('Per Invoice'!N$2:N$401,$X128)))</f>
        <v/>
      </c>
      <c r="O128" s="7">
        <f>IF($X128="","",IF(INDEX('Per Invoice'!O$2:O$401,$X128)="","",INDEX('Per Invoice'!O$2:O$401,$X128)))</f>
        <v/>
      </c>
      <c r="P128" s="7">
        <f>IF($X128="","",IF(INDEX('Per Invoice'!P$2:P$401,$X128)="","",INDEX('Per Invoice'!P$2:P$401,$X128)))</f>
        <v/>
      </c>
      <c r="Q128">
        <f>IF($X128="","",IF(INDEX('Per Invoice'!Q$2:Q$401,$X128)="","",INDEX('Per Invoice'!Q$2:Q$401,$X128)))</f>
        <v/>
      </c>
      <c r="R128" s="7">
        <f>IF($X128="","",IF(INDEX('Per Invoice'!R$2:R$401,$X128)="","",INDEX('Per Invoice'!R$2:R$401,$X128)))</f>
        <v/>
      </c>
      <c r="S128" s="7">
        <f>IF($X128="","",IF(INDEX('Per Invoice'!S$2:S$401,$X128)="","",INDEX('Per Invoice'!S$2:S$401,$X128)))</f>
        <v/>
      </c>
      <c r="T128" s="7">
        <f>IF($X128="","",IF(INDEX('Per Invoice'!T$2:T$401,$X128)="","",INDEX('Per Invoice'!T$2:T$401,$X128)))</f>
        <v/>
      </c>
      <c r="U128" s="7">
        <f>IF($X128="","",IF(INDEX('Per Invoice'!U$2:U$401,$X128)="","",INDEX('Per Invoice'!U$2:U$401,$X128)))</f>
        <v/>
      </c>
      <c r="V128" s="7">
        <f>IF($X128="","",IF(INDEX('Per Invoice'!V$2:V$401,$X128)="","",INDEX('Per Invoice'!V$2:V$401,$X128)))</f>
        <v/>
      </c>
      <c r="W128" s="7">
        <f>IF($X128="","",IF(INDEX('Per Invoice'!W$2:W$401,$X128)="","",INDEX('Per Invoice'!W$2:W$401,$X128)))</f>
        <v/>
      </c>
      <c r="X128" s="16">
        <f>IFERROR(MATCH(Settings!$C$33&amp;"|"&amp;ROWS($X$2:$X128),'Per Invoice'!$Y$2:$Y$401,0),"")</f>
        <v/>
      </c>
    </row>
    <row r="129">
      <c r="A129">
        <f>IF($X129="","",IF(INDEX('Per Invoice'!A$2:A$401,$X129)="","",INDEX('Per Invoice'!A$2:A$401,$X129)))</f>
        <v/>
      </c>
      <c r="B129">
        <f>IF($X129="","",IF(INDEX('Per Invoice'!B$2:B$401,$X129)="","",INDEX('Per Invoice'!B$2:B$401,$X129)))</f>
        <v/>
      </c>
      <c r="C129">
        <f>IF($X129="","",IF(INDEX('Per Invoice'!C$2:C$401,$X129)="","",INDEX('Per Invoice'!C$2:C$401,$X129)))</f>
        <v/>
      </c>
      <c r="D129">
        <f>IF($X129="","",IF(INDEX('Per Invoice'!D$2:D$401,$X129)="","",INDEX('Per Invoice'!D$2:D$401,$X129)))</f>
        <v/>
      </c>
      <c r="E129">
        <f>IF($X129="","",IF(INDEX('Per Invoice'!E$2:E$401,$X129)="","",INDEX('Per Invoice'!E$2:E$401,$X129)))</f>
        <v/>
      </c>
      <c r="F129">
        <f>IF($X129="","",IF(INDEX('Per Invoice'!F$2:F$401,$X129)="","",INDEX('Per Invoice'!F$2:F$401,$X129)))</f>
        <v/>
      </c>
      <c r="G129">
        <f>IF($X129="","",IF(INDEX('Per Invoice'!G$2:G$401,$X129)="","",INDEX('Per Invoice'!G$2:G$401,$X129)))</f>
        <v/>
      </c>
      <c r="H129">
        <f>IF($X129="","",IF(INDEX('Per Invoice'!H$2:H$401,$X129)="","",INDEX('Per Invoice'!H$2:H$401,$X129)))</f>
        <v/>
      </c>
      <c r="I129">
        <f>IF($X129="","",IF(INDEX('Per Invoice'!I$2:I$401,$X129)="","",INDEX('Per Invoice'!I$2:I$401,$X129)))</f>
        <v/>
      </c>
      <c r="J129">
        <f>IF($X129="","",IF(INDEX('Per Invoice'!J$2:J$401,$X129)="","",INDEX('Per Invoice'!J$2:J$401,$X129)))</f>
        <v/>
      </c>
      <c r="K129" s="14">
        <f>IF($X129="","",IF(INDEX('Per Invoice'!K$2:K$401,$X129)="","",INDEX('Per Invoice'!K$2:K$401,$X129)))</f>
        <v/>
      </c>
      <c r="L129">
        <f>IF($X129="","",IF(INDEX('Per Invoice'!L$2:L$401,$X129)="","",INDEX('Per Invoice'!L$2:L$401,$X129)))</f>
        <v/>
      </c>
      <c r="M129" s="7">
        <f>IF($X129="","",IF(INDEX('Per Invoice'!M$2:M$401,$X129)="","",INDEX('Per Invoice'!M$2:M$401,$X129)))</f>
        <v/>
      </c>
      <c r="N129">
        <f>IF($X129="","",IF(INDEX('Per Invoice'!N$2:N$401,$X129)="","",INDEX('Per Invoice'!N$2:N$401,$X129)))</f>
        <v/>
      </c>
      <c r="O129" s="7">
        <f>IF($X129="","",IF(INDEX('Per Invoice'!O$2:O$401,$X129)="","",INDEX('Per Invoice'!O$2:O$401,$X129)))</f>
        <v/>
      </c>
      <c r="P129" s="7">
        <f>IF($X129="","",IF(INDEX('Per Invoice'!P$2:P$401,$X129)="","",INDEX('Per Invoice'!P$2:P$401,$X129)))</f>
        <v/>
      </c>
      <c r="Q129">
        <f>IF($X129="","",IF(INDEX('Per Invoice'!Q$2:Q$401,$X129)="","",INDEX('Per Invoice'!Q$2:Q$401,$X129)))</f>
        <v/>
      </c>
      <c r="R129" s="7">
        <f>IF($X129="","",IF(INDEX('Per Invoice'!R$2:R$401,$X129)="","",INDEX('Per Invoice'!R$2:R$401,$X129)))</f>
        <v/>
      </c>
      <c r="S129" s="7">
        <f>IF($X129="","",IF(INDEX('Per Invoice'!S$2:S$401,$X129)="","",INDEX('Per Invoice'!S$2:S$401,$X129)))</f>
        <v/>
      </c>
      <c r="T129" s="7">
        <f>IF($X129="","",IF(INDEX('Per Invoice'!T$2:T$401,$X129)="","",INDEX('Per Invoice'!T$2:T$401,$X129)))</f>
        <v/>
      </c>
      <c r="U129" s="7">
        <f>IF($X129="","",IF(INDEX('Per Invoice'!U$2:U$401,$X129)="","",INDEX('Per Invoice'!U$2:U$401,$X129)))</f>
        <v/>
      </c>
      <c r="V129" s="7">
        <f>IF($X129="","",IF(INDEX('Per Invoice'!V$2:V$401,$X129)="","",INDEX('Per Invoice'!V$2:V$401,$X129)))</f>
        <v/>
      </c>
      <c r="W129" s="7">
        <f>IF($X129="","",IF(INDEX('Per Invoice'!W$2:W$401,$X129)="","",INDEX('Per Invoice'!W$2:W$401,$X129)))</f>
        <v/>
      </c>
      <c r="X129" s="16">
        <f>IFERROR(MATCH(Settings!$C$33&amp;"|"&amp;ROWS($X$2:$X129),'Per Invoice'!$Y$2:$Y$401,0),"")</f>
        <v/>
      </c>
    </row>
    <row r="130">
      <c r="A130">
        <f>IF($X130="","",IF(INDEX('Per Invoice'!A$2:A$401,$X130)="","",INDEX('Per Invoice'!A$2:A$401,$X130)))</f>
        <v/>
      </c>
      <c r="B130">
        <f>IF($X130="","",IF(INDEX('Per Invoice'!B$2:B$401,$X130)="","",INDEX('Per Invoice'!B$2:B$401,$X130)))</f>
        <v/>
      </c>
      <c r="C130">
        <f>IF($X130="","",IF(INDEX('Per Invoice'!C$2:C$401,$X130)="","",INDEX('Per Invoice'!C$2:C$401,$X130)))</f>
        <v/>
      </c>
      <c r="D130">
        <f>IF($X130="","",IF(INDEX('Per Invoice'!D$2:D$401,$X130)="","",INDEX('Per Invoice'!D$2:D$401,$X130)))</f>
        <v/>
      </c>
      <c r="E130">
        <f>IF($X130="","",IF(INDEX('Per Invoice'!E$2:E$401,$X130)="","",INDEX('Per Invoice'!E$2:E$401,$X130)))</f>
        <v/>
      </c>
      <c r="F130">
        <f>IF($X130="","",IF(INDEX('Per Invoice'!F$2:F$401,$X130)="","",INDEX('Per Invoice'!F$2:F$401,$X130)))</f>
        <v/>
      </c>
      <c r="G130">
        <f>IF($X130="","",IF(INDEX('Per Invoice'!G$2:G$401,$X130)="","",INDEX('Per Invoice'!G$2:G$401,$X130)))</f>
        <v/>
      </c>
      <c r="H130">
        <f>IF($X130="","",IF(INDEX('Per Invoice'!H$2:H$401,$X130)="","",INDEX('Per Invoice'!H$2:H$401,$X130)))</f>
        <v/>
      </c>
      <c r="I130">
        <f>IF($X130="","",IF(INDEX('Per Invoice'!I$2:I$401,$X130)="","",INDEX('Per Invoice'!I$2:I$401,$X130)))</f>
        <v/>
      </c>
      <c r="J130">
        <f>IF($X130="","",IF(INDEX('Per Invoice'!J$2:J$401,$X130)="","",INDEX('Per Invoice'!J$2:J$401,$X130)))</f>
        <v/>
      </c>
      <c r="K130" s="14">
        <f>IF($X130="","",IF(INDEX('Per Invoice'!K$2:K$401,$X130)="","",INDEX('Per Invoice'!K$2:K$401,$X130)))</f>
        <v/>
      </c>
      <c r="L130">
        <f>IF($X130="","",IF(INDEX('Per Invoice'!L$2:L$401,$X130)="","",INDEX('Per Invoice'!L$2:L$401,$X130)))</f>
        <v/>
      </c>
      <c r="M130" s="7">
        <f>IF($X130="","",IF(INDEX('Per Invoice'!M$2:M$401,$X130)="","",INDEX('Per Invoice'!M$2:M$401,$X130)))</f>
        <v/>
      </c>
      <c r="N130">
        <f>IF($X130="","",IF(INDEX('Per Invoice'!N$2:N$401,$X130)="","",INDEX('Per Invoice'!N$2:N$401,$X130)))</f>
        <v/>
      </c>
      <c r="O130" s="7">
        <f>IF($X130="","",IF(INDEX('Per Invoice'!O$2:O$401,$X130)="","",INDEX('Per Invoice'!O$2:O$401,$X130)))</f>
        <v/>
      </c>
      <c r="P130" s="7">
        <f>IF($X130="","",IF(INDEX('Per Invoice'!P$2:P$401,$X130)="","",INDEX('Per Invoice'!P$2:P$401,$X130)))</f>
        <v/>
      </c>
      <c r="Q130">
        <f>IF($X130="","",IF(INDEX('Per Invoice'!Q$2:Q$401,$X130)="","",INDEX('Per Invoice'!Q$2:Q$401,$X130)))</f>
        <v/>
      </c>
      <c r="R130" s="7">
        <f>IF($X130="","",IF(INDEX('Per Invoice'!R$2:R$401,$X130)="","",INDEX('Per Invoice'!R$2:R$401,$X130)))</f>
        <v/>
      </c>
      <c r="S130" s="7">
        <f>IF($X130="","",IF(INDEX('Per Invoice'!S$2:S$401,$X130)="","",INDEX('Per Invoice'!S$2:S$401,$X130)))</f>
        <v/>
      </c>
      <c r="T130" s="7">
        <f>IF($X130="","",IF(INDEX('Per Invoice'!T$2:T$401,$X130)="","",INDEX('Per Invoice'!T$2:T$401,$X130)))</f>
        <v/>
      </c>
      <c r="U130" s="7">
        <f>IF($X130="","",IF(INDEX('Per Invoice'!U$2:U$401,$X130)="","",INDEX('Per Invoice'!U$2:U$401,$X130)))</f>
        <v/>
      </c>
      <c r="V130" s="7">
        <f>IF($X130="","",IF(INDEX('Per Invoice'!V$2:V$401,$X130)="","",INDEX('Per Invoice'!V$2:V$401,$X130)))</f>
        <v/>
      </c>
      <c r="W130" s="7">
        <f>IF($X130="","",IF(INDEX('Per Invoice'!W$2:W$401,$X130)="","",INDEX('Per Invoice'!W$2:W$401,$X130)))</f>
        <v/>
      </c>
      <c r="X130" s="16">
        <f>IFERROR(MATCH(Settings!$C$33&amp;"|"&amp;ROWS($X$2:$X130),'Per Invoice'!$Y$2:$Y$401,0),"")</f>
        <v/>
      </c>
    </row>
    <row r="131">
      <c r="A131">
        <f>IF($X131="","",IF(INDEX('Per Invoice'!A$2:A$401,$X131)="","",INDEX('Per Invoice'!A$2:A$401,$X131)))</f>
        <v/>
      </c>
      <c r="B131">
        <f>IF($X131="","",IF(INDEX('Per Invoice'!B$2:B$401,$X131)="","",INDEX('Per Invoice'!B$2:B$401,$X131)))</f>
        <v/>
      </c>
      <c r="C131">
        <f>IF($X131="","",IF(INDEX('Per Invoice'!C$2:C$401,$X131)="","",INDEX('Per Invoice'!C$2:C$401,$X131)))</f>
        <v/>
      </c>
      <c r="D131">
        <f>IF($X131="","",IF(INDEX('Per Invoice'!D$2:D$401,$X131)="","",INDEX('Per Invoice'!D$2:D$401,$X131)))</f>
        <v/>
      </c>
      <c r="E131">
        <f>IF($X131="","",IF(INDEX('Per Invoice'!E$2:E$401,$X131)="","",INDEX('Per Invoice'!E$2:E$401,$X131)))</f>
        <v/>
      </c>
      <c r="F131">
        <f>IF($X131="","",IF(INDEX('Per Invoice'!F$2:F$401,$X131)="","",INDEX('Per Invoice'!F$2:F$401,$X131)))</f>
        <v/>
      </c>
      <c r="G131">
        <f>IF($X131="","",IF(INDEX('Per Invoice'!G$2:G$401,$X131)="","",INDEX('Per Invoice'!G$2:G$401,$X131)))</f>
        <v/>
      </c>
      <c r="H131">
        <f>IF($X131="","",IF(INDEX('Per Invoice'!H$2:H$401,$X131)="","",INDEX('Per Invoice'!H$2:H$401,$X131)))</f>
        <v/>
      </c>
      <c r="I131">
        <f>IF($X131="","",IF(INDEX('Per Invoice'!I$2:I$401,$X131)="","",INDEX('Per Invoice'!I$2:I$401,$X131)))</f>
        <v/>
      </c>
      <c r="J131">
        <f>IF($X131="","",IF(INDEX('Per Invoice'!J$2:J$401,$X131)="","",INDEX('Per Invoice'!J$2:J$401,$X131)))</f>
        <v/>
      </c>
      <c r="K131" s="14">
        <f>IF($X131="","",IF(INDEX('Per Invoice'!K$2:K$401,$X131)="","",INDEX('Per Invoice'!K$2:K$401,$X131)))</f>
        <v/>
      </c>
      <c r="L131">
        <f>IF($X131="","",IF(INDEX('Per Invoice'!L$2:L$401,$X131)="","",INDEX('Per Invoice'!L$2:L$401,$X131)))</f>
        <v/>
      </c>
      <c r="M131" s="7">
        <f>IF($X131="","",IF(INDEX('Per Invoice'!M$2:M$401,$X131)="","",INDEX('Per Invoice'!M$2:M$401,$X131)))</f>
        <v/>
      </c>
      <c r="N131">
        <f>IF($X131="","",IF(INDEX('Per Invoice'!N$2:N$401,$X131)="","",INDEX('Per Invoice'!N$2:N$401,$X131)))</f>
        <v/>
      </c>
      <c r="O131" s="7">
        <f>IF($X131="","",IF(INDEX('Per Invoice'!O$2:O$401,$X131)="","",INDEX('Per Invoice'!O$2:O$401,$X131)))</f>
        <v/>
      </c>
      <c r="P131" s="7">
        <f>IF($X131="","",IF(INDEX('Per Invoice'!P$2:P$401,$X131)="","",INDEX('Per Invoice'!P$2:P$401,$X131)))</f>
        <v/>
      </c>
      <c r="Q131">
        <f>IF($X131="","",IF(INDEX('Per Invoice'!Q$2:Q$401,$X131)="","",INDEX('Per Invoice'!Q$2:Q$401,$X131)))</f>
        <v/>
      </c>
      <c r="R131" s="7">
        <f>IF($X131="","",IF(INDEX('Per Invoice'!R$2:R$401,$X131)="","",INDEX('Per Invoice'!R$2:R$401,$X131)))</f>
        <v/>
      </c>
      <c r="S131" s="7">
        <f>IF($X131="","",IF(INDEX('Per Invoice'!S$2:S$401,$X131)="","",INDEX('Per Invoice'!S$2:S$401,$X131)))</f>
        <v/>
      </c>
      <c r="T131" s="7">
        <f>IF($X131="","",IF(INDEX('Per Invoice'!T$2:T$401,$X131)="","",INDEX('Per Invoice'!T$2:T$401,$X131)))</f>
        <v/>
      </c>
      <c r="U131" s="7">
        <f>IF($X131="","",IF(INDEX('Per Invoice'!U$2:U$401,$X131)="","",INDEX('Per Invoice'!U$2:U$401,$X131)))</f>
        <v/>
      </c>
      <c r="V131" s="7">
        <f>IF($X131="","",IF(INDEX('Per Invoice'!V$2:V$401,$X131)="","",INDEX('Per Invoice'!V$2:V$401,$X131)))</f>
        <v/>
      </c>
      <c r="W131" s="7">
        <f>IF($X131="","",IF(INDEX('Per Invoice'!W$2:W$401,$X131)="","",INDEX('Per Invoice'!W$2:W$401,$X131)))</f>
        <v/>
      </c>
      <c r="X131" s="16">
        <f>IFERROR(MATCH(Settings!$C$33&amp;"|"&amp;ROWS($X$2:$X131),'Per Invoice'!$Y$2:$Y$401,0),"")</f>
        <v/>
      </c>
    </row>
    <row r="132">
      <c r="A132">
        <f>IF($X132="","",IF(INDEX('Per Invoice'!A$2:A$401,$X132)="","",INDEX('Per Invoice'!A$2:A$401,$X132)))</f>
        <v/>
      </c>
      <c r="B132">
        <f>IF($X132="","",IF(INDEX('Per Invoice'!B$2:B$401,$X132)="","",INDEX('Per Invoice'!B$2:B$401,$X132)))</f>
        <v/>
      </c>
      <c r="C132">
        <f>IF($X132="","",IF(INDEX('Per Invoice'!C$2:C$401,$X132)="","",INDEX('Per Invoice'!C$2:C$401,$X132)))</f>
        <v/>
      </c>
      <c r="D132">
        <f>IF($X132="","",IF(INDEX('Per Invoice'!D$2:D$401,$X132)="","",INDEX('Per Invoice'!D$2:D$401,$X132)))</f>
        <v/>
      </c>
      <c r="E132">
        <f>IF($X132="","",IF(INDEX('Per Invoice'!E$2:E$401,$X132)="","",INDEX('Per Invoice'!E$2:E$401,$X132)))</f>
        <v/>
      </c>
      <c r="F132">
        <f>IF($X132="","",IF(INDEX('Per Invoice'!F$2:F$401,$X132)="","",INDEX('Per Invoice'!F$2:F$401,$X132)))</f>
        <v/>
      </c>
      <c r="G132">
        <f>IF($X132="","",IF(INDEX('Per Invoice'!G$2:G$401,$X132)="","",INDEX('Per Invoice'!G$2:G$401,$X132)))</f>
        <v/>
      </c>
      <c r="H132">
        <f>IF($X132="","",IF(INDEX('Per Invoice'!H$2:H$401,$X132)="","",INDEX('Per Invoice'!H$2:H$401,$X132)))</f>
        <v/>
      </c>
      <c r="I132">
        <f>IF($X132="","",IF(INDEX('Per Invoice'!I$2:I$401,$X132)="","",INDEX('Per Invoice'!I$2:I$401,$X132)))</f>
        <v/>
      </c>
      <c r="J132">
        <f>IF($X132="","",IF(INDEX('Per Invoice'!J$2:J$401,$X132)="","",INDEX('Per Invoice'!J$2:J$401,$X132)))</f>
        <v/>
      </c>
      <c r="K132" s="14">
        <f>IF($X132="","",IF(INDEX('Per Invoice'!K$2:K$401,$X132)="","",INDEX('Per Invoice'!K$2:K$401,$X132)))</f>
        <v/>
      </c>
      <c r="L132">
        <f>IF($X132="","",IF(INDEX('Per Invoice'!L$2:L$401,$X132)="","",INDEX('Per Invoice'!L$2:L$401,$X132)))</f>
        <v/>
      </c>
      <c r="M132" s="7">
        <f>IF($X132="","",IF(INDEX('Per Invoice'!M$2:M$401,$X132)="","",INDEX('Per Invoice'!M$2:M$401,$X132)))</f>
        <v/>
      </c>
      <c r="N132">
        <f>IF($X132="","",IF(INDEX('Per Invoice'!N$2:N$401,$X132)="","",INDEX('Per Invoice'!N$2:N$401,$X132)))</f>
        <v/>
      </c>
      <c r="O132" s="7">
        <f>IF($X132="","",IF(INDEX('Per Invoice'!O$2:O$401,$X132)="","",INDEX('Per Invoice'!O$2:O$401,$X132)))</f>
        <v/>
      </c>
      <c r="P132" s="7">
        <f>IF($X132="","",IF(INDEX('Per Invoice'!P$2:P$401,$X132)="","",INDEX('Per Invoice'!P$2:P$401,$X132)))</f>
        <v/>
      </c>
      <c r="Q132">
        <f>IF($X132="","",IF(INDEX('Per Invoice'!Q$2:Q$401,$X132)="","",INDEX('Per Invoice'!Q$2:Q$401,$X132)))</f>
        <v/>
      </c>
      <c r="R132" s="7">
        <f>IF($X132="","",IF(INDEX('Per Invoice'!R$2:R$401,$X132)="","",INDEX('Per Invoice'!R$2:R$401,$X132)))</f>
        <v/>
      </c>
      <c r="S132" s="7">
        <f>IF($X132="","",IF(INDEX('Per Invoice'!S$2:S$401,$X132)="","",INDEX('Per Invoice'!S$2:S$401,$X132)))</f>
        <v/>
      </c>
      <c r="T132" s="7">
        <f>IF($X132="","",IF(INDEX('Per Invoice'!T$2:T$401,$X132)="","",INDEX('Per Invoice'!T$2:T$401,$X132)))</f>
        <v/>
      </c>
      <c r="U132" s="7">
        <f>IF($X132="","",IF(INDEX('Per Invoice'!U$2:U$401,$X132)="","",INDEX('Per Invoice'!U$2:U$401,$X132)))</f>
        <v/>
      </c>
      <c r="V132" s="7">
        <f>IF($X132="","",IF(INDEX('Per Invoice'!V$2:V$401,$X132)="","",INDEX('Per Invoice'!V$2:V$401,$X132)))</f>
        <v/>
      </c>
      <c r="W132" s="7">
        <f>IF($X132="","",IF(INDEX('Per Invoice'!W$2:W$401,$X132)="","",INDEX('Per Invoice'!W$2:W$401,$X132)))</f>
        <v/>
      </c>
      <c r="X132" s="16">
        <f>IFERROR(MATCH(Settings!$C$33&amp;"|"&amp;ROWS($X$2:$X132),'Per Invoice'!$Y$2:$Y$401,0),"")</f>
        <v/>
      </c>
    </row>
    <row r="133">
      <c r="A133">
        <f>IF($X133="","",IF(INDEX('Per Invoice'!A$2:A$401,$X133)="","",INDEX('Per Invoice'!A$2:A$401,$X133)))</f>
        <v/>
      </c>
      <c r="B133">
        <f>IF($X133="","",IF(INDEX('Per Invoice'!B$2:B$401,$X133)="","",INDEX('Per Invoice'!B$2:B$401,$X133)))</f>
        <v/>
      </c>
      <c r="C133">
        <f>IF($X133="","",IF(INDEX('Per Invoice'!C$2:C$401,$X133)="","",INDEX('Per Invoice'!C$2:C$401,$X133)))</f>
        <v/>
      </c>
      <c r="D133">
        <f>IF($X133="","",IF(INDEX('Per Invoice'!D$2:D$401,$X133)="","",INDEX('Per Invoice'!D$2:D$401,$X133)))</f>
        <v/>
      </c>
      <c r="E133">
        <f>IF($X133="","",IF(INDEX('Per Invoice'!E$2:E$401,$X133)="","",INDEX('Per Invoice'!E$2:E$401,$X133)))</f>
        <v/>
      </c>
      <c r="F133">
        <f>IF($X133="","",IF(INDEX('Per Invoice'!F$2:F$401,$X133)="","",INDEX('Per Invoice'!F$2:F$401,$X133)))</f>
        <v/>
      </c>
      <c r="G133">
        <f>IF($X133="","",IF(INDEX('Per Invoice'!G$2:G$401,$X133)="","",INDEX('Per Invoice'!G$2:G$401,$X133)))</f>
        <v/>
      </c>
      <c r="H133">
        <f>IF($X133="","",IF(INDEX('Per Invoice'!H$2:H$401,$X133)="","",INDEX('Per Invoice'!H$2:H$401,$X133)))</f>
        <v/>
      </c>
      <c r="I133">
        <f>IF($X133="","",IF(INDEX('Per Invoice'!I$2:I$401,$X133)="","",INDEX('Per Invoice'!I$2:I$401,$X133)))</f>
        <v/>
      </c>
      <c r="J133">
        <f>IF($X133="","",IF(INDEX('Per Invoice'!J$2:J$401,$X133)="","",INDEX('Per Invoice'!J$2:J$401,$X133)))</f>
        <v/>
      </c>
      <c r="K133" s="14">
        <f>IF($X133="","",IF(INDEX('Per Invoice'!K$2:K$401,$X133)="","",INDEX('Per Invoice'!K$2:K$401,$X133)))</f>
        <v/>
      </c>
      <c r="L133">
        <f>IF($X133="","",IF(INDEX('Per Invoice'!L$2:L$401,$X133)="","",INDEX('Per Invoice'!L$2:L$401,$X133)))</f>
        <v/>
      </c>
      <c r="M133" s="7">
        <f>IF($X133="","",IF(INDEX('Per Invoice'!M$2:M$401,$X133)="","",INDEX('Per Invoice'!M$2:M$401,$X133)))</f>
        <v/>
      </c>
      <c r="N133">
        <f>IF($X133="","",IF(INDEX('Per Invoice'!N$2:N$401,$X133)="","",INDEX('Per Invoice'!N$2:N$401,$X133)))</f>
        <v/>
      </c>
      <c r="O133" s="7">
        <f>IF($X133="","",IF(INDEX('Per Invoice'!O$2:O$401,$X133)="","",INDEX('Per Invoice'!O$2:O$401,$X133)))</f>
        <v/>
      </c>
      <c r="P133" s="7">
        <f>IF($X133="","",IF(INDEX('Per Invoice'!P$2:P$401,$X133)="","",INDEX('Per Invoice'!P$2:P$401,$X133)))</f>
        <v/>
      </c>
      <c r="Q133">
        <f>IF($X133="","",IF(INDEX('Per Invoice'!Q$2:Q$401,$X133)="","",INDEX('Per Invoice'!Q$2:Q$401,$X133)))</f>
        <v/>
      </c>
      <c r="R133" s="7">
        <f>IF($X133="","",IF(INDEX('Per Invoice'!R$2:R$401,$X133)="","",INDEX('Per Invoice'!R$2:R$401,$X133)))</f>
        <v/>
      </c>
      <c r="S133" s="7">
        <f>IF($X133="","",IF(INDEX('Per Invoice'!S$2:S$401,$X133)="","",INDEX('Per Invoice'!S$2:S$401,$X133)))</f>
        <v/>
      </c>
      <c r="T133" s="7">
        <f>IF($X133="","",IF(INDEX('Per Invoice'!T$2:T$401,$X133)="","",INDEX('Per Invoice'!T$2:T$401,$X133)))</f>
        <v/>
      </c>
      <c r="U133" s="7">
        <f>IF($X133="","",IF(INDEX('Per Invoice'!U$2:U$401,$X133)="","",INDEX('Per Invoice'!U$2:U$401,$X133)))</f>
        <v/>
      </c>
      <c r="V133" s="7">
        <f>IF($X133="","",IF(INDEX('Per Invoice'!V$2:V$401,$X133)="","",INDEX('Per Invoice'!V$2:V$401,$X133)))</f>
        <v/>
      </c>
      <c r="W133" s="7">
        <f>IF($X133="","",IF(INDEX('Per Invoice'!W$2:W$401,$X133)="","",INDEX('Per Invoice'!W$2:W$401,$X133)))</f>
        <v/>
      </c>
      <c r="X133" s="16">
        <f>IFERROR(MATCH(Settings!$C$33&amp;"|"&amp;ROWS($X$2:$X133),'Per Invoice'!$Y$2:$Y$401,0),"")</f>
        <v/>
      </c>
    </row>
    <row r="134">
      <c r="A134">
        <f>IF($X134="","",IF(INDEX('Per Invoice'!A$2:A$401,$X134)="","",INDEX('Per Invoice'!A$2:A$401,$X134)))</f>
        <v/>
      </c>
      <c r="B134">
        <f>IF($X134="","",IF(INDEX('Per Invoice'!B$2:B$401,$X134)="","",INDEX('Per Invoice'!B$2:B$401,$X134)))</f>
        <v/>
      </c>
      <c r="C134">
        <f>IF($X134="","",IF(INDEX('Per Invoice'!C$2:C$401,$X134)="","",INDEX('Per Invoice'!C$2:C$401,$X134)))</f>
        <v/>
      </c>
      <c r="D134">
        <f>IF($X134="","",IF(INDEX('Per Invoice'!D$2:D$401,$X134)="","",INDEX('Per Invoice'!D$2:D$401,$X134)))</f>
        <v/>
      </c>
      <c r="E134">
        <f>IF($X134="","",IF(INDEX('Per Invoice'!E$2:E$401,$X134)="","",INDEX('Per Invoice'!E$2:E$401,$X134)))</f>
        <v/>
      </c>
      <c r="F134">
        <f>IF($X134="","",IF(INDEX('Per Invoice'!F$2:F$401,$X134)="","",INDEX('Per Invoice'!F$2:F$401,$X134)))</f>
        <v/>
      </c>
      <c r="G134">
        <f>IF($X134="","",IF(INDEX('Per Invoice'!G$2:G$401,$X134)="","",INDEX('Per Invoice'!G$2:G$401,$X134)))</f>
        <v/>
      </c>
      <c r="H134">
        <f>IF($X134="","",IF(INDEX('Per Invoice'!H$2:H$401,$X134)="","",INDEX('Per Invoice'!H$2:H$401,$X134)))</f>
        <v/>
      </c>
      <c r="I134">
        <f>IF($X134="","",IF(INDEX('Per Invoice'!I$2:I$401,$X134)="","",INDEX('Per Invoice'!I$2:I$401,$X134)))</f>
        <v/>
      </c>
      <c r="J134">
        <f>IF($X134="","",IF(INDEX('Per Invoice'!J$2:J$401,$X134)="","",INDEX('Per Invoice'!J$2:J$401,$X134)))</f>
        <v/>
      </c>
      <c r="K134" s="14">
        <f>IF($X134="","",IF(INDEX('Per Invoice'!K$2:K$401,$X134)="","",INDEX('Per Invoice'!K$2:K$401,$X134)))</f>
        <v/>
      </c>
      <c r="L134">
        <f>IF($X134="","",IF(INDEX('Per Invoice'!L$2:L$401,$X134)="","",INDEX('Per Invoice'!L$2:L$401,$X134)))</f>
        <v/>
      </c>
      <c r="M134" s="7">
        <f>IF($X134="","",IF(INDEX('Per Invoice'!M$2:M$401,$X134)="","",INDEX('Per Invoice'!M$2:M$401,$X134)))</f>
        <v/>
      </c>
      <c r="N134">
        <f>IF($X134="","",IF(INDEX('Per Invoice'!N$2:N$401,$X134)="","",INDEX('Per Invoice'!N$2:N$401,$X134)))</f>
        <v/>
      </c>
      <c r="O134" s="7">
        <f>IF($X134="","",IF(INDEX('Per Invoice'!O$2:O$401,$X134)="","",INDEX('Per Invoice'!O$2:O$401,$X134)))</f>
        <v/>
      </c>
      <c r="P134" s="7">
        <f>IF($X134="","",IF(INDEX('Per Invoice'!P$2:P$401,$X134)="","",INDEX('Per Invoice'!P$2:P$401,$X134)))</f>
        <v/>
      </c>
      <c r="Q134">
        <f>IF($X134="","",IF(INDEX('Per Invoice'!Q$2:Q$401,$X134)="","",INDEX('Per Invoice'!Q$2:Q$401,$X134)))</f>
        <v/>
      </c>
      <c r="R134" s="7">
        <f>IF($X134="","",IF(INDEX('Per Invoice'!R$2:R$401,$X134)="","",INDEX('Per Invoice'!R$2:R$401,$X134)))</f>
        <v/>
      </c>
      <c r="S134" s="7">
        <f>IF($X134="","",IF(INDEX('Per Invoice'!S$2:S$401,$X134)="","",INDEX('Per Invoice'!S$2:S$401,$X134)))</f>
        <v/>
      </c>
      <c r="T134" s="7">
        <f>IF($X134="","",IF(INDEX('Per Invoice'!T$2:T$401,$X134)="","",INDEX('Per Invoice'!T$2:T$401,$X134)))</f>
        <v/>
      </c>
      <c r="U134" s="7">
        <f>IF($X134="","",IF(INDEX('Per Invoice'!U$2:U$401,$X134)="","",INDEX('Per Invoice'!U$2:U$401,$X134)))</f>
        <v/>
      </c>
      <c r="V134" s="7">
        <f>IF($X134="","",IF(INDEX('Per Invoice'!V$2:V$401,$X134)="","",INDEX('Per Invoice'!V$2:V$401,$X134)))</f>
        <v/>
      </c>
      <c r="W134" s="7">
        <f>IF($X134="","",IF(INDEX('Per Invoice'!W$2:W$401,$X134)="","",INDEX('Per Invoice'!W$2:W$401,$X134)))</f>
        <v/>
      </c>
      <c r="X134" s="16">
        <f>IFERROR(MATCH(Settings!$C$33&amp;"|"&amp;ROWS($X$2:$X134),'Per Invoice'!$Y$2:$Y$401,0),"")</f>
        <v/>
      </c>
    </row>
    <row r="135">
      <c r="A135">
        <f>IF($X135="","",IF(INDEX('Per Invoice'!A$2:A$401,$X135)="","",INDEX('Per Invoice'!A$2:A$401,$X135)))</f>
        <v/>
      </c>
      <c r="B135">
        <f>IF($X135="","",IF(INDEX('Per Invoice'!B$2:B$401,$X135)="","",INDEX('Per Invoice'!B$2:B$401,$X135)))</f>
        <v/>
      </c>
      <c r="C135">
        <f>IF($X135="","",IF(INDEX('Per Invoice'!C$2:C$401,$X135)="","",INDEX('Per Invoice'!C$2:C$401,$X135)))</f>
        <v/>
      </c>
      <c r="D135">
        <f>IF($X135="","",IF(INDEX('Per Invoice'!D$2:D$401,$X135)="","",INDEX('Per Invoice'!D$2:D$401,$X135)))</f>
        <v/>
      </c>
      <c r="E135">
        <f>IF($X135="","",IF(INDEX('Per Invoice'!E$2:E$401,$X135)="","",INDEX('Per Invoice'!E$2:E$401,$X135)))</f>
        <v/>
      </c>
      <c r="F135">
        <f>IF($X135="","",IF(INDEX('Per Invoice'!F$2:F$401,$X135)="","",INDEX('Per Invoice'!F$2:F$401,$X135)))</f>
        <v/>
      </c>
      <c r="G135">
        <f>IF($X135="","",IF(INDEX('Per Invoice'!G$2:G$401,$X135)="","",INDEX('Per Invoice'!G$2:G$401,$X135)))</f>
        <v/>
      </c>
      <c r="H135">
        <f>IF($X135="","",IF(INDEX('Per Invoice'!H$2:H$401,$X135)="","",INDEX('Per Invoice'!H$2:H$401,$X135)))</f>
        <v/>
      </c>
      <c r="I135">
        <f>IF($X135="","",IF(INDEX('Per Invoice'!I$2:I$401,$X135)="","",INDEX('Per Invoice'!I$2:I$401,$X135)))</f>
        <v/>
      </c>
      <c r="J135">
        <f>IF($X135="","",IF(INDEX('Per Invoice'!J$2:J$401,$X135)="","",INDEX('Per Invoice'!J$2:J$401,$X135)))</f>
        <v/>
      </c>
      <c r="K135" s="14">
        <f>IF($X135="","",IF(INDEX('Per Invoice'!K$2:K$401,$X135)="","",INDEX('Per Invoice'!K$2:K$401,$X135)))</f>
        <v/>
      </c>
      <c r="L135">
        <f>IF($X135="","",IF(INDEX('Per Invoice'!L$2:L$401,$X135)="","",INDEX('Per Invoice'!L$2:L$401,$X135)))</f>
        <v/>
      </c>
      <c r="M135" s="7">
        <f>IF($X135="","",IF(INDEX('Per Invoice'!M$2:M$401,$X135)="","",INDEX('Per Invoice'!M$2:M$401,$X135)))</f>
        <v/>
      </c>
      <c r="N135">
        <f>IF($X135="","",IF(INDEX('Per Invoice'!N$2:N$401,$X135)="","",INDEX('Per Invoice'!N$2:N$401,$X135)))</f>
        <v/>
      </c>
      <c r="O135" s="7">
        <f>IF($X135="","",IF(INDEX('Per Invoice'!O$2:O$401,$X135)="","",INDEX('Per Invoice'!O$2:O$401,$X135)))</f>
        <v/>
      </c>
      <c r="P135" s="7">
        <f>IF($X135="","",IF(INDEX('Per Invoice'!P$2:P$401,$X135)="","",INDEX('Per Invoice'!P$2:P$401,$X135)))</f>
        <v/>
      </c>
      <c r="Q135">
        <f>IF($X135="","",IF(INDEX('Per Invoice'!Q$2:Q$401,$X135)="","",INDEX('Per Invoice'!Q$2:Q$401,$X135)))</f>
        <v/>
      </c>
      <c r="R135" s="7">
        <f>IF($X135="","",IF(INDEX('Per Invoice'!R$2:R$401,$X135)="","",INDEX('Per Invoice'!R$2:R$401,$X135)))</f>
        <v/>
      </c>
      <c r="S135" s="7">
        <f>IF($X135="","",IF(INDEX('Per Invoice'!S$2:S$401,$X135)="","",INDEX('Per Invoice'!S$2:S$401,$X135)))</f>
        <v/>
      </c>
      <c r="T135" s="7">
        <f>IF($X135="","",IF(INDEX('Per Invoice'!T$2:T$401,$X135)="","",INDEX('Per Invoice'!T$2:T$401,$X135)))</f>
        <v/>
      </c>
      <c r="U135" s="7">
        <f>IF($X135="","",IF(INDEX('Per Invoice'!U$2:U$401,$X135)="","",INDEX('Per Invoice'!U$2:U$401,$X135)))</f>
        <v/>
      </c>
      <c r="V135" s="7">
        <f>IF($X135="","",IF(INDEX('Per Invoice'!V$2:V$401,$X135)="","",INDEX('Per Invoice'!V$2:V$401,$X135)))</f>
        <v/>
      </c>
      <c r="W135" s="7">
        <f>IF($X135="","",IF(INDEX('Per Invoice'!W$2:W$401,$X135)="","",INDEX('Per Invoice'!W$2:W$401,$X135)))</f>
        <v/>
      </c>
      <c r="X135" s="16">
        <f>IFERROR(MATCH(Settings!$C$33&amp;"|"&amp;ROWS($X$2:$X135),'Per Invoice'!$Y$2:$Y$401,0),"")</f>
        <v/>
      </c>
    </row>
    <row r="136">
      <c r="A136">
        <f>IF($X136="","",IF(INDEX('Per Invoice'!A$2:A$401,$X136)="","",INDEX('Per Invoice'!A$2:A$401,$X136)))</f>
        <v/>
      </c>
      <c r="B136">
        <f>IF($X136="","",IF(INDEX('Per Invoice'!B$2:B$401,$X136)="","",INDEX('Per Invoice'!B$2:B$401,$X136)))</f>
        <v/>
      </c>
      <c r="C136">
        <f>IF($X136="","",IF(INDEX('Per Invoice'!C$2:C$401,$X136)="","",INDEX('Per Invoice'!C$2:C$401,$X136)))</f>
        <v/>
      </c>
      <c r="D136">
        <f>IF($X136="","",IF(INDEX('Per Invoice'!D$2:D$401,$X136)="","",INDEX('Per Invoice'!D$2:D$401,$X136)))</f>
        <v/>
      </c>
      <c r="E136">
        <f>IF($X136="","",IF(INDEX('Per Invoice'!E$2:E$401,$X136)="","",INDEX('Per Invoice'!E$2:E$401,$X136)))</f>
        <v/>
      </c>
      <c r="F136">
        <f>IF($X136="","",IF(INDEX('Per Invoice'!F$2:F$401,$X136)="","",INDEX('Per Invoice'!F$2:F$401,$X136)))</f>
        <v/>
      </c>
      <c r="G136">
        <f>IF($X136="","",IF(INDEX('Per Invoice'!G$2:G$401,$X136)="","",INDEX('Per Invoice'!G$2:G$401,$X136)))</f>
        <v/>
      </c>
      <c r="H136">
        <f>IF($X136="","",IF(INDEX('Per Invoice'!H$2:H$401,$X136)="","",INDEX('Per Invoice'!H$2:H$401,$X136)))</f>
        <v/>
      </c>
      <c r="I136">
        <f>IF($X136="","",IF(INDEX('Per Invoice'!I$2:I$401,$X136)="","",INDEX('Per Invoice'!I$2:I$401,$X136)))</f>
        <v/>
      </c>
      <c r="J136">
        <f>IF($X136="","",IF(INDEX('Per Invoice'!J$2:J$401,$X136)="","",INDEX('Per Invoice'!J$2:J$401,$X136)))</f>
        <v/>
      </c>
      <c r="K136" s="14">
        <f>IF($X136="","",IF(INDEX('Per Invoice'!K$2:K$401,$X136)="","",INDEX('Per Invoice'!K$2:K$401,$X136)))</f>
        <v/>
      </c>
      <c r="L136">
        <f>IF($X136="","",IF(INDEX('Per Invoice'!L$2:L$401,$X136)="","",INDEX('Per Invoice'!L$2:L$401,$X136)))</f>
        <v/>
      </c>
      <c r="M136" s="7">
        <f>IF($X136="","",IF(INDEX('Per Invoice'!M$2:M$401,$X136)="","",INDEX('Per Invoice'!M$2:M$401,$X136)))</f>
        <v/>
      </c>
      <c r="N136">
        <f>IF($X136="","",IF(INDEX('Per Invoice'!N$2:N$401,$X136)="","",INDEX('Per Invoice'!N$2:N$401,$X136)))</f>
        <v/>
      </c>
      <c r="O136" s="7">
        <f>IF($X136="","",IF(INDEX('Per Invoice'!O$2:O$401,$X136)="","",INDEX('Per Invoice'!O$2:O$401,$X136)))</f>
        <v/>
      </c>
      <c r="P136" s="7">
        <f>IF($X136="","",IF(INDEX('Per Invoice'!P$2:P$401,$X136)="","",INDEX('Per Invoice'!P$2:P$401,$X136)))</f>
        <v/>
      </c>
      <c r="Q136">
        <f>IF($X136="","",IF(INDEX('Per Invoice'!Q$2:Q$401,$X136)="","",INDEX('Per Invoice'!Q$2:Q$401,$X136)))</f>
        <v/>
      </c>
      <c r="R136" s="7">
        <f>IF($X136="","",IF(INDEX('Per Invoice'!R$2:R$401,$X136)="","",INDEX('Per Invoice'!R$2:R$401,$X136)))</f>
        <v/>
      </c>
      <c r="S136" s="7">
        <f>IF($X136="","",IF(INDEX('Per Invoice'!S$2:S$401,$X136)="","",INDEX('Per Invoice'!S$2:S$401,$X136)))</f>
        <v/>
      </c>
      <c r="T136" s="7">
        <f>IF($X136="","",IF(INDEX('Per Invoice'!T$2:T$401,$X136)="","",INDEX('Per Invoice'!T$2:T$401,$X136)))</f>
        <v/>
      </c>
      <c r="U136" s="7">
        <f>IF($X136="","",IF(INDEX('Per Invoice'!U$2:U$401,$X136)="","",INDEX('Per Invoice'!U$2:U$401,$X136)))</f>
        <v/>
      </c>
      <c r="V136" s="7">
        <f>IF($X136="","",IF(INDEX('Per Invoice'!V$2:V$401,$X136)="","",INDEX('Per Invoice'!V$2:V$401,$X136)))</f>
        <v/>
      </c>
      <c r="W136" s="7">
        <f>IF($X136="","",IF(INDEX('Per Invoice'!W$2:W$401,$X136)="","",INDEX('Per Invoice'!W$2:W$401,$X136)))</f>
        <v/>
      </c>
      <c r="X136" s="16">
        <f>IFERROR(MATCH(Settings!$C$33&amp;"|"&amp;ROWS($X$2:$X136),'Per Invoice'!$Y$2:$Y$401,0),"")</f>
        <v/>
      </c>
    </row>
    <row r="137">
      <c r="A137">
        <f>IF($X137="","",IF(INDEX('Per Invoice'!A$2:A$401,$X137)="","",INDEX('Per Invoice'!A$2:A$401,$X137)))</f>
        <v/>
      </c>
      <c r="B137">
        <f>IF($X137="","",IF(INDEX('Per Invoice'!B$2:B$401,$X137)="","",INDEX('Per Invoice'!B$2:B$401,$X137)))</f>
        <v/>
      </c>
      <c r="C137">
        <f>IF($X137="","",IF(INDEX('Per Invoice'!C$2:C$401,$X137)="","",INDEX('Per Invoice'!C$2:C$401,$X137)))</f>
        <v/>
      </c>
      <c r="D137">
        <f>IF($X137="","",IF(INDEX('Per Invoice'!D$2:D$401,$X137)="","",INDEX('Per Invoice'!D$2:D$401,$X137)))</f>
        <v/>
      </c>
      <c r="E137">
        <f>IF($X137="","",IF(INDEX('Per Invoice'!E$2:E$401,$X137)="","",INDEX('Per Invoice'!E$2:E$401,$X137)))</f>
        <v/>
      </c>
      <c r="F137">
        <f>IF($X137="","",IF(INDEX('Per Invoice'!F$2:F$401,$X137)="","",INDEX('Per Invoice'!F$2:F$401,$X137)))</f>
        <v/>
      </c>
      <c r="G137">
        <f>IF($X137="","",IF(INDEX('Per Invoice'!G$2:G$401,$X137)="","",INDEX('Per Invoice'!G$2:G$401,$X137)))</f>
        <v/>
      </c>
      <c r="H137">
        <f>IF($X137="","",IF(INDEX('Per Invoice'!H$2:H$401,$X137)="","",INDEX('Per Invoice'!H$2:H$401,$X137)))</f>
        <v/>
      </c>
      <c r="I137">
        <f>IF($X137="","",IF(INDEX('Per Invoice'!I$2:I$401,$X137)="","",INDEX('Per Invoice'!I$2:I$401,$X137)))</f>
        <v/>
      </c>
      <c r="J137">
        <f>IF($X137="","",IF(INDEX('Per Invoice'!J$2:J$401,$X137)="","",INDEX('Per Invoice'!J$2:J$401,$X137)))</f>
        <v/>
      </c>
      <c r="K137" s="14">
        <f>IF($X137="","",IF(INDEX('Per Invoice'!K$2:K$401,$X137)="","",INDEX('Per Invoice'!K$2:K$401,$X137)))</f>
        <v/>
      </c>
      <c r="L137">
        <f>IF($X137="","",IF(INDEX('Per Invoice'!L$2:L$401,$X137)="","",INDEX('Per Invoice'!L$2:L$401,$X137)))</f>
        <v/>
      </c>
      <c r="M137" s="7">
        <f>IF($X137="","",IF(INDEX('Per Invoice'!M$2:M$401,$X137)="","",INDEX('Per Invoice'!M$2:M$401,$X137)))</f>
        <v/>
      </c>
      <c r="N137">
        <f>IF($X137="","",IF(INDEX('Per Invoice'!N$2:N$401,$X137)="","",INDEX('Per Invoice'!N$2:N$401,$X137)))</f>
        <v/>
      </c>
      <c r="O137" s="7">
        <f>IF($X137="","",IF(INDEX('Per Invoice'!O$2:O$401,$X137)="","",INDEX('Per Invoice'!O$2:O$401,$X137)))</f>
        <v/>
      </c>
      <c r="P137" s="7">
        <f>IF($X137="","",IF(INDEX('Per Invoice'!P$2:P$401,$X137)="","",INDEX('Per Invoice'!P$2:P$401,$X137)))</f>
        <v/>
      </c>
      <c r="Q137">
        <f>IF($X137="","",IF(INDEX('Per Invoice'!Q$2:Q$401,$X137)="","",INDEX('Per Invoice'!Q$2:Q$401,$X137)))</f>
        <v/>
      </c>
      <c r="R137" s="7">
        <f>IF($X137="","",IF(INDEX('Per Invoice'!R$2:R$401,$X137)="","",INDEX('Per Invoice'!R$2:R$401,$X137)))</f>
        <v/>
      </c>
      <c r="S137" s="7">
        <f>IF($X137="","",IF(INDEX('Per Invoice'!S$2:S$401,$X137)="","",INDEX('Per Invoice'!S$2:S$401,$X137)))</f>
        <v/>
      </c>
      <c r="T137" s="7">
        <f>IF($X137="","",IF(INDEX('Per Invoice'!T$2:T$401,$X137)="","",INDEX('Per Invoice'!T$2:T$401,$X137)))</f>
        <v/>
      </c>
      <c r="U137" s="7">
        <f>IF($X137="","",IF(INDEX('Per Invoice'!U$2:U$401,$X137)="","",INDEX('Per Invoice'!U$2:U$401,$X137)))</f>
        <v/>
      </c>
      <c r="V137" s="7">
        <f>IF($X137="","",IF(INDEX('Per Invoice'!V$2:V$401,$X137)="","",INDEX('Per Invoice'!V$2:V$401,$X137)))</f>
        <v/>
      </c>
      <c r="W137" s="7">
        <f>IF($X137="","",IF(INDEX('Per Invoice'!W$2:W$401,$X137)="","",INDEX('Per Invoice'!W$2:W$401,$X137)))</f>
        <v/>
      </c>
      <c r="X137" s="16">
        <f>IFERROR(MATCH(Settings!$C$33&amp;"|"&amp;ROWS($X$2:$X137),'Per Invoice'!$Y$2:$Y$401,0),"")</f>
        <v/>
      </c>
    </row>
    <row r="138">
      <c r="A138">
        <f>IF($X138="","",IF(INDEX('Per Invoice'!A$2:A$401,$X138)="","",INDEX('Per Invoice'!A$2:A$401,$X138)))</f>
        <v/>
      </c>
      <c r="B138">
        <f>IF($X138="","",IF(INDEX('Per Invoice'!B$2:B$401,$X138)="","",INDEX('Per Invoice'!B$2:B$401,$X138)))</f>
        <v/>
      </c>
      <c r="C138">
        <f>IF($X138="","",IF(INDEX('Per Invoice'!C$2:C$401,$X138)="","",INDEX('Per Invoice'!C$2:C$401,$X138)))</f>
        <v/>
      </c>
      <c r="D138">
        <f>IF($X138="","",IF(INDEX('Per Invoice'!D$2:D$401,$X138)="","",INDEX('Per Invoice'!D$2:D$401,$X138)))</f>
        <v/>
      </c>
      <c r="E138">
        <f>IF($X138="","",IF(INDEX('Per Invoice'!E$2:E$401,$X138)="","",INDEX('Per Invoice'!E$2:E$401,$X138)))</f>
        <v/>
      </c>
      <c r="F138">
        <f>IF($X138="","",IF(INDEX('Per Invoice'!F$2:F$401,$X138)="","",INDEX('Per Invoice'!F$2:F$401,$X138)))</f>
        <v/>
      </c>
      <c r="G138">
        <f>IF($X138="","",IF(INDEX('Per Invoice'!G$2:G$401,$X138)="","",INDEX('Per Invoice'!G$2:G$401,$X138)))</f>
        <v/>
      </c>
      <c r="H138">
        <f>IF($X138="","",IF(INDEX('Per Invoice'!H$2:H$401,$X138)="","",INDEX('Per Invoice'!H$2:H$401,$X138)))</f>
        <v/>
      </c>
      <c r="I138">
        <f>IF($X138="","",IF(INDEX('Per Invoice'!I$2:I$401,$X138)="","",INDEX('Per Invoice'!I$2:I$401,$X138)))</f>
        <v/>
      </c>
      <c r="J138">
        <f>IF($X138="","",IF(INDEX('Per Invoice'!J$2:J$401,$X138)="","",INDEX('Per Invoice'!J$2:J$401,$X138)))</f>
        <v/>
      </c>
      <c r="K138" s="14">
        <f>IF($X138="","",IF(INDEX('Per Invoice'!K$2:K$401,$X138)="","",INDEX('Per Invoice'!K$2:K$401,$X138)))</f>
        <v/>
      </c>
      <c r="L138">
        <f>IF($X138="","",IF(INDEX('Per Invoice'!L$2:L$401,$X138)="","",INDEX('Per Invoice'!L$2:L$401,$X138)))</f>
        <v/>
      </c>
      <c r="M138" s="7">
        <f>IF($X138="","",IF(INDEX('Per Invoice'!M$2:M$401,$X138)="","",INDEX('Per Invoice'!M$2:M$401,$X138)))</f>
        <v/>
      </c>
      <c r="N138">
        <f>IF($X138="","",IF(INDEX('Per Invoice'!N$2:N$401,$X138)="","",INDEX('Per Invoice'!N$2:N$401,$X138)))</f>
        <v/>
      </c>
      <c r="O138" s="7">
        <f>IF($X138="","",IF(INDEX('Per Invoice'!O$2:O$401,$X138)="","",INDEX('Per Invoice'!O$2:O$401,$X138)))</f>
        <v/>
      </c>
      <c r="P138" s="7">
        <f>IF($X138="","",IF(INDEX('Per Invoice'!P$2:P$401,$X138)="","",INDEX('Per Invoice'!P$2:P$401,$X138)))</f>
        <v/>
      </c>
      <c r="Q138">
        <f>IF($X138="","",IF(INDEX('Per Invoice'!Q$2:Q$401,$X138)="","",INDEX('Per Invoice'!Q$2:Q$401,$X138)))</f>
        <v/>
      </c>
      <c r="R138" s="7">
        <f>IF($X138="","",IF(INDEX('Per Invoice'!R$2:R$401,$X138)="","",INDEX('Per Invoice'!R$2:R$401,$X138)))</f>
        <v/>
      </c>
      <c r="S138" s="7">
        <f>IF($X138="","",IF(INDEX('Per Invoice'!S$2:S$401,$X138)="","",INDEX('Per Invoice'!S$2:S$401,$X138)))</f>
        <v/>
      </c>
      <c r="T138" s="7">
        <f>IF($X138="","",IF(INDEX('Per Invoice'!T$2:T$401,$X138)="","",INDEX('Per Invoice'!T$2:T$401,$X138)))</f>
        <v/>
      </c>
      <c r="U138" s="7">
        <f>IF($X138="","",IF(INDEX('Per Invoice'!U$2:U$401,$X138)="","",INDEX('Per Invoice'!U$2:U$401,$X138)))</f>
        <v/>
      </c>
      <c r="V138" s="7">
        <f>IF($X138="","",IF(INDEX('Per Invoice'!V$2:V$401,$X138)="","",INDEX('Per Invoice'!V$2:V$401,$X138)))</f>
        <v/>
      </c>
      <c r="W138" s="7">
        <f>IF($X138="","",IF(INDEX('Per Invoice'!W$2:W$401,$X138)="","",INDEX('Per Invoice'!W$2:W$401,$X138)))</f>
        <v/>
      </c>
      <c r="X138" s="16">
        <f>IFERROR(MATCH(Settings!$C$33&amp;"|"&amp;ROWS($X$2:$X138),'Per Invoice'!$Y$2:$Y$401,0),"")</f>
        <v/>
      </c>
    </row>
    <row r="139">
      <c r="A139">
        <f>IF($X139="","",IF(INDEX('Per Invoice'!A$2:A$401,$X139)="","",INDEX('Per Invoice'!A$2:A$401,$X139)))</f>
        <v/>
      </c>
      <c r="B139">
        <f>IF($X139="","",IF(INDEX('Per Invoice'!B$2:B$401,$X139)="","",INDEX('Per Invoice'!B$2:B$401,$X139)))</f>
        <v/>
      </c>
      <c r="C139">
        <f>IF($X139="","",IF(INDEX('Per Invoice'!C$2:C$401,$X139)="","",INDEX('Per Invoice'!C$2:C$401,$X139)))</f>
        <v/>
      </c>
      <c r="D139">
        <f>IF($X139="","",IF(INDEX('Per Invoice'!D$2:D$401,$X139)="","",INDEX('Per Invoice'!D$2:D$401,$X139)))</f>
        <v/>
      </c>
      <c r="E139">
        <f>IF($X139="","",IF(INDEX('Per Invoice'!E$2:E$401,$X139)="","",INDEX('Per Invoice'!E$2:E$401,$X139)))</f>
        <v/>
      </c>
      <c r="F139">
        <f>IF($X139="","",IF(INDEX('Per Invoice'!F$2:F$401,$X139)="","",INDEX('Per Invoice'!F$2:F$401,$X139)))</f>
        <v/>
      </c>
      <c r="G139">
        <f>IF($X139="","",IF(INDEX('Per Invoice'!G$2:G$401,$X139)="","",INDEX('Per Invoice'!G$2:G$401,$X139)))</f>
        <v/>
      </c>
      <c r="H139">
        <f>IF($X139="","",IF(INDEX('Per Invoice'!H$2:H$401,$X139)="","",INDEX('Per Invoice'!H$2:H$401,$X139)))</f>
        <v/>
      </c>
      <c r="I139">
        <f>IF($X139="","",IF(INDEX('Per Invoice'!I$2:I$401,$X139)="","",INDEX('Per Invoice'!I$2:I$401,$X139)))</f>
        <v/>
      </c>
      <c r="J139">
        <f>IF($X139="","",IF(INDEX('Per Invoice'!J$2:J$401,$X139)="","",INDEX('Per Invoice'!J$2:J$401,$X139)))</f>
        <v/>
      </c>
      <c r="K139" s="14">
        <f>IF($X139="","",IF(INDEX('Per Invoice'!K$2:K$401,$X139)="","",INDEX('Per Invoice'!K$2:K$401,$X139)))</f>
        <v/>
      </c>
      <c r="L139">
        <f>IF($X139="","",IF(INDEX('Per Invoice'!L$2:L$401,$X139)="","",INDEX('Per Invoice'!L$2:L$401,$X139)))</f>
        <v/>
      </c>
      <c r="M139" s="7">
        <f>IF($X139="","",IF(INDEX('Per Invoice'!M$2:M$401,$X139)="","",INDEX('Per Invoice'!M$2:M$401,$X139)))</f>
        <v/>
      </c>
      <c r="N139">
        <f>IF($X139="","",IF(INDEX('Per Invoice'!N$2:N$401,$X139)="","",INDEX('Per Invoice'!N$2:N$401,$X139)))</f>
        <v/>
      </c>
      <c r="O139" s="7">
        <f>IF($X139="","",IF(INDEX('Per Invoice'!O$2:O$401,$X139)="","",INDEX('Per Invoice'!O$2:O$401,$X139)))</f>
        <v/>
      </c>
      <c r="P139" s="7">
        <f>IF($X139="","",IF(INDEX('Per Invoice'!P$2:P$401,$X139)="","",INDEX('Per Invoice'!P$2:P$401,$X139)))</f>
        <v/>
      </c>
      <c r="Q139">
        <f>IF($X139="","",IF(INDEX('Per Invoice'!Q$2:Q$401,$X139)="","",INDEX('Per Invoice'!Q$2:Q$401,$X139)))</f>
        <v/>
      </c>
      <c r="R139" s="7">
        <f>IF($X139="","",IF(INDEX('Per Invoice'!R$2:R$401,$X139)="","",INDEX('Per Invoice'!R$2:R$401,$X139)))</f>
        <v/>
      </c>
      <c r="S139" s="7">
        <f>IF($X139="","",IF(INDEX('Per Invoice'!S$2:S$401,$X139)="","",INDEX('Per Invoice'!S$2:S$401,$X139)))</f>
        <v/>
      </c>
      <c r="T139" s="7">
        <f>IF($X139="","",IF(INDEX('Per Invoice'!T$2:T$401,$X139)="","",INDEX('Per Invoice'!T$2:T$401,$X139)))</f>
        <v/>
      </c>
      <c r="U139" s="7">
        <f>IF($X139="","",IF(INDEX('Per Invoice'!U$2:U$401,$X139)="","",INDEX('Per Invoice'!U$2:U$401,$X139)))</f>
        <v/>
      </c>
      <c r="V139" s="7">
        <f>IF($X139="","",IF(INDEX('Per Invoice'!V$2:V$401,$X139)="","",INDEX('Per Invoice'!V$2:V$401,$X139)))</f>
        <v/>
      </c>
      <c r="W139" s="7">
        <f>IF($X139="","",IF(INDEX('Per Invoice'!W$2:W$401,$X139)="","",INDEX('Per Invoice'!W$2:W$401,$X139)))</f>
        <v/>
      </c>
      <c r="X139" s="16">
        <f>IFERROR(MATCH(Settings!$C$33&amp;"|"&amp;ROWS($X$2:$X139),'Per Invoice'!$Y$2:$Y$401,0),"")</f>
        <v/>
      </c>
    </row>
    <row r="140">
      <c r="A140">
        <f>IF($X140="","",IF(INDEX('Per Invoice'!A$2:A$401,$X140)="","",INDEX('Per Invoice'!A$2:A$401,$X140)))</f>
        <v/>
      </c>
      <c r="B140">
        <f>IF($X140="","",IF(INDEX('Per Invoice'!B$2:B$401,$X140)="","",INDEX('Per Invoice'!B$2:B$401,$X140)))</f>
        <v/>
      </c>
      <c r="C140">
        <f>IF($X140="","",IF(INDEX('Per Invoice'!C$2:C$401,$X140)="","",INDEX('Per Invoice'!C$2:C$401,$X140)))</f>
        <v/>
      </c>
      <c r="D140">
        <f>IF($X140="","",IF(INDEX('Per Invoice'!D$2:D$401,$X140)="","",INDEX('Per Invoice'!D$2:D$401,$X140)))</f>
        <v/>
      </c>
      <c r="E140">
        <f>IF($X140="","",IF(INDEX('Per Invoice'!E$2:E$401,$X140)="","",INDEX('Per Invoice'!E$2:E$401,$X140)))</f>
        <v/>
      </c>
      <c r="F140">
        <f>IF($X140="","",IF(INDEX('Per Invoice'!F$2:F$401,$X140)="","",INDEX('Per Invoice'!F$2:F$401,$X140)))</f>
        <v/>
      </c>
      <c r="G140">
        <f>IF($X140="","",IF(INDEX('Per Invoice'!G$2:G$401,$X140)="","",INDEX('Per Invoice'!G$2:G$401,$X140)))</f>
        <v/>
      </c>
      <c r="H140">
        <f>IF($X140="","",IF(INDEX('Per Invoice'!H$2:H$401,$X140)="","",INDEX('Per Invoice'!H$2:H$401,$X140)))</f>
        <v/>
      </c>
      <c r="I140">
        <f>IF($X140="","",IF(INDEX('Per Invoice'!I$2:I$401,$X140)="","",INDEX('Per Invoice'!I$2:I$401,$X140)))</f>
        <v/>
      </c>
      <c r="J140">
        <f>IF($X140="","",IF(INDEX('Per Invoice'!J$2:J$401,$X140)="","",INDEX('Per Invoice'!J$2:J$401,$X140)))</f>
        <v/>
      </c>
      <c r="K140" s="14">
        <f>IF($X140="","",IF(INDEX('Per Invoice'!K$2:K$401,$X140)="","",INDEX('Per Invoice'!K$2:K$401,$X140)))</f>
        <v/>
      </c>
      <c r="L140">
        <f>IF($X140="","",IF(INDEX('Per Invoice'!L$2:L$401,$X140)="","",INDEX('Per Invoice'!L$2:L$401,$X140)))</f>
        <v/>
      </c>
      <c r="M140" s="7">
        <f>IF($X140="","",IF(INDEX('Per Invoice'!M$2:M$401,$X140)="","",INDEX('Per Invoice'!M$2:M$401,$X140)))</f>
        <v/>
      </c>
      <c r="N140">
        <f>IF($X140="","",IF(INDEX('Per Invoice'!N$2:N$401,$X140)="","",INDEX('Per Invoice'!N$2:N$401,$X140)))</f>
        <v/>
      </c>
      <c r="O140" s="7">
        <f>IF($X140="","",IF(INDEX('Per Invoice'!O$2:O$401,$X140)="","",INDEX('Per Invoice'!O$2:O$401,$X140)))</f>
        <v/>
      </c>
      <c r="P140" s="7">
        <f>IF($X140="","",IF(INDEX('Per Invoice'!P$2:P$401,$X140)="","",INDEX('Per Invoice'!P$2:P$401,$X140)))</f>
        <v/>
      </c>
      <c r="Q140">
        <f>IF($X140="","",IF(INDEX('Per Invoice'!Q$2:Q$401,$X140)="","",INDEX('Per Invoice'!Q$2:Q$401,$X140)))</f>
        <v/>
      </c>
      <c r="R140" s="7">
        <f>IF($X140="","",IF(INDEX('Per Invoice'!R$2:R$401,$X140)="","",INDEX('Per Invoice'!R$2:R$401,$X140)))</f>
        <v/>
      </c>
      <c r="S140" s="7">
        <f>IF($X140="","",IF(INDEX('Per Invoice'!S$2:S$401,$X140)="","",INDEX('Per Invoice'!S$2:S$401,$X140)))</f>
        <v/>
      </c>
      <c r="T140" s="7">
        <f>IF($X140="","",IF(INDEX('Per Invoice'!T$2:T$401,$X140)="","",INDEX('Per Invoice'!T$2:T$401,$X140)))</f>
        <v/>
      </c>
      <c r="U140" s="7">
        <f>IF($X140="","",IF(INDEX('Per Invoice'!U$2:U$401,$X140)="","",INDEX('Per Invoice'!U$2:U$401,$X140)))</f>
        <v/>
      </c>
      <c r="V140" s="7">
        <f>IF($X140="","",IF(INDEX('Per Invoice'!V$2:V$401,$X140)="","",INDEX('Per Invoice'!V$2:V$401,$X140)))</f>
        <v/>
      </c>
      <c r="W140" s="7">
        <f>IF($X140="","",IF(INDEX('Per Invoice'!W$2:W$401,$X140)="","",INDEX('Per Invoice'!W$2:W$401,$X140)))</f>
        <v/>
      </c>
      <c r="X140" s="16">
        <f>IFERROR(MATCH(Settings!$C$33&amp;"|"&amp;ROWS($X$2:$X140),'Per Invoice'!$Y$2:$Y$401,0),"")</f>
        <v/>
      </c>
    </row>
    <row r="141">
      <c r="A141">
        <f>IF($X141="","",IF(INDEX('Per Invoice'!A$2:A$401,$X141)="","",INDEX('Per Invoice'!A$2:A$401,$X141)))</f>
        <v/>
      </c>
      <c r="B141">
        <f>IF($X141="","",IF(INDEX('Per Invoice'!B$2:B$401,$X141)="","",INDEX('Per Invoice'!B$2:B$401,$X141)))</f>
        <v/>
      </c>
      <c r="C141">
        <f>IF($X141="","",IF(INDEX('Per Invoice'!C$2:C$401,$X141)="","",INDEX('Per Invoice'!C$2:C$401,$X141)))</f>
        <v/>
      </c>
      <c r="D141">
        <f>IF($X141="","",IF(INDEX('Per Invoice'!D$2:D$401,$X141)="","",INDEX('Per Invoice'!D$2:D$401,$X141)))</f>
        <v/>
      </c>
      <c r="E141">
        <f>IF($X141="","",IF(INDEX('Per Invoice'!E$2:E$401,$X141)="","",INDEX('Per Invoice'!E$2:E$401,$X141)))</f>
        <v/>
      </c>
      <c r="F141">
        <f>IF($X141="","",IF(INDEX('Per Invoice'!F$2:F$401,$X141)="","",INDEX('Per Invoice'!F$2:F$401,$X141)))</f>
        <v/>
      </c>
      <c r="G141">
        <f>IF($X141="","",IF(INDEX('Per Invoice'!G$2:G$401,$X141)="","",INDEX('Per Invoice'!G$2:G$401,$X141)))</f>
        <v/>
      </c>
      <c r="H141">
        <f>IF($X141="","",IF(INDEX('Per Invoice'!H$2:H$401,$X141)="","",INDEX('Per Invoice'!H$2:H$401,$X141)))</f>
        <v/>
      </c>
      <c r="I141">
        <f>IF($X141="","",IF(INDEX('Per Invoice'!I$2:I$401,$X141)="","",INDEX('Per Invoice'!I$2:I$401,$X141)))</f>
        <v/>
      </c>
      <c r="J141">
        <f>IF($X141="","",IF(INDEX('Per Invoice'!J$2:J$401,$X141)="","",INDEX('Per Invoice'!J$2:J$401,$X141)))</f>
        <v/>
      </c>
      <c r="K141" s="14">
        <f>IF($X141="","",IF(INDEX('Per Invoice'!K$2:K$401,$X141)="","",INDEX('Per Invoice'!K$2:K$401,$X141)))</f>
        <v/>
      </c>
      <c r="L141">
        <f>IF($X141="","",IF(INDEX('Per Invoice'!L$2:L$401,$X141)="","",INDEX('Per Invoice'!L$2:L$401,$X141)))</f>
        <v/>
      </c>
      <c r="M141" s="7">
        <f>IF($X141="","",IF(INDEX('Per Invoice'!M$2:M$401,$X141)="","",INDEX('Per Invoice'!M$2:M$401,$X141)))</f>
        <v/>
      </c>
      <c r="N141">
        <f>IF($X141="","",IF(INDEX('Per Invoice'!N$2:N$401,$X141)="","",INDEX('Per Invoice'!N$2:N$401,$X141)))</f>
        <v/>
      </c>
      <c r="O141" s="7">
        <f>IF($X141="","",IF(INDEX('Per Invoice'!O$2:O$401,$X141)="","",INDEX('Per Invoice'!O$2:O$401,$X141)))</f>
        <v/>
      </c>
      <c r="P141" s="7">
        <f>IF($X141="","",IF(INDEX('Per Invoice'!P$2:P$401,$X141)="","",INDEX('Per Invoice'!P$2:P$401,$X141)))</f>
        <v/>
      </c>
      <c r="Q141">
        <f>IF($X141="","",IF(INDEX('Per Invoice'!Q$2:Q$401,$X141)="","",INDEX('Per Invoice'!Q$2:Q$401,$X141)))</f>
        <v/>
      </c>
      <c r="R141" s="7">
        <f>IF($X141="","",IF(INDEX('Per Invoice'!R$2:R$401,$X141)="","",INDEX('Per Invoice'!R$2:R$401,$X141)))</f>
        <v/>
      </c>
      <c r="S141" s="7">
        <f>IF($X141="","",IF(INDEX('Per Invoice'!S$2:S$401,$X141)="","",INDEX('Per Invoice'!S$2:S$401,$X141)))</f>
        <v/>
      </c>
      <c r="T141" s="7">
        <f>IF($X141="","",IF(INDEX('Per Invoice'!T$2:T$401,$X141)="","",INDEX('Per Invoice'!T$2:T$401,$X141)))</f>
        <v/>
      </c>
      <c r="U141" s="7">
        <f>IF($X141="","",IF(INDEX('Per Invoice'!U$2:U$401,$X141)="","",INDEX('Per Invoice'!U$2:U$401,$X141)))</f>
        <v/>
      </c>
      <c r="V141" s="7">
        <f>IF($X141="","",IF(INDEX('Per Invoice'!V$2:V$401,$X141)="","",INDEX('Per Invoice'!V$2:V$401,$X141)))</f>
        <v/>
      </c>
      <c r="W141" s="7">
        <f>IF($X141="","",IF(INDEX('Per Invoice'!W$2:W$401,$X141)="","",INDEX('Per Invoice'!W$2:W$401,$X141)))</f>
        <v/>
      </c>
      <c r="X141" s="16">
        <f>IFERROR(MATCH(Settings!$C$33&amp;"|"&amp;ROWS($X$2:$X141),'Per Invoice'!$Y$2:$Y$401,0),"")</f>
        <v/>
      </c>
    </row>
    <row r="142">
      <c r="A142">
        <f>IF($X142="","",IF(INDEX('Per Invoice'!A$2:A$401,$X142)="","",INDEX('Per Invoice'!A$2:A$401,$X142)))</f>
        <v/>
      </c>
      <c r="B142">
        <f>IF($X142="","",IF(INDEX('Per Invoice'!B$2:B$401,$X142)="","",INDEX('Per Invoice'!B$2:B$401,$X142)))</f>
        <v/>
      </c>
      <c r="C142">
        <f>IF($X142="","",IF(INDEX('Per Invoice'!C$2:C$401,$X142)="","",INDEX('Per Invoice'!C$2:C$401,$X142)))</f>
        <v/>
      </c>
      <c r="D142">
        <f>IF($X142="","",IF(INDEX('Per Invoice'!D$2:D$401,$X142)="","",INDEX('Per Invoice'!D$2:D$401,$X142)))</f>
        <v/>
      </c>
      <c r="E142">
        <f>IF($X142="","",IF(INDEX('Per Invoice'!E$2:E$401,$X142)="","",INDEX('Per Invoice'!E$2:E$401,$X142)))</f>
        <v/>
      </c>
      <c r="F142">
        <f>IF($X142="","",IF(INDEX('Per Invoice'!F$2:F$401,$X142)="","",INDEX('Per Invoice'!F$2:F$401,$X142)))</f>
        <v/>
      </c>
      <c r="G142">
        <f>IF($X142="","",IF(INDEX('Per Invoice'!G$2:G$401,$X142)="","",INDEX('Per Invoice'!G$2:G$401,$X142)))</f>
        <v/>
      </c>
      <c r="H142">
        <f>IF($X142="","",IF(INDEX('Per Invoice'!H$2:H$401,$X142)="","",INDEX('Per Invoice'!H$2:H$401,$X142)))</f>
        <v/>
      </c>
      <c r="I142">
        <f>IF($X142="","",IF(INDEX('Per Invoice'!I$2:I$401,$X142)="","",INDEX('Per Invoice'!I$2:I$401,$X142)))</f>
        <v/>
      </c>
      <c r="J142">
        <f>IF($X142="","",IF(INDEX('Per Invoice'!J$2:J$401,$X142)="","",INDEX('Per Invoice'!J$2:J$401,$X142)))</f>
        <v/>
      </c>
      <c r="K142" s="14">
        <f>IF($X142="","",IF(INDEX('Per Invoice'!K$2:K$401,$X142)="","",INDEX('Per Invoice'!K$2:K$401,$X142)))</f>
        <v/>
      </c>
      <c r="L142">
        <f>IF($X142="","",IF(INDEX('Per Invoice'!L$2:L$401,$X142)="","",INDEX('Per Invoice'!L$2:L$401,$X142)))</f>
        <v/>
      </c>
      <c r="M142" s="7">
        <f>IF($X142="","",IF(INDEX('Per Invoice'!M$2:M$401,$X142)="","",INDEX('Per Invoice'!M$2:M$401,$X142)))</f>
        <v/>
      </c>
      <c r="N142">
        <f>IF($X142="","",IF(INDEX('Per Invoice'!N$2:N$401,$X142)="","",INDEX('Per Invoice'!N$2:N$401,$X142)))</f>
        <v/>
      </c>
      <c r="O142" s="7">
        <f>IF($X142="","",IF(INDEX('Per Invoice'!O$2:O$401,$X142)="","",INDEX('Per Invoice'!O$2:O$401,$X142)))</f>
        <v/>
      </c>
      <c r="P142" s="7">
        <f>IF($X142="","",IF(INDEX('Per Invoice'!P$2:P$401,$X142)="","",INDEX('Per Invoice'!P$2:P$401,$X142)))</f>
        <v/>
      </c>
      <c r="Q142">
        <f>IF($X142="","",IF(INDEX('Per Invoice'!Q$2:Q$401,$X142)="","",INDEX('Per Invoice'!Q$2:Q$401,$X142)))</f>
        <v/>
      </c>
      <c r="R142" s="7">
        <f>IF($X142="","",IF(INDEX('Per Invoice'!R$2:R$401,$X142)="","",INDEX('Per Invoice'!R$2:R$401,$X142)))</f>
        <v/>
      </c>
      <c r="S142" s="7">
        <f>IF($X142="","",IF(INDEX('Per Invoice'!S$2:S$401,$X142)="","",INDEX('Per Invoice'!S$2:S$401,$X142)))</f>
        <v/>
      </c>
      <c r="T142" s="7">
        <f>IF($X142="","",IF(INDEX('Per Invoice'!T$2:T$401,$X142)="","",INDEX('Per Invoice'!T$2:T$401,$X142)))</f>
        <v/>
      </c>
      <c r="U142" s="7">
        <f>IF($X142="","",IF(INDEX('Per Invoice'!U$2:U$401,$X142)="","",INDEX('Per Invoice'!U$2:U$401,$X142)))</f>
        <v/>
      </c>
      <c r="V142" s="7">
        <f>IF($X142="","",IF(INDEX('Per Invoice'!V$2:V$401,$X142)="","",INDEX('Per Invoice'!V$2:V$401,$X142)))</f>
        <v/>
      </c>
      <c r="W142" s="7">
        <f>IF($X142="","",IF(INDEX('Per Invoice'!W$2:W$401,$X142)="","",INDEX('Per Invoice'!W$2:W$401,$X142)))</f>
        <v/>
      </c>
      <c r="X142" s="16">
        <f>IFERROR(MATCH(Settings!$C$33&amp;"|"&amp;ROWS($X$2:$X142),'Per Invoice'!$Y$2:$Y$401,0),"")</f>
        <v/>
      </c>
    </row>
    <row r="143">
      <c r="A143">
        <f>IF($X143="","",IF(INDEX('Per Invoice'!A$2:A$401,$X143)="","",INDEX('Per Invoice'!A$2:A$401,$X143)))</f>
        <v/>
      </c>
      <c r="B143">
        <f>IF($X143="","",IF(INDEX('Per Invoice'!B$2:B$401,$X143)="","",INDEX('Per Invoice'!B$2:B$401,$X143)))</f>
        <v/>
      </c>
      <c r="C143">
        <f>IF($X143="","",IF(INDEX('Per Invoice'!C$2:C$401,$X143)="","",INDEX('Per Invoice'!C$2:C$401,$X143)))</f>
        <v/>
      </c>
      <c r="D143">
        <f>IF($X143="","",IF(INDEX('Per Invoice'!D$2:D$401,$X143)="","",INDEX('Per Invoice'!D$2:D$401,$X143)))</f>
        <v/>
      </c>
      <c r="E143">
        <f>IF($X143="","",IF(INDEX('Per Invoice'!E$2:E$401,$X143)="","",INDEX('Per Invoice'!E$2:E$401,$X143)))</f>
        <v/>
      </c>
      <c r="F143">
        <f>IF($X143="","",IF(INDEX('Per Invoice'!F$2:F$401,$X143)="","",INDEX('Per Invoice'!F$2:F$401,$X143)))</f>
        <v/>
      </c>
      <c r="G143">
        <f>IF($X143="","",IF(INDEX('Per Invoice'!G$2:G$401,$X143)="","",INDEX('Per Invoice'!G$2:G$401,$X143)))</f>
        <v/>
      </c>
      <c r="H143">
        <f>IF($X143="","",IF(INDEX('Per Invoice'!H$2:H$401,$X143)="","",INDEX('Per Invoice'!H$2:H$401,$X143)))</f>
        <v/>
      </c>
      <c r="I143">
        <f>IF($X143="","",IF(INDEX('Per Invoice'!I$2:I$401,$X143)="","",INDEX('Per Invoice'!I$2:I$401,$X143)))</f>
        <v/>
      </c>
      <c r="J143">
        <f>IF($X143="","",IF(INDEX('Per Invoice'!J$2:J$401,$X143)="","",INDEX('Per Invoice'!J$2:J$401,$X143)))</f>
        <v/>
      </c>
      <c r="K143" s="14">
        <f>IF($X143="","",IF(INDEX('Per Invoice'!K$2:K$401,$X143)="","",INDEX('Per Invoice'!K$2:K$401,$X143)))</f>
        <v/>
      </c>
      <c r="L143">
        <f>IF($X143="","",IF(INDEX('Per Invoice'!L$2:L$401,$X143)="","",INDEX('Per Invoice'!L$2:L$401,$X143)))</f>
        <v/>
      </c>
      <c r="M143" s="7">
        <f>IF($X143="","",IF(INDEX('Per Invoice'!M$2:M$401,$X143)="","",INDEX('Per Invoice'!M$2:M$401,$X143)))</f>
        <v/>
      </c>
      <c r="N143">
        <f>IF($X143="","",IF(INDEX('Per Invoice'!N$2:N$401,$X143)="","",INDEX('Per Invoice'!N$2:N$401,$X143)))</f>
        <v/>
      </c>
      <c r="O143" s="7">
        <f>IF($X143="","",IF(INDEX('Per Invoice'!O$2:O$401,$X143)="","",INDEX('Per Invoice'!O$2:O$401,$X143)))</f>
        <v/>
      </c>
      <c r="P143" s="7">
        <f>IF($X143="","",IF(INDEX('Per Invoice'!P$2:P$401,$X143)="","",INDEX('Per Invoice'!P$2:P$401,$X143)))</f>
        <v/>
      </c>
      <c r="Q143">
        <f>IF($X143="","",IF(INDEX('Per Invoice'!Q$2:Q$401,$X143)="","",INDEX('Per Invoice'!Q$2:Q$401,$X143)))</f>
        <v/>
      </c>
      <c r="R143" s="7">
        <f>IF($X143="","",IF(INDEX('Per Invoice'!R$2:R$401,$X143)="","",INDEX('Per Invoice'!R$2:R$401,$X143)))</f>
        <v/>
      </c>
      <c r="S143" s="7">
        <f>IF($X143="","",IF(INDEX('Per Invoice'!S$2:S$401,$X143)="","",INDEX('Per Invoice'!S$2:S$401,$X143)))</f>
        <v/>
      </c>
      <c r="T143" s="7">
        <f>IF($X143="","",IF(INDEX('Per Invoice'!T$2:T$401,$X143)="","",INDEX('Per Invoice'!T$2:T$401,$X143)))</f>
        <v/>
      </c>
      <c r="U143" s="7">
        <f>IF($X143="","",IF(INDEX('Per Invoice'!U$2:U$401,$X143)="","",INDEX('Per Invoice'!U$2:U$401,$X143)))</f>
        <v/>
      </c>
      <c r="V143" s="7">
        <f>IF($X143="","",IF(INDEX('Per Invoice'!V$2:V$401,$X143)="","",INDEX('Per Invoice'!V$2:V$401,$X143)))</f>
        <v/>
      </c>
      <c r="W143" s="7">
        <f>IF($X143="","",IF(INDEX('Per Invoice'!W$2:W$401,$X143)="","",INDEX('Per Invoice'!W$2:W$401,$X143)))</f>
        <v/>
      </c>
      <c r="X143" s="16">
        <f>IFERROR(MATCH(Settings!$C$33&amp;"|"&amp;ROWS($X$2:$X143),'Per Invoice'!$Y$2:$Y$401,0),"")</f>
        <v/>
      </c>
    </row>
    <row r="144">
      <c r="A144">
        <f>IF($X144="","",IF(INDEX('Per Invoice'!A$2:A$401,$X144)="","",INDEX('Per Invoice'!A$2:A$401,$X144)))</f>
        <v/>
      </c>
      <c r="B144">
        <f>IF($X144="","",IF(INDEX('Per Invoice'!B$2:B$401,$X144)="","",INDEX('Per Invoice'!B$2:B$401,$X144)))</f>
        <v/>
      </c>
      <c r="C144">
        <f>IF($X144="","",IF(INDEX('Per Invoice'!C$2:C$401,$X144)="","",INDEX('Per Invoice'!C$2:C$401,$X144)))</f>
        <v/>
      </c>
      <c r="D144">
        <f>IF($X144="","",IF(INDEX('Per Invoice'!D$2:D$401,$X144)="","",INDEX('Per Invoice'!D$2:D$401,$X144)))</f>
        <v/>
      </c>
      <c r="E144">
        <f>IF($X144="","",IF(INDEX('Per Invoice'!E$2:E$401,$X144)="","",INDEX('Per Invoice'!E$2:E$401,$X144)))</f>
        <v/>
      </c>
      <c r="F144">
        <f>IF($X144="","",IF(INDEX('Per Invoice'!F$2:F$401,$X144)="","",INDEX('Per Invoice'!F$2:F$401,$X144)))</f>
        <v/>
      </c>
      <c r="G144">
        <f>IF($X144="","",IF(INDEX('Per Invoice'!G$2:G$401,$X144)="","",INDEX('Per Invoice'!G$2:G$401,$X144)))</f>
        <v/>
      </c>
      <c r="H144">
        <f>IF($X144="","",IF(INDEX('Per Invoice'!H$2:H$401,$X144)="","",INDEX('Per Invoice'!H$2:H$401,$X144)))</f>
        <v/>
      </c>
      <c r="I144">
        <f>IF($X144="","",IF(INDEX('Per Invoice'!I$2:I$401,$X144)="","",INDEX('Per Invoice'!I$2:I$401,$X144)))</f>
        <v/>
      </c>
      <c r="J144">
        <f>IF($X144="","",IF(INDEX('Per Invoice'!J$2:J$401,$X144)="","",INDEX('Per Invoice'!J$2:J$401,$X144)))</f>
        <v/>
      </c>
      <c r="K144" s="14">
        <f>IF($X144="","",IF(INDEX('Per Invoice'!K$2:K$401,$X144)="","",INDEX('Per Invoice'!K$2:K$401,$X144)))</f>
        <v/>
      </c>
      <c r="L144">
        <f>IF($X144="","",IF(INDEX('Per Invoice'!L$2:L$401,$X144)="","",INDEX('Per Invoice'!L$2:L$401,$X144)))</f>
        <v/>
      </c>
      <c r="M144" s="7">
        <f>IF($X144="","",IF(INDEX('Per Invoice'!M$2:M$401,$X144)="","",INDEX('Per Invoice'!M$2:M$401,$X144)))</f>
        <v/>
      </c>
      <c r="N144">
        <f>IF($X144="","",IF(INDEX('Per Invoice'!N$2:N$401,$X144)="","",INDEX('Per Invoice'!N$2:N$401,$X144)))</f>
        <v/>
      </c>
      <c r="O144" s="7">
        <f>IF($X144="","",IF(INDEX('Per Invoice'!O$2:O$401,$X144)="","",INDEX('Per Invoice'!O$2:O$401,$X144)))</f>
        <v/>
      </c>
      <c r="P144" s="7">
        <f>IF($X144="","",IF(INDEX('Per Invoice'!P$2:P$401,$X144)="","",INDEX('Per Invoice'!P$2:P$401,$X144)))</f>
        <v/>
      </c>
      <c r="Q144">
        <f>IF($X144="","",IF(INDEX('Per Invoice'!Q$2:Q$401,$X144)="","",INDEX('Per Invoice'!Q$2:Q$401,$X144)))</f>
        <v/>
      </c>
      <c r="R144" s="7">
        <f>IF($X144="","",IF(INDEX('Per Invoice'!R$2:R$401,$X144)="","",INDEX('Per Invoice'!R$2:R$401,$X144)))</f>
        <v/>
      </c>
      <c r="S144" s="7">
        <f>IF($X144="","",IF(INDEX('Per Invoice'!S$2:S$401,$X144)="","",INDEX('Per Invoice'!S$2:S$401,$X144)))</f>
        <v/>
      </c>
      <c r="T144" s="7">
        <f>IF($X144="","",IF(INDEX('Per Invoice'!T$2:T$401,$X144)="","",INDEX('Per Invoice'!T$2:T$401,$X144)))</f>
        <v/>
      </c>
      <c r="U144" s="7">
        <f>IF($X144="","",IF(INDEX('Per Invoice'!U$2:U$401,$X144)="","",INDEX('Per Invoice'!U$2:U$401,$X144)))</f>
        <v/>
      </c>
      <c r="V144" s="7">
        <f>IF($X144="","",IF(INDEX('Per Invoice'!V$2:V$401,$X144)="","",INDEX('Per Invoice'!V$2:V$401,$X144)))</f>
        <v/>
      </c>
      <c r="W144" s="7">
        <f>IF($X144="","",IF(INDEX('Per Invoice'!W$2:W$401,$X144)="","",INDEX('Per Invoice'!W$2:W$401,$X144)))</f>
        <v/>
      </c>
      <c r="X144" s="16">
        <f>IFERROR(MATCH(Settings!$C$33&amp;"|"&amp;ROWS($X$2:$X144),'Per Invoice'!$Y$2:$Y$401,0),"")</f>
        <v/>
      </c>
    </row>
    <row r="145">
      <c r="A145">
        <f>IF($X145="","",IF(INDEX('Per Invoice'!A$2:A$401,$X145)="","",INDEX('Per Invoice'!A$2:A$401,$X145)))</f>
        <v/>
      </c>
      <c r="B145">
        <f>IF($X145="","",IF(INDEX('Per Invoice'!B$2:B$401,$X145)="","",INDEX('Per Invoice'!B$2:B$401,$X145)))</f>
        <v/>
      </c>
      <c r="C145">
        <f>IF($X145="","",IF(INDEX('Per Invoice'!C$2:C$401,$X145)="","",INDEX('Per Invoice'!C$2:C$401,$X145)))</f>
        <v/>
      </c>
      <c r="D145">
        <f>IF($X145="","",IF(INDEX('Per Invoice'!D$2:D$401,$X145)="","",INDEX('Per Invoice'!D$2:D$401,$X145)))</f>
        <v/>
      </c>
      <c r="E145">
        <f>IF($X145="","",IF(INDEX('Per Invoice'!E$2:E$401,$X145)="","",INDEX('Per Invoice'!E$2:E$401,$X145)))</f>
        <v/>
      </c>
      <c r="F145">
        <f>IF($X145="","",IF(INDEX('Per Invoice'!F$2:F$401,$X145)="","",INDEX('Per Invoice'!F$2:F$401,$X145)))</f>
        <v/>
      </c>
      <c r="G145">
        <f>IF($X145="","",IF(INDEX('Per Invoice'!G$2:G$401,$X145)="","",INDEX('Per Invoice'!G$2:G$401,$X145)))</f>
        <v/>
      </c>
      <c r="H145">
        <f>IF($X145="","",IF(INDEX('Per Invoice'!H$2:H$401,$X145)="","",INDEX('Per Invoice'!H$2:H$401,$X145)))</f>
        <v/>
      </c>
      <c r="I145">
        <f>IF($X145="","",IF(INDEX('Per Invoice'!I$2:I$401,$X145)="","",INDEX('Per Invoice'!I$2:I$401,$X145)))</f>
        <v/>
      </c>
      <c r="J145">
        <f>IF($X145="","",IF(INDEX('Per Invoice'!J$2:J$401,$X145)="","",INDEX('Per Invoice'!J$2:J$401,$X145)))</f>
        <v/>
      </c>
      <c r="K145" s="14">
        <f>IF($X145="","",IF(INDEX('Per Invoice'!K$2:K$401,$X145)="","",INDEX('Per Invoice'!K$2:K$401,$X145)))</f>
        <v/>
      </c>
      <c r="L145">
        <f>IF($X145="","",IF(INDEX('Per Invoice'!L$2:L$401,$X145)="","",INDEX('Per Invoice'!L$2:L$401,$X145)))</f>
        <v/>
      </c>
      <c r="M145" s="7">
        <f>IF($X145="","",IF(INDEX('Per Invoice'!M$2:M$401,$X145)="","",INDEX('Per Invoice'!M$2:M$401,$X145)))</f>
        <v/>
      </c>
      <c r="N145">
        <f>IF($X145="","",IF(INDEX('Per Invoice'!N$2:N$401,$X145)="","",INDEX('Per Invoice'!N$2:N$401,$X145)))</f>
        <v/>
      </c>
      <c r="O145" s="7">
        <f>IF($X145="","",IF(INDEX('Per Invoice'!O$2:O$401,$X145)="","",INDEX('Per Invoice'!O$2:O$401,$X145)))</f>
        <v/>
      </c>
      <c r="P145" s="7">
        <f>IF($X145="","",IF(INDEX('Per Invoice'!P$2:P$401,$X145)="","",INDEX('Per Invoice'!P$2:P$401,$X145)))</f>
        <v/>
      </c>
      <c r="Q145">
        <f>IF($X145="","",IF(INDEX('Per Invoice'!Q$2:Q$401,$X145)="","",INDEX('Per Invoice'!Q$2:Q$401,$X145)))</f>
        <v/>
      </c>
      <c r="R145" s="7">
        <f>IF($X145="","",IF(INDEX('Per Invoice'!R$2:R$401,$X145)="","",INDEX('Per Invoice'!R$2:R$401,$X145)))</f>
        <v/>
      </c>
      <c r="S145" s="7">
        <f>IF($X145="","",IF(INDEX('Per Invoice'!S$2:S$401,$X145)="","",INDEX('Per Invoice'!S$2:S$401,$X145)))</f>
        <v/>
      </c>
      <c r="T145" s="7">
        <f>IF($X145="","",IF(INDEX('Per Invoice'!T$2:T$401,$X145)="","",INDEX('Per Invoice'!T$2:T$401,$X145)))</f>
        <v/>
      </c>
      <c r="U145" s="7">
        <f>IF($X145="","",IF(INDEX('Per Invoice'!U$2:U$401,$X145)="","",INDEX('Per Invoice'!U$2:U$401,$X145)))</f>
        <v/>
      </c>
      <c r="V145" s="7">
        <f>IF($X145="","",IF(INDEX('Per Invoice'!V$2:V$401,$X145)="","",INDEX('Per Invoice'!V$2:V$401,$X145)))</f>
        <v/>
      </c>
      <c r="W145" s="7">
        <f>IF($X145="","",IF(INDEX('Per Invoice'!W$2:W$401,$X145)="","",INDEX('Per Invoice'!W$2:W$401,$X145)))</f>
        <v/>
      </c>
      <c r="X145" s="16">
        <f>IFERROR(MATCH(Settings!$C$33&amp;"|"&amp;ROWS($X$2:$X145),'Per Invoice'!$Y$2:$Y$401,0),"")</f>
        <v/>
      </c>
    </row>
    <row r="146">
      <c r="A146">
        <f>IF($X146="","",IF(INDEX('Per Invoice'!A$2:A$401,$X146)="","",INDEX('Per Invoice'!A$2:A$401,$X146)))</f>
        <v/>
      </c>
      <c r="B146">
        <f>IF($X146="","",IF(INDEX('Per Invoice'!B$2:B$401,$X146)="","",INDEX('Per Invoice'!B$2:B$401,$X146)))</f>
        <v/>
      </c>
      <c r="C146">
        <f>IF($X146="","",IF(INDEX('Per Invoice'!C$2:C$401,$X146)="","",INDEX('Per Invoice'!C$2:C$401,$X146)))</f>
        <v/>
      </c>
      <c r="D146">
        <f>IF($X146="","",IF(INDEX('Per Invoice'!D$2:D$401,$X146)="","",INDEX('Per Invoice'!D$2:D$401,$X146)))</f>
        <v/>
      </c>
      <c r="E146">
        <f>IF($X146="","",IF(INDEX('Per Invoice'!E$2:E$401,$X146)="","",INDEX('Per Invoice'!E$2:E$401,$X146)))</f>
        <v/>
      </c>
      <c r="F146">
        <f>IF($X146="","",IF(INDEX('Per Invoice'!F$2:F$401,$X146)="","",INDEX('Per Invoice'!F$2:F$401,$X146)))</f>
        <v/>
      </c>
      <c r="G146">
        <f>IF($X146="","",IF(INDEX('Per Invoice'!G$2:G$401,$X146)="","",INDEX('Per Invoice'!G$2:G$401,$X146)))</f>
        <v/>
      </c>
      <c r="H146">
        <f>IF($X146="","",IF(INDEX('Per Invoice'!H$2:H$401,$X146)="","",INDEX('Per Invoice'!H$2:H$401,$X146)))</f>
        <v/>
      </c>
      <c r="I146">
        <f>IF($X146="","",IF(INDEX('Per Invoice'!I$2:I$401,$X146)="","",INDEX('Per Invoice'!I$2:I$401,$X146)))</f>
        <v/>
      </c>
      <c r="J146">
        <f>IF($X146="","",IF(INDEX('Per Invoice'!J$2:J$401,$X146)="","",INDEX('Per Invoice'!J$2:J$401,$X146)))</f>
        <v/>
      </c>
      <c r="K146" s="14">
        <f>IF($X146="","",IF(INDEX('Per Invoice'!K$2:K$401,$X146)="","",INDEX('Per Invoice'!K$2:K$401,$X146)))</f>
        <v/>
      </c>
      <c r="L146">
        <f>IF($X146="","",IF(INDEX('Per Invoice'!L$2:L$401,$X146)="","",INDEX('Per Invoice'!L$2:L$401,$X146)))</f>
        <v/>
      </c>
      <c r="M146" s="7">
        <f>IF($X146="","",IF(INDEX('Per Invoice'!M$2:M$401,$X146)="","",INDEX('Per Invoice'!M$2:M$401,$X146)))</f>
        <v/>
      </c>
      <c r="N146">
        <f>IF($X146="","",IF(INDEX('Per Invoice'!N$2:N$401,$X146)="","",INDEX('Per Invoice'!N$2:N$401,$X146)))</f>
        <v/>
      </c>
      <c r="O146" s="7">
        <f>IF($X146="","",IF(INDEX('Per Invoice'!O$2:O$401,$X146)="","",INDEX('Per Invoice'!O$2:O$401,$X146)))</f>
        <v/>
      </c>
      <c r="P146" s="7">
        <f>IF($X146="","",IF(INDEX('Per Invoice'!P$2:P$401,$X146)="","",INDEX('Per Invoice'!P$2:P$401,$X146)))</f>
        <v/>
      </c>
      <c r="Q146">
        <f>IF($X146="","",IF(INDEX('Per Invoice'!Q$2:Q$401,$X146)="","",INDEX('Per Invoice'!Q$2:Q$401,$X146)))</f>
        <v/>
      </c>
      <c r="R146" s="7">
        <f>IF($X146="","",IF(INDEX('Per Invoice'!R$2:R$401,$X146)="","",INDEX('Per Invoice'!R$2:R$401,$X146)))</f>
        <v/>
      </c>
      <c r="S146" s="7">
        <f>IF($X146="","",IF(INDEX('Per Invoice'!S$2:S$401,$X146)="","",INDEX('Per Invoice'!S$2:S$401,$X146)))</f>
        <v/>
      </c>
      <c r="T146" s="7">
        <f>IF($X146="","",IF(INDEX('Per Invoice'!T$2:T$401,$X146)="","",INDEX('Per Invoice'!T$2:T$401,$X146)))</f>
        <v/>
      </c>
      <c r="U146" s="7">
        <f>IF($X146="","",IF(INDEX('Per Invoice'!U$2:U$401,$X146)="","",INDEX('Per Invoice'!U$2:U$401,$X146)))</f>
        <v/>
      </c>
      <c r="V146" s="7">
        <f>IF($X146="","",IF(INDEX('Per Invoice'!V$2:V$401,$X146)="","",INDEX('Per Invoice'!V$2:V$401,$X146)))</f>
        <v/>
      </c>
      <c r="W146" s="7">
        <f>IF($X146="","",IF(INDEX('Per Invoice'!W$2:W$401,$X146)="","",INDEX('Per Invoice'!W$2:W$401,$X146)))</f>
        <v/>
      </c>
      <c r="X146" s="16">
        <f>IFERROR(MATCH(Settings!$C$33&amp;"|"&amp;ROWS($X$2:$X146),'Per Invoice'!$Y$2:$Y$401,0),"")</f>
        <v/>
      </c>
    </row>
    <row r="147">
      <c r="A147">
        <f>IF($X147="","",IF(INDEX('Per Invoice'!A$2:A$401,$X147)="","",INDEX('Per Invoice'!A$2:A$401,$X147)))</f>
        <v/>
      </c>
      <c r="B147">
        <f>IF($X147="","",IF(INDEX('Per Invoice'!B$2:B$401,$X147)="","",INDEX('Per Invoice'!B$2:B$401,$X147)))</f>
        <v/>
      </c>
      <c r="C147">
        <f>IF($X147="","",IF(INDEX('Per Invoice'!C$2:C$401,$X147)="","",INDEX('Per Invoice'!C$2:C$401,$X147)))</f>
        <v/>
      </c>
      <c r="D147">
        <f>IF($X147="","",IF(INDEX('Per Invoice'!D$2:D$401,$X147)="","",INDEX('Per Invoice'!D$2:D$401,$X147)))</f>
        <v/>
      </c>
      <c r="E147">
        <f>IF($X147="","",IF(INDEX('Per Invoice'!E$2:E$401,$X147)="","",INDEX('Per Invoice'!E$2:E$401,$X147)))</f>
        <v/>
      </c>
      <c r="F147">
        <f>IF($X147="","",IF(INDEX('Per Invoice'!F$2:F$401,$X147)="","",INDEX('Per Invoice'!F$2:F$401,$X147)))</f>
        <v/>
      </c>
      <c r="G147">
        <f>IF($X147="","",IF(INDEX('Per Invoice'!G$2:G$401,$X147)="","",INDEX('Per Invoice'!G$2:G$401,$X147)))</f>
        <v/>
      </c>
      <c r="H147">
        <f>IF($X147="","",IF(INDEX('Per Invoice'!H$2:H$401,$X147)="","",INDEX('Per Invoice'!H$2:H$401,$X147)))</f>
        <v/>
      </c>
      <c r="I147">
        <f>IF($X147="","",IF(INDEX('Per Invoice'!I$2:I$401,$X147)="","",INDEX('Per Invoice'!I$2:I$401,$X147)))</f>
        <v/>
      </c>
      <c r="J147">
        <f>IF($X147="","",IF(INDEX('Per Invoice'!J$2:J$401,$X147)="","",INDEX('Per Invoice'!J$2:J$401,$X147)))</f>
        <v/>
      </c>
      <c r="K147" s="14">
        <f>IF($X147="","",IF(INDEX('Per Invoice'!K$2:K$401,$X147)="","",INDEX('Per Invoice'!K$2:K$401,$X147)))</f>
        <v/>
      </c>
      <c r="L147">
        <f>IF($X147="","",IF(INDEX('Per Invoice'!L$2:L$401,$X147)="","",INDEX('Per Invoice'!L$2:L$401,$X147)))</f>
        <v/>
      </c>
      <c r="M147" s="7">
        <f>IF($X147="","",IF(INDEX('Per Invoice'!M$2:M$401,$X147)="","",INDEX('Per Invoice'!M$2:M$401,$X147)))</f>
        <v/>
      </c>
      <c r="N147">
        <f>IF($X147="","",IF(INDEX('Per Invoice'!N$2:N$401,$X147)="","",INDEX('Per Invoice'!N$2:N$401,$X147)))</f>
        <v/>
      </c>
      <c r="O147" s="7">
        <f>IF($X147="","",IF(INDEX('Per Invoice'!O$2:O$401,$X147)="","",INDEX('Per Invoice'!O$2:O$401,$X147)))</f>
        <v/>
      </c>
      <c r="P147" s="7">
        <f>IF($X147="","",IF(INDEX('Per Invoice'!P$2:P$401,$X147)="","",INDEX('Per Invoice'!P$2:P$401,$X147)))</f>
        <v/>
      </c>
      <c r="Q147">
        <f>IF($X147="","",IF(INDEX('Per Invoice'!Q$2:Q$401,$X147)="","",INDEX('Per Invoice'!Q$2:Q$401,$X147)))</f>
        <v/>
      </c>
      <c r="R147" s="7">
        <f>IF($X147="","",IF(INDEX('Per Invoice'!R$2:R$401,$X147)="","",INDEX('Per Invoice'!R$2:R$401,$X147)))</f>
        <v/>
      </c>
      <c r="S147" s="7">
        <f>IF($X147="","",IF(INDEX('Per Invoice'!S$2:S$401,$X147)="","",INDEX('Per Invoice'!S$2:S$401,$X147)))</f>
        <v/>
      </c>
      <c r="T147" s="7">
        <f>IF($X147="","",IF(INDEX('Per Invoice'!T$2:T$401,$X147)="","",INDEX('Per Invoice'!T$2:T$401,$X147)))</f>
        <v/>
      </c>
      <c r="U147" s="7">
        <f>IF($X147="","",IF(INDEX('Per Invoice'!U$2:U$401,$X147)="","",INDEX('Per Invoice'!U$2:U$401,$X147)))</f>
        <v/>
      </c>
      <c r="V147" s="7">
        <f>IF($X147="","",IF(INDEX('Per Invoice'!V$2:V$401,$X147)="","",INDEX('Per Invoice'!V$2:V$401,$X147)))</f>
        <v/>
      </c>
      <c r="W147" s="7">
        <f>IF($X147="","",IF(INDEX('Per Invoice'!W$2:W$401,$X147)="","",INDEX('Per Invoice'!W$2:W$401,$X147)))</f>
        <v/>
      </c>
      <c r="X147" s="16">
        <f>IFERROR(MATCH(Settings!$C$33&amp;"|"&amp;ROWS($X$2:$X147),'Per Invoice'!$Y$2:$Y$401,0),"")</f>
        <v/>
      </c>
    </row>
    <row r="148">
      <c r="A148">
        <f>IF($X148="","",IF(INDEX('Per Invoice'!A$2:A$401,$X148)="","",INDEX('Per Invoice'!A$2:A$401,$X148)))</f>
        <v/>
      </c>
      <c r="B148">
        <f>IF($X148="","",IF(INDEX('Per Invoice'!B$2:B$401,$X148)="","",INDEX('Per Invoice'!B$2:B$401,$X148)))</f>
        <v/>
      </c>
      <c r="C148">
        <f>IF($X148="","",IF(INDEX('Per Invoice'!C$2:C$401,$X148)="","",INDEX('Per Invoice'!C$2:C$401,$X148)))</f>
        <v/>
      </c>
      <c r="D148">
        <f>IF($X148="","",IF(INDEX('Per Invoice'!D$2:D$401,$X148)="","",INDEX('Per Invoice'!D$2:D$401,$X148)))</f>
        <v/>
      </c>
      <c r="E148">
        <f>IF($X148="","",IF(INDEX('Per Invoice'!E$2:E$401,$X148)="","",INDEX('Per Invoice'!E$2:E$401,$X148)))</f>
        <v/>
      </c>
      <c r="F148">
        <f>IF($X148="","",IF(INDEX('Per Invoice'!F$2:F$401,$X148)="","",INDEX('Per Invoice'!F$2:F$401,$X148)))</f>
        <v/>
      </c>
      <c r="G148">
        <f>IF($X148="","",IF(INDEX('Per Invoice'!G$2:G$401,$X148)="","",INDEX('Per Invoice'!G$2:G$401,$X148)))</f>
        <v/>
      </c>
      <c r="H148">
        <f>IF($X148="","",IF(INDEX('Per Invoice'!H$2:H$401,$X148)="","",INDEX('Per Invoice'!H$2:H$401,$X148)))</f>
        <v/>
      </c>
      <c r="I148">
        <f>IF($X148="","",IF(INDEX('Per Invoice'!I$2:I$401,$X148)="","",INDEX('Per Invoice'!I$2:I$401,$X148)))</f>
        <v/>
      </c>
      <c r="J148">
        <f>IF($X148="","",IF(INDEX('Per Invoice'!J$2:J$401,$X148)="","",INDEX('Per Invoice'!J$2:J$401,$X148)))</f>
        <v/>
      </c>
      <c r="K148" s="14">
        <f>IF($X148="","",IF(INDEX('Per Invoice'!K$2:K$401,$X148)="","",INDEX('Per Invoice'!K$2:K$401,$X148)))</f>
        <v/>
      </c>
      <c r="L148">
        <f>IF($X148="","",IF(INDEX('Per Invoice'!L$2:L$401,$X148)="","",INDEX('Per Invoice'!L$2:L$401,$X148)))</f>
        <v/>
      </c>
      <c r="M148" s="7">
        <f>IF($X148="","",IF(INDEX('Per Invoice'!M$2:M$401,$X148)="","",INDEX('Per Invoice'!M$2:M$401,$X148)))</f>
        <v/>
      </c>
      <c r="N148">
        <f>IF($X148="","",IF(INDEX('Per Invoice'!N$2:N$401,$X148)="","",INDEX('Per Invoice'!N$2:N$401,$X148)))</f>
        <v/>
      </c>
      <c r="O148" s="7">
        <f>IF($X148="","",IF(INDEX('Per Invoice'!O$2:O$401,$X148)="","",INDEX('Per Invoice'!O$2:O$401,$X148)))</f>
        <v/>
      </c>
      <c r="P148" s="7">
        <f>IF($X148="","",IF(INDEX('Per Invoice'!P$2:P$401,$X148)="","",INDEX('Per Invoice'!P$2:P$401,$X148)))</f>
        <v/>
      </c>
      <c r="Q148">
        <f>IF($X148="","",IF(INDEX('Per Invoice'!Q$2:Q$401,$X148)="","",INDEX('Per Invoice'!Q$2:Q$401,$X148)))</f>
        <v/>
      </c>
      <c r="R148" s="7">
        <f>IF($X148="","",IF(INDEX('Per Invoice'!R$2:R$401,$X148)="","",INDEX('Per Invoice'!R$2:R$401,$X148)))</f>
        <v/>
      </c>
      <c r="S148" s="7">
        <f>IF($X148="","",IF(INDEX('Per Invoice'!S$2:S$401,$X148)="","",INDEX('Per Invoice'!S$2:S$401,$X148)))</f>
        <v/>
      </c>
      <c r="T148" s="7">
        <f>IF($X148="","",IF(INDEX('Per Invoice'!T$2:T$401,$X148)="","",INDEX('Per Invoice'!T$2:T$401,$X148)))</f>
        <v/>
      </c>
      <c r="U148" s="7">
        <f>IF($X148="","",IF(INDEX('Per Invoice'!U$2:U$401,$X148)="","",INDEX('Per Invoice'!U$2:U$401,$X148)))</f>
        <v/>
      </c>
      <c r="V148" s="7">
        <f>IF($X148="","",IF(INDEX('Per Invoice'!V$2:V$401,$X148)="","",INDEX('Per Invoice'!V$2:V$401,$X148)))</f>
        <v/>
      </c>
      <c r="W148" s="7">
        <f>IF($X148="","",IF(INDEX('Per Invoice'!W$2:W$401,$X148)="","",INDEX('Per Invoice'!W$2:W$401,$X148)))</f>
        <v/>
      </c>
      <c r="X148" s="16">
        <f>IFERROR(MATCH(Settings!$C$33&amp;"|"&amp;ROWS($X$2:$X148),'Per Invoice'!$Y$2:$Y$401,0),"")</f>
        <v/>
      </c>
    </row>
    <row r="149">
      <c r="A149">
        <f>IF($X149="","",IF(INDEX('Per Invoice'!A$2:A$401,$X149)="","",INDEX('Per Invoice'!A$2:A$401,$X149)))</f>
        <v/>
      </c>
      <c r="B149">
        <f>IF($X149="","",IF(INDEX('Per Invoice'!B$2:B$401,$X149)="","",INDEX('Per Invoice'!B$2:B$401,$X149)))</f>
        <v/>
      </c>
      <c r="C149">
        <f>IF($X149="","",IF(INDEX('Per Invoice'!C$2:C$401,$X149)="","",INDEX('Per Invoice'!C$2:C$401,$X149)))</f>
        <v/>
      </c>
      <c r="D149">
        <f>IF($X149="","",IF(INDEX('Per Invoice'!D$2:D$401,$X149)="","",INDEX('Per Invoice'!D$2:D$401,$X149)))</f>
        <v/>
      </c>
      <c r="E149">
        <f>IF($X149="","",IF(INDEX('Per Invoice'!E$2:E$401,$X149)="","",INDEX('Per Invoice'!E$2:E$401,$X149)))</f>
        <v/>
      </c>
      <c r="F149">
        <f>IF($X149="","",IF(INDEX('Per Invoice'!F$2:F$401,$X149)="","",INDEX('Per Invoice'!F$2:F$401,$X149)))</f>
        <v/>
      </c>
      <c r="G149">
        <f>IF($X149="","",IF(INDEX('Per Invoice'!G$2:G$401,$X149)="","",INDEX('Per Invoice'!G$2:G$401,$X149)))</f>
        <v/>
      </c>
      <c r="H149">
        <f>IF($X149="","",IF(INDEX('Per Invoice'!H$2:H$401,$X149)="","",INDEX('Per Invoice'!H$2:H$401,$X149)))</f>
        <v/>
      </c>
      <c r="I149">
        <f>IF($X149="","",IF(INDEX('Per Invoice'!I$2:I$401,$X149)="","",INDEX('Per Invoice'!I$2:I$401,$X149)))</f>
        <v/>
      </c>
      <c r="J149">
        <f>IF($X149="","",IF(INDEX('Per Invoice'!J$2:J$401,$X149)="","",INDEX('Per Invoice'!J$2:J$401,$X149)))</f>
        <v/>
      </c>
      <c r="K149" s="14">
        <f>IF($X149="","",IF(INDEX('Per Invoice'!K$2:K$401,$X149)="","",INDEX('Per Invoice'!K$2:K$401,$X149)))</f>
        <v/>
      </c>
      <c r="L149">
        <f>IF($X149="","",IF(INDEX('Per Invoice'!L$2:L$401,$X149)="","",INDEX('Per Invoice'!L$2:L$401,$X149)))</f>
        <v/>
      </c>
      <c r="M149" s="7">
        <f>IF($X149="","",IF(INDEX('Per Invoice'!M$2:M$401,$X149)="","",INDEX('Per Invoice'!M$2:M$401,$X149)))</f>
        <v/>
      </c>
      <c r="N149">
        <f>IF($X149="","",IF(INDEX('Per Invoice'!N$2:N$401,$X149)="","",INDEX('Per Invoice'!N$2:N$401,$X149)))</f>
        <v/>
      </c>
      <c r="O149" s="7">
        <f>IF($X149="","",IF(INDEX('Per Invoice'!O$2:O$401,$X149)="","",INDEX('Per Invoice'!O$2:O$401,$X149)))</f>
        <v/>
      </c>
      <c r="P149" s="7">
        <f>IF($X149="","",IF(INDEX('Per Invoice'!P$2:P$401,$X149)="","",INDEX('Per Invoice'!P$2:P$401,$X149)))</f>
        <v/>
      </c>
      <c r="Q149">
        <f>IF($X149="","",IF(INDEX('Per Invoice'!Q$2:Q$401,$X149)="","",INDEX('Per Invoice'!Q$2:Q$401,$X149)))</f>
        <v/>
      </c>
      <c r="R149" s="7">
        <f>IF($X149="","",IF(INDEX('Per Invoice'!R$2:R$401,$X149)="","",INDEX('Per Invoice'!R$2:R$401,$X149)))</f>
        <v/>
      </c>
      <c r="S149" s="7">
        <f>IF($X149="","",IF(INDEX('Per Invoice'!S$2:S$401,$X149)="","",INDEX('Per Invoice'!S$2:S$401,$X149)))</f>
        <v/>
      </c>
      <c r="T149" s="7">
        <f>IF($X149="","",IF(INDEX('Per Invoice'!T$2:T$401,$X149)="","",INDEX('Per Invoice'!T$2:T$401,$X149)))</f>
        <v/>
      </c>
      <c r="U149" s="7">
        <f>IF($X149="","",IF(INDEX('Per Invoice'!U$2:U$401,$X149)="","",INDEX('Per Invoice'!U$2:U$401,$X149)))</f>
        <v/>
      </c>
      <c r="V149" s="7">
        <f>IF($X149="","",IF(INDEX('Per Invoice'!V$2:V$401,$X149)="","",INDEX('Per Invoice'!V$2:V$401,$X149)))</f>
        <v/>
      </c>
      <c r="W149" s="7">
        <f>IF($X149="","",IF(INDEX('Per Invoice'!W$2:W$401,$X149)="","",INDEX('Per Invoice'!W$2:W$401,$X149)))</f>
        <v/>
      </c>
      <c r="X149" s="16">
        <f>IFERROR(MATCH(Settings!$C$33&amp;"|"&amp;ROWS($X$2:$X149),'Per Invoice'!$Y$2:$Y$401,0),"")</f>
        <v/>
      </c>
    </row>
    <row r="150">
      <c r="A150">
        <f>IF($X150="","",IF(INDEX('Per Invoice'!A$2:A$401,$X150)="","",INDEX('Per Invoice'!A$2:A$401,$X150)))</f>
        <v/>
      </c>
      <c r="B150">
        <f>IF($X150="","",IF(INDEX('Per Invoice'!B$2:B$401,$X150)="","",INDEX('Per Invoice'!B$2:B$401,$X150)))</f>
        <v/>
      </c>
      <c r="C150">
        <f>IF($X150="","",IF(INDEX('Per Invoice'!C$2:C$401,$X150)="","",INDEX('Per Invoice'!C$2:C$401,$X150)))</f>
        <v/>
      </c>
      <c r="D150">
        <f>IF($X150="","",IF(INDEX('Per Invoice'!D$2:D$401,$X150)="","",INDEX('Per Invoice'!D$2:D$401,$X150)))</f>
        <v/>
      </c>
      <c r="E150">
        <f>IF($X150="","",IF(INDEX('Per Invoice'!E$2:E$401,$X150)="","",INDEX('Per Invoice'!E$2:E$401,$X150)))</f>
        <v/>
      </c>
      <c r="F150">
        <f>IF($X150="","",IF(INDEX('Per Invoice'!F$2:F$401,$X150)="","",INDEX('Per Invoice'!F$2:F$401,$X150)))</f>
        <v/>
      </c>
      <c r="G150">
        <f>IF($X150="","",IF(INDEX('Per Invoice'!G$2:G$401,$X150)="","",INDEX('Per Invoice'!G$2:G$401,$X150)))</f>
        <v/>
      </c>
      <c r="H150">
        <f>IF($X150="","",IF(INDEX('Per Invoice'!H$2:H$401,$X150)="","",INDEX('Per Invoice'!H$2:H$401,$X150)))</f>
        <v/>
      </c>
      <c r="I150">
        <f>IF($X150="","",IF(INDEX('Per Invoice'!I$2:I$401,$X150)="","",INDEX('Per Invoice'!I$2:I$401,$X150)))</f>
        <v/>
      </c>
      <c r="J150">
        <f>IF($X150="","",IF(INDEX('Per Invoice'!J$2:J$401,$X150)="","",INDEX('Per Invoice'!J$2:J$401,$X150)))</f>
        <v/>
      </c>
      <c r="K150" s="14">
        <f>IF($X150="","",IF(INDEX('Per Invoice'!K$2:K$401,$X150)="","",INDEX('Per Invoice'!K$2:K$401,$X150)))</f>
        <v/>
      </c>
      <c r="L150">
        <f>IF($X150="","",IF(INDEX('Per Invoice'!L$2:L$401,$X150)="","",INDEX('Per Invoice'!L$2:L$401,$X150)))</f>
        <v/>
      </c>
      <c r="M150" s="7">
        <f>IF($X150="","",IF(INDEX('Per Invoice'!M$2:M$401,$X150)="","",INDEX('Per Invoice'!M$2:M$401,$X150)))</f>
        <v/>
      </c>
      <c r="N150">
        <f>IF($X150="","",IF(INDEX('Per Invoice'!N$2:N$401,$X150)="","",INDEX('Per Invoice'!N$2:N$401,$X150)))</f>
        <v/>
      </c>
      <c r="O150" s="7">
        <f>IF($X150="","",IF(INDEX('Per Invoice'!O$2:O$401,$X150)="","",INDEX('Per Invoice'!O$2:O$401,$X150)))</f>
        <v/>
      </c>
      <c r="P150" s="7">
        <f>IF($X150="","",IF(INDEX('Per Invoice'!P$2:P$401,$X150)="","",INDEX('Per Invoice'!P$2:P$401,$X150)))</f>
        <v/>
      </c>
      <c r="Q150">
        <f>IF($X150="","",IF(INDEX('Per Invoice'!Q$2:Q$401,$X150)="","",INDEX('Per Invoice'!Q$2:Q$401,$X150)))</f>
        <v/>
      </c>
      <c r="R150" s="7">
        <f>IF($X150="","",IF(INDEX('Per Invoice'!R$2:R$401,$X150)="","",INDEX('Per Invoice'!R$2:R$401,$X150)))</f>
        <v/>
      </c>
      <c r="S150" s="7">
        <f>IF($X150="","",IF(INDEX('Per Invoice'!S$2:S$401,$X150)="","",INDEX('Per Invoice'!S$2:S$401,$X150)))</f>
        <v/>
      </c>
      <c r="T150" s="7">
        <f>IF($X150="","",IF(INDEX('Per Invoice'!T$2:T$401,$X150)="","",INDEX('Per Invoice'!T$2:T$401,$X150)))</f>
        <v/>
      </c>
      <c r="U150" s="7">
        <f>IF($X150="","",IF(INDEX('Per Invoice'!U$2:U$401,$X150)="","",INDEX('Per Invoice'!U$2:U$401,$X150)))</f>
        <v/>
      </c>
      <c r="V150" s="7">
        <f>IF($X150="","",IF(INDEX('Per Invoice'!V$2:V$401,$X150)="","",INDEX('Per Invoice'!V$2:V$401,$X150)))</f>
        <v/>
      </c>
      <c r="W150" s="7">
        <f>IF($X150="","",IF(INDEX('Per Invoice'!W$2:W$401,$X150)="","",INDEX('Per Invoice'!W$2:W$401,$X150)))</f>
        <v/>
      </c>
      <c r="X150" s="16">
        <f>IFERROR(MATCH(Settings!$C$33&amp;"|"&amp;ROWS($X$2:$X150),'Per Invoice'!$Y$2:$Y$401,0),"")</f>
        <v/>
      </c>
    </row>
    <row r="151">
      <c r="A151">
        <f>IF($X151="","",IF(INDEX('Per Invoice'!A$2:A$401,$X151)="","",INDEX('Per Invoice'!A$2:A$401,$X151)))</f>
        <v/>
      </c>
      <c r="B151">
        <f>IF($X151="","",IF(INDEX('Per Invoice'!B$2:B$401,$X151)="","",INDEX('Per Invoice'!B$2:B$401,$X151)))</f>
        <v/>
      </c>
      <c r="C151">
        <f>IF($X151="","",IF(INDEX('Per Invoice'!C$2:C$401,$X151)="","",INDEX('Per Invoice'!C$2:C$401,$X151)))</f>
        <v/>
      </c>
      <c r="D151">
        <f>IF($X151="","",IF(INDEX('Per Invoice'!D$2:D$401,$X151)="","",INDEX('Per Invoice'!D$2:D$401,$X151)))</f>
        <v/>
      </c>
      <c r="E151">
        <f>IF($X151="","",IF(INDEX('Per Invoice'!E$2:E$401,$X151)="","",INDEX('Per Invoice'!E$2:E$401,$X151)))</f>
        <v/>
      </c>
      <c r="F151">
        <f>IF($X151="","",IF(INDEX('Per Invoice'!F$2:F$401,$X151)="","",INDEX('Per Invoice'!F$2:F$401,$X151)))</f>
        <v/>
      </c>
      <c r="G151">
        <f>IF($X151="","",IF(INDEX('Per Invoice'!G$2:G$401,$X151)="","",INDEX('Per Invoice'!G$2:G$401,$X151)))</f>
        <v/>
      </c>
      <c r="H151">
        <f>IF($X151="","",IF(INDEX('Per Invoice'!H$2:H$401,$X151)="","",INDEX('Per Invoice'!H$2:H$401,$X151)))</f>
        <v/>
      </c>
      <c r="I151">
        <f>IF($X151="","",IF(INDEX('Per Invoice'!I$2:I$401,$X151)="","",INDEX('Per Invoice'!I$2:I$401,$X151)))</f>
        <v/>
      </c>
      <c r="J151">
        <f>IF($X151="","",IF(INDEX('Per Invoice'!J$2:J$401,$X151)="","",INDEX('Per Invoice'!J$2:J$401,$X151)))</f>
        <v/>
      </c>
      <c r="K151" s="14">
        <f>IF($X151="","",IF(INDEX('Per Invoice'!K$2:K$401,$X151)="","",INDEX('Per Invoice'!K$2:K$401,$X151)))</f>
        <v/>
      </c>
      <c r="L151">
        <f>IF($X151="","",IF(INDEX('Per Invoice'!L$2:L$401,$X151)="","",INDEX('Per Invoice'!L$2:L$401,$X151)))</f>
        <v/>
      </c>
      <c r="M151" s="7">
        <f>IF($X151="","",IF(INDEX('Per Invoice'!M$2:M$401,$X151)="","",INDEX('Per Invoice'!M$2:M$401,$X151)))</f>
        <v/>
      </c>
      <c r="N151">
        <f>IF($X151="","",IF(INDEX('Per Invoice'!N$2:N$401,$X151)="","",INDEX('Per Invoice'!N$2:N$401,$X151)))</f>
        <v/>
      </c>
      <c r="O151" s="7">
        <f>IF($X151="","",IF(INDEX('Per Invoice'!O$2:O$401,$X151)="","",INDEX('Per Invoice'!O$2:O$401,$X151)))</f>
        <v/>
      </c>
      <c r="P151" s="7">
        <f>IF($X151="","",IF(INDEX('Per Invoice'!P$2:P$401,$X151)="","",INDEX('Per Invoice'!P$2:P$401,$X151)))</f>
        <v/>
      </c>
      <c r="Q151">
        <f>IF($X151="","",IF(INDEX('Per Invoice'!Q$2:Q$401,$X151)="","",INDEX('Per Invoice'!Q$2:Q$401,$X151)))</f>
        <v/>
      </c>
      <c r="R151" s="7">
        <f>IF($X151="","",IF(INDEX('Per Invoice'!R$2:R$401,$X151)="","",INDEX('Per Invoice'!R$2:R$401,$X151)))</f>
        <v/>
      </c>
      <c r="S151" s="7">
        <f>IF($X151="","",IF(INDEX('Per Invoice'!S$2:S$401,$X151)="","",INDEX('Per Invoice'!S$2:S$401,$X151)))</f>
        <v/>
      </c>
      <c r="T151" s="7">
        <f>IF($X151="","",IF(INDEX('Per Invoice'!T$2:T$401,$X151)="","",INDEX('Per Invoice'!T$2:T$401,$X151)))</f>
        <v/>
      </c>
      <c r="U151" s="7">
        <f>IF($X151="","",IF(INDEX('Per Invoice'!U$2:U$401,$X151)="","",INDEX('Per Invoice'!U$2:U$401,$X151)))</f>
        <v/>
      </c>
      <c r="V151" s="7">
        <f>IF($X151="","",IF(INDEX('Per Invoice'!V$2:V$401,$X151)="","",INDEX('Per Invoice'!V$2:V$401,$X151)))</f>
        <v/>
      </c>
      <c r="W151" s="7">
        <f>IF($X151="","",IF(INDEX('Per Invoice'!W$2:W$401,$X151)="","",INDEX('Per Invoice'!W$2:W$401,$X151)))</f>
        <v/>
      </c>
      <c r="X151" s="16">
        <f>IFERROR(MATCH(Settings!$C$33&amp;"|"&amp;ROWS($X$2:$X151),'Per Invoice'!$Y$2:$Y$401,0),"")</f>
        <v/>
      </c>
    </row>
    <row r="152">
      <c r="A152">
        <f>IF($X152="","",IF(INDEX('Per Invoice'!A$2:A$401,$X152)="","",INDEX('Per Invoice'!A$2:A$401,$X152)))</f>
        <v/>
      </c>
      <c r="B152">
        <f>IF($X152="","",IF(INDEX('Per Invoice'!B$2:B$401,$X152)="","",INDEX('Per Invoice'!B$2:B$401,$X152)))</f>
        <v/>
      </c>
      <c r="C152">
        <f>IF($X152="","",IF(INDEX('Per Invoice'!C$2:C$401,$X152)="","",INDEX('Per Invoice'!C$2:C$401,$X152)))</f>
        <v/>
      </c>
      <c r="D152">
        <f>IF($X152="","",IF(INDEX('Per Invoice'!D$2:D$401,$X152)="","",INDEX('Per Invoice'!D$2:D$401,$X152)))</f>
        <v/>
      </c>
      <c r="E152">
        <f>IF($X152="","",IF(INDEX('Per Invoice'!E$2:E$401,$X152)="","",INDEX('Per Invoice'!E$2:E$401,$X152)))</f>
        <v/>
      </c>
      <c r="F152">
        <f>IF($X152="","",IF(INDEX('Per Invoice'!F$2:F$401,$X152)="","",INDEX('Per Invoice'!F$2:F$401,$X152)))</f>
        <v/>
      </c>
      <c r="G152">
        <f>IF($X152="","",IF(INDEX('Per Invoice'!G$2:G$401,$X152)="","",INDEX('Per Invoice'!G$2:G$401,$X152)))</f>
        <v/>
      </c>
      <c r="H152">
        <f>IF($X152="","",IF(INDEX('Per Invoice'!H$2:H$401,$X152)="","",INDEX('Per Invoice'!H$2:H$401,$X152)))</f>
        <v/>
      </c>
      <c r="I152">
        <f>IF($X152="","",IF(INDEX('Per Invoice'!I$2:I$401,$X152)="","",INDEX('Per Invoice'!I$2:I$401,$X152)))</f>
        <v/>
      </c>
      <c r="J152">
        <f>IF($X152="","",IF(INDEX('Per Invoice'!J$2:J$401,$X152)="","",INDEX('Per Invoice'!J$2:J$401,$X152)))</f>
        <v/>
      </c>
      <c r="K152" s="14">
        <f>IF($X152="","",IF(INDEX('Per Invoice'!K$2:K$401,$X152)="","",INDEX('Per Invoice'!K$2:K$401,$X152)))</f>
        <v/>
      </c>
      <c r="L152">
        <f>IF($X152="","",IF(INDEX('Per Invoice'!L$2:L$401,$X152)="","",INDEX('Per Invoice'!L$2:L$401,$X152)))</f>
        <v/>
      </c>
      <c r="M152" s="7">
        <f>IF($X152="","",IF(INDEX('Per Invoice'!M$2:M$401,$X152)="","",INDEX('Per Invoice'!M$2:M$401,$X152)))</f>
        <v/>
      </c>
      <c r="N152">
        <f>IF($X152="","",IF(INDEX('Per Invoice'!N$2:N$401,$X152)="","",INDEX('Per Invoice'!N$2:N$401,$X152)))</f>
        <v/>
      </c>
      <c r="O152" s="7">
        <f>IF($X152="","",IF(INDEX('Per Invoice'!O$2:O$401,$X152)="","",INDEX('Per Invoice'!O$2:O$401,$X152)))</f>
        <v/>
      </c>
      <c r="P152" s="7">
        <f>IF($X152="","",IF(INDEX('Per Invoice'!P$2:P$401,$X152)="","",INDEX('Per Invoice'!P$2:P$401,$X152)))</f>
        <v/>
      </c>
      <c r="Q152">
        <f>IF($X152="","",IF(INDEX('Per Invoice'!Q$2:Q$401,$X152)="","",INDEX('Per Invoice'!Q$2:Q$401,$X152)))</f>
        <v/>
      </c>
      <c r="R152" s="7">
        <f>IF($X152="","",IF(INDEX('Per Invoice'!R$2:R$401,$X152)="","",INDEX('Per Invoice'!R$2:R$401,$X152)))</f>
        <v/>
      </c>
      <c r="S152" s="7">
        <f>IF($X152="","",IF(INDEX('Per Invoice'!S$2:S$401,$X152)="","",INDEX('Per Invoice'!S$2:S$401,$X152)))</f>
        <v/>
      </c>
      <c r="T152" s="7">
        <f>IF($X152="","",IF(INDEX('Per Invoice'!T$2:T$401,$X152)="","",INDEX('Per Invoice'!T$2:T$401,$X152)))</f>
        <v/>
      </c>
      <c r="U152" s="7">
        <f>IF($X152="","",IF(INDEX('Per Invoice'!U$2:U$401,$X152)="","",INDEX('Per Invoice'!U$2:U$401,$X152)))</f>
        <v/>
      </c>
      <c r="V152" s="7">
        <f>IF($X152="","",IF(INDEX('Per Invoice'!V$2:V$401,$X152)="","",INDEX('Per Invoice'!V$2:V$401,$X152)))</f>
        <v/>
      </c>
      <c r="W152" s="7">
        <f>IF($X152="","",IF(INDEX('Per Invoice'!W$2:W$401,$X152)="","",INDEX('Per Invoice'!W$2:W$401,$X152)))</f>
        <v/>
      </c>
      <c r="X152" s="16">
        <f>IFERROR(MATCH(Settings!$C$33&amp;"|"&amp;ROWS($X$2:$X152),'Per Invoice'!$Y$2:$Y$401,0),"")</f>
        <v/>
      </c>
    </row>
    <row r="153">
      <c r="A153">
        <f>IF($X153="","",IF(INDEX('Per Invoice'!A$2:A$401,$X153)="","",INDEX('Per Invoice'!A$2:A$401,$X153)))</f>
        <v/>
      </c>
      <c r="B153">
        <f>IF($X153="","",IF(INDEX('Per Invoice'!B$2:B$401,$X153)="","",INDEX('Per Invoice'!B$2:B$401,$X153)))</f>
        <v/>
      </c>
      <c r="C153">
        <f>IF($X153="","",IF(INDEX('Per Invoice'!C$2:C$401,$X153)="","",INDEX('Per Invoice'!C$2:C$401,$X153)))</f>
        <v/>
      </c>
      <c r="D153">
        <f>IF($X153="","",IF(INDEX('Per Invoice'!D$2:D$401,$X153)="","",INDEX('Per Invoice'!D$2:D$401,$X153)))</f>
        <v/>
      </c>
      <c r="E153">
        <f>IF($X153="","",IF(INDEX('Per Invoice'!E$2:E$401,$X153)="","",INDEX('Per Invoice'!E$2:E$401,$X153)))</f>
        <v/>
      </c>
      <c r="F153">
        <f>IF($X153="","",IF(INDEX('Per Invoice'!F$2:F$401,$X153)="","",INDEX('Per Invoice'!F$2:F$401,$X153)))</f>
        <v/>
      </c>
      <c r="G153">
        <f>IF($X153="","",IF(INDEX('Per Invoice'!G$2:G$401,$X153)="","",INDEX('Per Invoice'!G$2:G$401,$X153)))</f>
        <v/>
      </c>
      <c r="H153">
        <f>IF($X153="","",IF(INDEX('Per Invoice'!H$2:H$401,$X153)="","",INDEX('Per Invoice'!H$2:H$401,$X153)))</f>
        <v/>
      </c>
      <c r="I153">
        <f>IF($X153="","",IF(INDEX('Per Invoice'!I$2:I$401,$X153)="","",INDEX('Per Invoice'!I$2:I$401,$X153)))</f>
        <v/>
      </c>
      <c r="J153">
        <f>IF($X153="","",IF(INDEX('Per Invoice'!J$2:J$401,$X153)="","",INDEX('Per Invoice'!J$2:J$401,$X153)))</f>
        <v/>
      </c>
      <c r="K153" s="14">
        <f>IF($X153="","",IF(INDEX('Per Invoice'!K$2:K$401,$X153)="","",INDEX('Per Invoice'!K$2:K$401,$X153)))</f>
        <v/>
      </c>
      <c r="L153">
        <f>IF($X153="","",IF(INDEX('Per Invoice'!L$2:L$401,$X153)="","",INDEX('Per Invoice'!L$2:L$401,$X153)))</f>
        <v/>
      </c>
      <c r="M153" s="7">
        <f>IF($X153="","",IF(INDEX('Per Invoice'!M$2:M$401,$X153)="","",INDEX('Per Invoice'!M$2:M$401,$X153)))</f>
        <v/>
      </c>
      <c r="N153">
        <f>IF($X153="","",IF(INDEX('Per Invoice'!N$2:N$401,$X153)="","",INDEX('Per Invoice'!N$2:N$401,$X153)))</f>
        <v/>
      </c>
      <c r="O153" s="7">
        <f>IF($X153="","",IF(INDEX('Per Invoice'!O$2:O$401,$X153)="","",INDEX('Per Invoice'!O$2:O$401,$X153)))</f>
        <v/>
      </c>
      <c r="P153" s="7">
        <f>IF($X153="","",IF(INDEX('Per Invoice'!P$2:P$401,$X153)="","",INDEX('Per Invoice'!P$2:P$401,$X153)))</f>
        <v/>
      </c>
      <c r="Q153">
        <f>IF($X153="","",IF(INDEX('Per Invoice'!Q$2:Q$401,$X153)="","",INDEX('Per Invoice'!Q$2:Q$401,$X153)))</f>
        <v/>
      </c>
      <c r="R153" s="7">
        <f>IF($X153="","",IF(INDEX('Per Invoice'!R$2:R$401,$X153)="","",INDEX('Per Invoice'!R$2:R$401,$X153)))</f>
        <v/>
      </c>
      <c r="S153" s="7">
        <f>IF($X153="","",IF(INDEX('Per Invoice'!S$2:S$401,$X153)="","",INDEX('Per Invoice'!S$2:S$401,$X153)))</f>
        <v/>
      </c>
      <c r="T153" s="7">
        <f>IF($X153="","",IF(INDEX('Per Invoice'!T$2:T$401,$X153)="","",INDEX('Per Invoice'!T$2:T$401,$X153)))</f>
        <v/>
      </c>
      <c r="U153" s="7">
        <f>IF($X153="","",IF(INDEX('Per Invoice'!U$2:U$401,$X153)="","",INDEX('Per Invoice'!U$2:U$401,$X153)))</f>
        <v/>
      </c>
      <c r="V153" s="7">
        <f>IF($X153="","",IF(INDEX('Per Invoice'!V$2:V$401,$X153)="","",INDEX('Per Invoice'!V$2:V$401,$X153)))</f>
        <v/>
      </c>
      <c r="W153" s="7">
        <f>IF($X153="","",IF(INDEX('Per Invoice'!W$2:W$401,$X153)="","",INDEX('Per Invoice'!W$2:W$401,$X153)))</f>
        <v/>
      </c>
      <c r="X153" s="16">
        <f>IFERROR(MATCH(Settings!$C$33&amp;"|"&amp;ROWS($X$2:$X153),'Per Invoice'!$Y$2:$Y$401,0),"")</f>
        <v/>
      </c>
    </row>
    <row r="154">
      <c r="A154">
        <f>IF($X154="","",IF(INDEX('Per Invoice'!A$2:A$401,$X154)="","",INDEX('Per Invoice'!A$2:A$401,$X154)))</f>
        <v/>
      </c>
      <c r="B154">
        <f>IF($X154="","",IF(INDEX('Per Invoice'!B$2:B$401,$X154)="","",INDEX('Per Invoice'!B$2:B$401,$X154)))</f>
        <v/>
      </c>
      <c r="C154">
        <f>IF($X154="","",IF(INDEX('Per Invoice'!C$2:C$401,$X154)="","",INDEX('Per Invoice'!C$2:C$401,$X154)))</f>
        <v/>
      </c>
      <c r="D154">
        <f>IF($X154="","",IF(INDEX('Per Invoice'!D$2:D$401,$X154)="","",INDEX('Per Invoice'!D$2:D$401,$X154)))</f>
        <v/>
      </c>
      <c r="E154">
        <f>IF($X154="","",IF(INDEX('Per Invoice'!E$2:E$401,$X154)="","",INDEX('Per Invoice'!E$2:E$401,$X154)))</f>
        <v/>
      </c>
      <c r="F154">
        <f>IF($X154="","",IF(INDEX('Per Invoice'!F$2:F$401,$X154)="","",INDEX('Per Invoice'!F$2:F$401,$X154)))</f>
        <v/>
      </c>
      <c r="G154">
        <f>IF($X154="","",IF(INDEX('Per Invoice'!G$2:G$401,$X154)="","",INDEX('Per Invoice'!G$2:G$401,$X154)))</f>
        <v/>
      </c>
      <c r="H154">
        <f>IF($X154="","",IF(INDEX('Per Invoice'!H$2:H$401,$X154)="","",INDEX('Per Invoice'!H$2:H$401,$X154)))</f>
        <v/>
      </c>
      <c r="I154">
        <f>IF($X154="","",IF(INDEX('Per Invoice'!I$2:I$401,$X154)="","",INDEX('Per Invoice'!I$2:I$401,$X154)))</f>
        <v/>
      </c>
      <c r="J154">
        <f>IF($X154="","",IF(INDEX('Per Invoice'!J$2:J$401,$X154)="","",INDEX('Per Invoice'!J$2:J$401,$X154)))</f>
        <v/>
      </c>
      <c r="K154" s="14">
        <f>IF($X154="","",IF(INDEX('Per Invoice'!K$2:K$401,$X154)="","",INDEX('Per Invoice'!K$2:K$401,$X154)))</f>
        <v/>
      </c>
      <c r="L154">
        <f>IF($X154="","",IF(INDEX('Per Invoice'!L$2:L$401,$X154)="","",INDEX('Per Invoice'!L$2:L$401,$X154)))</f>
        <v/>
      </c>
      <c r="M154" s="7">
        <f>IF($X154="","",IF(INDEX('Per Invoice'!M$2:M$401,$X154)="","",INDEX('Per Invoice'!M$2:M$401,$X154)))</f>
        <v/>
      </c>
      <c r="N154">
        <f>IF($X154="","",IF(INDEX('Per Invoice'!N$2:N$401,$X154)="","",INDEX('Per Invoice'!N$2:N$401,$X154)))</f>
        <v/>
      </c>
      <c r="O154" s="7">
        <f>IF($X154="","",IF(INDEX('Per Invoice'!O$2:O$401,$X154)="","",INDEX('Per Invoice'!O$2:O$401,$X154)))</f>
        <v/>
      </c>
      <c r="P154" s="7">
        <f>IF($X154="","",IF(INDEX('Per Invoice'!P$2:P$401,$X154)="","",INDEX('Per Invoice'!P$2:P$401,$X154)))</f>
        <v/>
      </c>
      <c r="Q154">
        <f>IF($X154="","",IF(INDEX('Per Invoice'!Q$2:Q$401,$X154)="","",INDEX('Per Invoice'!Q$2:Q$401,$X154)))</f>
        <v/>
      </c>
      <c r="R154" s="7">
        <f>IF($X154="","",IF(INDEX('Per Invoice'!R$2:R$401,$X154)="","",INDEX('Per Invoice'!R$2:R$401,$X154)))</f>
        <v/>
      </c>
      <c r="S154" s="7">
        <f>IF($X154="","",IF(INDEX('Per Invoice'!S$2:S$401,$X154)="","",INDEX('Per Invoice'!S$2:S$401,$X154)))</f>
        <v/>
      </c>
      <c r="T154" s="7">
        <f>IF($X154="","",IF(INDEX('Per Invoice'!T$2:T$401,$X154)="","",INDEX('Per Invoice'!T$2:T$401,$X154)))</f>
        <v/>
      </c>
      <c r="U154" s="7">
        <f>IF($X154="","",IF(INDEX('Per Invoice'!U$2:U$401,$X154)="","",INDEX('Per Invoice'!U$2:U$401,$X154)))</f>
        <v/>
      </c>
      <c r="V154" s="7">
        <f>IF($X154="","",IF(INDEX('Per Invoice'!V$2:V$401,$X154)="","",INDEX('Per Invoice'!V$2:V$401,$X154)))</f>
        <v/>
      </c>
      <c r="W154" s="7">
        <f>IF($X154="","",IF(INDEX('Per Invoice'!W$2:W$401,$X154)="","",INDEX('Per Invoice'!W$2:W$401,$X154)))</f>
        <v/>
      </c>
      <c r="X154" s="16">
        <f>IFERROR(MATCH(Settings!$C$33&amp;"|"&amp;ROWS($X$2:$X154),'Per Invoice'!$Y$2:$Y$401,0),"")</f>
        <v/>
      </c>
    </row>
    <row r="155">
      <c r="A155">
        <f>IF($X155="","",IF(INDEX('Per Invoice'!A$2:A$401,$X155)="","",INDEX('Per Invoice'!A$2:A$401,$X155)))</f>
        <v/>
      </c>
      <c r="B155">
        <f>IF($X155="","",IF(INDEX('Per Invoice'!B$2:B$401,$X155)="","",INDEX('Per Invoice'!B$2:B$401,$X155)))</f>
        <v/>
      </c>
      <c r="C155">
        <f>IF($X155="","",IF(INDEX('Per Invoice'!C$2:C$401,$X155)="","",INDEX('Per Invoice'!C$2:C$401,$X155)))</f>
        <v/>
      </c>
      <c r="D155">
        <f>IF($X155="","",IF(INDEX('Per Invoice'!D$2:D$401,$X155)="","",INDEX('Per Invoice'!D$2:D$401,$X155)))</f>
        <v/>
      </c>
      <c r="E155">
        <f>IF($X155="","",IF(INDEX('Per Invoice'!E$2:E$401,$X155)="","",INDEX('Per Invoice'!E$2:E$401,$X155)))</f>
        <v/>
      </c>
      <c r="F155">
        <f>IF($X155="","",IF(INDEX('Per Invoice'!F$2:F$401,$X155)="","",INDEX('Per Invoice'!F$2:F$401,$X155)))</f>
        <v/>
      </c>
      <c r="G155">
        <f>IF($X155="","",IF(INDEX('Per Invoice'!G$2:G$401,$X155)="","",INDEX('Per Invoice'!G$2:G$401,$X155)))</f>
        <v/>
      </c>
      <c r="H155">
        <f>IF($X155="","",IF(INDEX('Per Invoice'!H$2:H$401,$X155)="","",INDEX('Per Invoice'!H$2:H$401,$X155)))</f>
        <v/>
      </c>
      <c r="I155">
        <f>IF($X155="","",IF(INDEX('Per Invoice'!I$2:I$401,$X155)="","",INDEX('Per Invoice'!I$2:I$401,$X155)))</f>
        <v/>
      </c>
      <c r="J155">
        <f>IF($X155="","",IF(INDEX('Per Invoice'!J$2:J$401,$X155)="","",INDEX('Per Invoice'!J$2:J$401,$X155)))</f>
        <v/>
      </c>
      <c r="K155" s="14">
        <f>IF($X155="","",IF(INDEX('Per Invoice'!K$2:K$401,$X155)="","",INDEX('Per Invoice'!K$2:K$401,$X155)))</f>
        <v/>
      </c>
      <c r="L155">
        <f>IF($X155="","",IF(INDEX('Per Invoice'!L$2:L$401,$X155)="","",INDEX('Per Invoice'!L$2:L$401,$X155)))</f>
        <v/>
      </c>
      <c r="M155" s="7">
        <f>IF($X155="","",IF(INDEX('Per Invoice'!M$2:M$401,$X155)="","",INDEX('Per Invoice'!M$2:M$401,$X155)))</f>
        <v/>
      </c>
      <c r="N155">
        <f>IF($X155="","",IF(INDEX('Per Invoice'!N$2:N$401,$X155)="","",INDEX('Per Invoice'!N$2:N$401,$X155)))</f>
        <v/>
      </c>
      <c r="O155" s="7">
        <f>IF($X155="","",IF(INDEX('Per Invoice'!O$2:O$401,$X155)="","",INDEX('Per Invoice'!O$2:O$401,$X155)))</f>
        <v/>
      </c>
      <c r="P155" s="7">
        <f>IF($X155="","",IF(INDEX('Per Invoice'!P$2:P$401,$X155)="","",INDEX('Per Invoice'!P$2:P$401,$X155)))</f>
        <v/>
      </c>
      <c r="Q155">
        <f>IF($X155="","",IF(INDEX('Per Invoice'!Q$2:Q$401,$X155)="","",INDEX('Per Invoice'!Q$2:Q$401,$X155)))</f>
        <v/>
      </c>
      <c r="R155" s="7">
        <f>IF($X155="","",IF(INDEX('Per Invoice'!R$2:R$401,$X155)="","",INDEX('Per Invoice'!R$2:R$401,$X155)))</f>
        <v/>
      </c>
      <c r="S155" s="7">
        <f>IF($X155="","",IF(INDEX('Per Invoice'!S$2:S$401,$X155)="","",INDEX('Per Invoice'!S$2:S$401,$X155)))</f>
        <v/>
      </c>
      <c r="T155" s="7">
        <f>IF($X155="","",IF(INDEX('Per Invoice'!T$2:T$401,$X155)="","",INDEX('Per Invoice'!T$2:T$401,$X155)))</f>
        <v/>
      </c>
      <c r="U155" s="7">
        <f>IF($X155="","",IF(INDEX('Per Invoice'!U$2:U$401,$X155)="","",INDEX('Per Invoice'!U$2:U$401,$X155)))</f>
        <v/>
      </c>
      <c r="V155" s="7">
        <f>IF($X155="","",IF(INDEX('Per Invoice'!V$2:V$401,$X155)="","",INDEX('Per Invoice'!V$2:V$401,$X155)))</f>
        <v/>
      </c>
      <c r="W155" s="7">
        <f>IF($X155="","",IF(INDEX('Per Invoice'!W$2:W$401,$X155)="","",INDEX('Per Invoice'!W$2:W$401,$X155)))</f>
        <v/>
      </c>
      <c r="X155" s="16">
        <f>IFERROR(MATCH(Settings!$C$33&amp;"|"&amp;ROWS($X$2:$X155),'Per Invoice'!$Y$2:$Y$401,0),"")</f>
        <v/>
      </c>
    </row>
    <row r="156">
      <c r="A156">
        <f>IF($X156="","",IF(INDEX('Per Invoice'!A$2:A$401,$X156)="","",INDEX('Per Invoice'!A$2:A$401,$X156)))</f>
        <v/>
      </c>
      <c r="B156">
        <f>IF($X156="","",IF(INDEX('Per Invoice'!B$2:B$401,$X156)="","",INDEX('Per Invoice'!B$2:B$401,$X156)))</f>
        <v/>
      </c>
      <c r="C156">
        <f>IF($X156="","",IF(INDEX('Per Invoice'!C$2:C$401,$X156)="","",INDEX('Per Invoice'!C$2:C$401,$X156)))</f>
        <v/>
      </c>
      <c r="D156">
        <f>IF($X156="","",IF(INDEX('Per Invoice'!D$2:D$401,$X156)="","",INDEX('Per Invoice'!D$2:D$401,$X156)))</f>
        <v/>
      </c>
      <c r="E156">
        <f>IF($X156="","",IF(INDEX('Per Invoice'!E$2:E$401,$X156)="","",INDEX('Per Invoice'!E$2:E$401,$X156)))</f>
        <v/>
      </c>
      <c r="F156">
        <f>IF($X156="","",IF(INDEX('Per Invoice'!F$2:F$401,$X156)="","",INDEX('Per Invoice'!F$2:F$401,$X156)))</f>
        <v/>
      </c>
      <c r="G156">
        <f>IF($X156="","",IF(INDEX('Per Invoice'!G$2:G$401,$X156)="","",INDEX('Per Invoice'!G$2:G$401,$X156)))</f>
        <v/>
      </c>
      <c r="H156">
        <f>IF($X156="","",IF(INDEX('Per Invoice'!H$2:H$401,$X156)="","",INDEX('Per Invoice'!H$2:H$401,$X156)))</f>
        <v/>
      </c>
      <c r="I156">
        <f>IF($X156="","",IF(INDEX('Per Invoice'!I$2:I$401,$X156)="","",INDEX('Per Invoice'!I$2:I$401,$X156)))</f>
        <v/>
      </c>
      <c r="J156">
        <f>IF($X156="","",IF(INDEX('Per Invoice'!J$2:J$401,$X156)="","",INDEX('Per Invoice'!J$2:J$401,$X156)))</f>
        <v/>
      </c>
      <c r="K156" s="14">
        <f>IF($X156="","",IF(INDEX('Per Invoice'!K$2:K$401,$X156)="","",INDEX('Per Invoice'!K$2:K$401,$X156)))</f>
        <v/>
      </c>
      <c r="L156">
        <f>IF($X156="","",IF(INDEX('Per Invoice'!L$2:L$401,$X156)="","",INDEX('Per Invoice'!L$2:L$401,$X156)))</f>
        <v/>
      </c>
      <c r="M156" s="7">
        <f>IF($X156="","",IF(INDEX('Per Invoice'!M$2:M$401,$X156)="","",INDEX('Per Invoice'!M$2:M$401,$X156)))</f>
        <v/>
      </c>
      <c r="N156">
        <f>IF($X156="","",IF(INDEX('Per Invoice'!N$2:N$401,$X156)="","",INDEX('Per Invoice'!N$2:N$401,$X156)))</f>
        <v/>
      </c>
      <c r="O156" s="7">
        <f>IF($X156="","",IF(INDEX('Per Invoice'!O$2:O$401,$X156)="","",INDEX('Per Invoice'!O$2:O$401,$X156)))</f>
        <v/>
      </c>
      <c r="P156" s="7">
        <f>IF($X156="","",IF(INDEX('Per Invoice'!P$2:P$401,$X156)="","",INDEX('Per Invoice'!P$2:P$401,$X156)))</f>
        <v/>
      </c>
      <c r="Q156">
        <f>IF($X156="","",IF(INDEX('Per Invoice'!Q$2:Q$401,$X156)="","",INDEX('Per Invoice'!Q$2:Q$401,$X156)))</f>
        <v/>
      </c>
      <c r="R156" s="7">
        <f>IF($X156="","",IF(INDEX('Per Invoice'!R$2:R$401,$X156)="","",INDEX('Per Invoice'!R$2:R$401,$X156)))</f>
        <v/>
      </c>
      <c r="S156" s="7">
        <f>IF($X156="","",IF(INDEX('Per Invoice'!S$2:S$401,$X156)="","",INDEX('Per Invoice'!S$2:S$401,$X156)))</f>
        <v/>
      </c>
      <c r="T156" s="7">
        <f>IF($X156="","",IF(INDEX('Per Invoice'!T$2:T$401,$X156)="","",INDEX('Per Invoice'!T$2:T$401,$X156)))</f>
        <v/>
      </c>
      <c r="U156" s="7">
        <f>IF($X156="","",IF(INDEX('Per Invoice'!U$2:U$401,$X156)="","",INDEX('Per Invoice'!U$2:U$401,$X156)))</f>
        <v/>
      </c>
      <c r="V156" s="7">
        <f>IF($X156="","",IF(INDEX('Per Invoice'!V$2:V$401,$X156)="","",INDEX('Per Invoice'!V$2:V$401,$X156)))</f>
        <v/>
      </c>
      <c r="W156" s="7">
        <f>IF($X156="","",IF(INDEX('Per Invoice'!W$2:W$401,$X156)="","",INDEX('Per Invoice'!W$2:W$401,$X156)))</f>
        <v/>
      </c>
      <c r="X156" s="16">
        <f>IFERROR(MATCH(Settings!$C$33&amp;"|"&amp;ROWS($X$2:$X156),'Per Invoice'!$Y$2:$Y$401,0),"")</f>
        <v/>
      </c>
    </row>
    <row r="157">
      <c r="A157">
        <f>IF($X157="","",IF(INDEX('Per Invoice'!A$2:A$401,$X157)="","",INDEX('Per Invoice'!A$2:A$401,$X157)))</f>
        <v/>
      </c>
      <c r="B157">
        <f>IF($X157="","",IF(INDEX('Per Invoice'!B$2:B$401,$X157)="","",INDEX('Per Invoice'!B$2:B$401,$X157)))</f>
        <v/>
      </c>
      <c r="C157">
        <f>IF($X157="","",IF(INDEX('Per Invoice'!C$2:C$401,$X157)="","",INDEX('Per Invoice'!C$2:C$401,$X157)))</f>
        <v/>
      </c>
      <c r="D157">
        <f>IF($X157="","",IF(INDEX('Per Invoice'!D$2:D$401,$X157)="","",INDEX('Per Invoice'!D$2:D$401,$X157)))</f>
        <v/>
      </c>
      <c r="E157">
        <f>IF($X157="","",IF(INDEX('Per Invoice'!E$2:E$401,$X157)="","",INDEX('Per Invoice'!E$2:E$401,$X157)))</f>
        <v/>
      </c>
      <c r="F157">
        <f>IF($X157="","",IF(INDEX('Per Invoice'!F$2:F$401,$X157)="","",INDEX('Per Invoice'!F$2:F$401,$X157)))</f>
        <v/>
      </c>
      <c r="G157">
        <f>IF($X157="","",IF(INDEX('Per Invoice'!G$2:G$401,$X157)="","",INDEX('Per Invoice'!G$2:G$401,$X157)))</f>
        <v/>
      </c>
      <c r="H157">
        <f>IF($X157="","",IF(INDEX('Per Invoice'!H$2:H$401,$X157)="","",INDEX('Per Invoice'!H$2:H$401,$X157)))</f>
        <v/>
      </c>
      <c r="I157">
        <f>IF($X157="","",IF(INDEX('Per Invoice'!I$2:I$401,$X157)="","",INDEX('Per Invoice'!I$2:I$401,$X157)))</f>
        <v/>
      </c>
      <c r="J157">
        <f>IF($X157="","",IF(INDEX('Per Invoice'!J$2:J$401,$X157)="","",INDEX('Per Invoice'!J$2:J$401,$X157)))</f>
        <v/>
      </c>
      <c r="K157" s="14">
        <f>IF($X157="","",IF(INDEX('Per Invoice'!K$2:K$401,$X157)="","",INDEX('Per Invoice'!K$2:K$401,$X157)))</f>
        <v/>
      </c>
      <c r="L157">
        <f>IF($X157="","",IF(INDEX('Per Invoice'!L$2:L$401,$X157)="","",INDEX('Per Invoice'!L$2:L$401,$X157)))</f>
        <v/>
      </c>
      <c r="M157" s="7">
        <f>IF($X157="","",IF(INDEX('Per Invoice'!M$2:M$401,$X157)="","",INDEX('Per Invoice'!M$2:M$401,$X157)))</f>
        <v/>
      </c>
      <c r="N157">
        <f>IF($X157="","",IF(INDEX('Per Invoice'!N$2:N$401,$X157)="","",INDEX('Per Invoice'!N$2:N$401,$X157)))</f>
        <v/>
      </c>
      <c r="O157" s="7">
        <f>IF($X157="","",IF(INDEX('Per Invoice'!O$2:O$401,$X157)="","",INDEX('Per Invoice'!O$2:O$401,$X157)))</f>
        <v/>
      </c>
      <c r="P157" s="7">
        <f>IF($X157="","",IF(INDEX('Per Invoice'!P$2:P$401,$X157)="","",INDEX('Per Invoice'!P$2:P$401,$X157)))</f>
        <v/>
      </c>
      <c r="Q157">
        <f>IF($X157="","",IF(INDEX('Per Invoice'!Q$2:Q$401,$X157)="","",INDEX('Per Invoice'!Q$2:Q$401,$X157)))</f>
        <v/>
      </c>
      <c r="R157" s="7">
        <f>IF($X157="","",IF(INDEX('Per Invoice'!R$2:R$401,$X157)="","",INDEX('Per Invoice'!R$2:R$401,$X157)))</f>
        <v/>
      </c>
      <c r="S157" s="7">
        <f>IF($X157="","",IF(INDEX('Per Invoice'!S$2:S$401,$X157)="","",INDEX('Per Invoice'!S$2:S$401,$X157)))</f>
        <v/>
      </c>
      <c r="T157" s="7">
        <f>IF($X157="","",IF(INDEX('Per Invoice'!T$2:T$401,$X157)="","",INDEX('Per Invoice'!T$2:T$401,$X157)))</f>
        <v/>
      </c>
      <c r="U157" s="7">
        <f>IF($X157="","",IF(INDEX('Per Invoice'!U$2:U$401,$X157)="","",INDEX('Per Invoice'!U$2:U$401,$X157)))</f>
        <v/>
      </c>
      <c r="V157" s="7">
        <f>IF($X157="","",IF(INDEX('Per Invoice'!V$2:V$401,$X157)="","",INDEX('Per Invoice'!V$2:V$401,$X157)))</f>
        <v/>
      </c>
      <c r="W157" s="7">
        <f>IF($X157="","",IF(INDEX('Per Invoice'!W$2:W$401,$X157)="","",INDEX('Per Invoice'!W$2:W$401,$X157)))</f>
        <v/>
      </c>
      <c r="X157" s="16">
        <f>IFERROR(MATCH(Settings!$C$33&amp;"|"&amp;ROWS($X$2:$X157),'Per Invoice'!$Y$2:$Y$401,0),"")</f>
        <v/>
      </c>
    </row>
    <row r="158">
      <c r="A158">
        <f>IF($X158="","",IF(INDEX('Per Invoice'!A$2:A$401,$X158)="","",INDEX('Per Invoice'!A$2:A$401,$X158)))</f>
        <v/>
      </c>
      <c r="B158">
        <f>IF($X158="","",IF(INDEX('Per Invoice'!B$2:B$401,$X158)="","",INDEX('Per Invoice'!B$2:B$401,$X158)))</f>
        <v/>
      </c>
      <c r="C158">
        <f>IF($X158="","",IF(INDEX('Per Invoice'!C$2:C$401,$X158)="","",INDEX('Per Invoice'!C$2:C$401,$X158)))</f>
        <v/>
      </c>
      <c r="D158">
        <f>IF($X158="","",IF(INDEX('Per Invoice'!D$2:D$401,$X158)="","",INDEX('Per Invoice'!D$2:D$401,$X158)))</f>
        <v/>
      </c>
      <c r="E158">
        <f>IF($X158="","",IF(INDEX('Per Invoice'!E$2:E$401,$X158)="","",INDEX('Per Invoice'!E$2:E$401,$X158)))</f>
        <v/>
      </c>
      <c r="F158">
        <f>IF($X158="","",IF(INDEX('Per Invoice'!F$2:F$401,$X158)="","",INDEX('Per Invoice'!F$2:F$401,$X158)))</f>
        <v/>
      </c>
      <c r="G158">
        <f>IF($X158="","",IF(INDEX('Per Invoice'!G$2:G$401,$X158)="","",INDEX('Per Invoice'!G$2:G$401,$X158)))</f>
        <v/>
      </c>
      <c r="H158">
        <f>IF($X158="","",IF(INDEX('Per Invoice'!H$2:H$401,$X158)="","",INDEX('Per Invoice'!H$2:H$401,$X158)))</f>
        <v/>
      </c>
      <c r="I158">
        <f>IF($X158="","",IF(INDEX('Per Invoice'!I$2:I$401,$X158)="","",INDEX('Per Invoice'!I$2:I$401,$X158)))</f>
        <v/>
      </c>
      <c r="J158">
        <f>IF($X158="","",IF(INDEX('Per Invoice'!J$2:J$401,$X158)="","",INDEX('Per Invoice'!J$2:J$401,$X158)))</f>
        <v/>
      </c>
      <c r="K158" s="14">
        <f>IF($X158="","",IF(INDEX('Per Invoice'!K$2:K$401,$X158)="","",INDEX('Per Invoice'!K$2:K$401,$X158)))</f>
        <v/>
      </c>
      <c r="L158">
        <f>IF($X158="","",IF(INDEX('Per Invoice'!L$2:L$401,$X158)="","",INDEX('Per Invoice'!L$2:L$401,$X158)))</f>
        <v/>
      </c>
      <c r="M158" s="7">
        <f>IF($X158="","",IF(INDEX('Per Invoice'!M$2:M$401,$X158)="","",INDEX('Per Invoice'!M$2:M$401,$X158)))</f>
        <v/>
      </c>
      <c r="N158">
        <f>IF($X158="","",IF(INDEX('Per Invoice'!N$2:N$401,$X158)="","",INDEX('Per Invoice'!N$2:N$401,$X158)))</f>
        <v/>
      </c>
      <c r="O158" s="7">
        <f>IF($X158="","",IF(INDEX('Per Invoice'!O$2:O$401,$X158)="","",INDEX('Per Invoice'!O$2:O$401,$X158)))</f>
        <v/>
      </c>
      <c r="P158" s="7">
        <f>IF($X158="","",IF(INDEX('Per Invoice'!P$2:P$401,$X158)="","",INDEX('Per Invoice'!P$2:P$401,$X158)))</f>
        <v/>
      </c>
      <c r="Q158">
        <f>IF($X158="","",IF(INDEX('Per Invoice'!Q$2:Q$401,$X158)="","",INDEX('Per Invoice'!Q$2:Q$401,$X158)))</f>
        <v/>
      </c>
      <c r="R158" s="7">
        <f>IF($X158="","",IF(INDEX('Per Invoice'!R$2:R$401,$X158)="","",INDEX('Per Invoice'!R$2:R$401,$X158)))</f>
        <v/>
      </c>
      <c r="S158" s="7">
        <f>IF($X158="","",IF(INDEX('Per Invoice'!S$2:S$401,$X158)="","",INDEX('Per Invoice'!S$2:S$401,$X158)))</f>
        <v/>
      </c>
      <c r="T158" s="7">
        <f>IF($X158="","",IF(INDEX('Per Invoice'!T$2:T$401,$X158)="","",INDEX('Per Invoice'!T$2:T$401,$X158)))</f>
        <v/>
      </c>
      <c r="U158" s="7">
        <f>IF($X158="","",IF(INDEX('Per Invoice'!U$2:U$401,$X158)="","",INDEX('Per Invoice'!U$2:U$401,$X158)))</f>
        <v/>
      </c>
      <c r="V158" s="7">
        <f>IF($X158="","",IF(INDEX('Per Invoice'!V$2:V$401,$X158)="","",INDEX('Per Invoice'!V$2:V$401,$X158)))</f>
        <v/>
      </c>
      <c r="W158" s="7">
        <f>IF($X158="","",IF(INDEX('Per Invoice'!W$2:W$401,$X158)="","",INDEX('Per Invoice'!W$2:W$401,$X158)))</f>
        <v/>
      </c>
      <c r="X158" s="16">
        <f>IFERROR(MATCH(Settings!$C$33&amp;"|"&amp;ROWS($X$2:$X158),'Per Invoice'!$Y$2:$Y$401,0),"")</f>
        <v/>
      </c>
    </row>
    <row r="159">
      <c r="A159">
        <f>IF($X159="","",IF(INDEX('Per Invoice'!A$2:A$401,$X159)="","",INDEX('Per Invoice'!A$2:A$401,$X159)))</f>
        <v/>
      </c>
      <c r="B159">
        <f>IF($X159="","",IF(INDEX('Per Invoice'!B$2:B$401,$X159)="","",INDEX('Per Invoice'!B$2:B$401,$X159)))</f>
        <v/>
      </c>
      <c r="C159">
        <f>IF($X159="","",IF(INDEX('Per Invoice'!C$2:C$401,$X159)="","",INDEX('Per Invoice'!C$2:C$401,$X159)))</f>
        <v/>
      </c>
      <c r="D159">
        <f>IF($X159="","",IF(INDEX('Per Invoice'!D$2:D$401,$X159)="","",INDEX('Per Invoice'!D$2:D$401,$X159)))</f>
        <v/>
      </c>
      <c r="E159">
        <f>IF($X159="","",IF(INDEX('Per Invoice'!E$2:E$401,$X159)="","",INDEX('Per Invoice'!E$2:E$401,$X159)))</f>
        <v/>
      </c>
      <c r="F159">
        <f>IF($X159="","",IF(INDEX('Per Invoice'!F$2:F$401,$X159)="","",INDEX('Per Invoice'!F$2:F$401,$X159)))</f>
        <v/>
      </c>
      <c r="G159">
        <f>IF($X159="","",IF(INDEX('Per Invoice'!G$2:G$401,$X159)="","",INDEX('Per Invoice'!G$2:G$401,$X159)))</f>
        <v/>
      </c>
      <c r="H159">
        <f>IF($X159="","",IF(INDEX('Per Invoice'!H$2:H$401,$X159)="","",INDEX('Per Invoice'!H$2:H$401,$X159)))</f>
        <v/>
      </c>
      <c r="I159">
        <f>IF($X159="","",IF(INDEX('Per Invoice'!I$2:I$401,$X159)="","",INDEX('Per Invoice'!I$2:I$401,$X159)))</f>
        <v/>
      </c>
      <c r="J159">
        <f>IF($X159="","",IF(INDEX('Per Invoice'!J$2:J$401,$X159)="","",INDEX('Per Invoice'!J$2:J$401,$X159)))</f>
        <v/>
      </c>
      <c r="K159" s="14">
        <f>IF($X159="","",IF(INDEX('Per Invoice'!K$2:K$401,$X159)="","",INDEX('Per Invoice'!K$2:K$401,$X159)))</f>
        <v/>
      </c>
      <c r="L159">
        <f>IF($X159="","",IF(INDEX('Per Invoice'!L$2:L$401,$X159)="","",INDEX('Per Invoice'!L$2:L$401,$X159)))</f>
        <v/>
      </c>
      <c r="M159" s="7">
        <f>IF($X159="","",IF(INDEX('Per Invoice'!M$2:M$401,$X159)="","",INDEX('Per Invoice'!M$2:M$401,$X159)))</f>
        <v/>
      </c>
      <c r="N159">
        <f>IF($X159="","",IF(INDEX('Per Invoice'!N$2:N$401,$X159)="","",INDEX('Per Invoice'!N$2:N$401,$X159)))</f>
        <v/>
      </c>
      <c r="O159" s="7">
        <f>IF($X159="","",IF(INDEX('Per Invoice'!O$2:O$401,$X159)="","",INDEX('Per Invoice'!O$2:O$401,$X159)))</f>
        <v/>
      </c>
      <c r="P159" s="7">
        <f>IF($X159="","",IF(INDEX('Per Invoice'!P$2:P$401,$X159)="","",INDEX('Per Invoice'!P$2:P$401,$X159)))</f>
        <v/>
      </c>
      <c r="Q159">
        <f>IF($X159="","",IF(INDEX('Per Invoice'!Q$2:Q$401,$X159)="","",INDEX('Per Invoice'!Q$2:Q$401,$X159)))</f>
        <v/>
      </c>
      <c r="R159" s="7">
        <f>IF($X159="","",IF(INDEX('Per Invoice'!R$2:R$401,$X159)="","",INDEX('Per Invoice'!R$2:R$401,$X159)))</f>
        <v/>
      </c>
      <c r="S159" s="7">
        <f>IF($X159="","",IF(INDEX('Per Invoice'!S$2:S$401,$X159)="","",INDEX('Per Invoice'!S$2:S$401,$X159)))</f>
        <v/>
      </c>
      <c r="T159" s="7">
        <f>IF($X159="","",IF(INDEX('Per Invoice'!T$2:T$401,$X159)="","",INDEX('Per Invoice'!T$2:T$401,$X159)))</f>
        <v/>
      </c>
      <c r="U159" s="7">
        <f>IF($X159="","",IF(INDEX('Per Invoice'!U$2:U$401,$X159)="","",INDEX('Per Invoice'!U$2:U$401,$X159)))</f>
        <v/>
      </c>
      <c r="V159" s="7">
        <f>IF($X159="","",IF(INDEX('Per Invoice'!V$2:V$401,$X159)="","",INDEX('Per Invoice'!V$2:V$401,$X159)))</f>
        <v/>
      </c>
      <c r="W159" s="7">
        <f>IF($X159="","",IF(INDEX('Per Invoice'!W$2:W$401,$X159)="","",INDEX('Per Invoice'!W$2:W$401,$X159)))</f>
        <v/>
      </c>
      <c r="X159" s="16">
        <f>IFERROR(MATCH(Settings!$C$33&amp;"|"&amp;ROWS($X$2:$X159),'Per Invoice'!$Y$2:$Y$401,0),"")</f>
        <v/>
      </c>
    </row>
    <row r="160">
      <c r="A160">
        <f>IF($X160="","",IF(INDEX('Per Invoice'!A$2:A$401,$X160)="","",INDEX('Per Invoice'!A$2:A$401,$X160)))</f>
        <v/>
      </c>
      <c r="B160">
        <f>IF($X160="","",IF(INDEX('Per Invoice'!B$2:B$401,$X160)="","",INDEX('Per Invoice'!B$2:B$401,$X160)))</f>
        <v/>
      </c>
      <c r="C160">
        <f>IF($X160="","",IF(INDEX('Per Invoice'!C$2:C$401,$X160)="","",INDEX('Per Invoice'!C$2:C$401,$X160)))</f>
        <v/>
      </c>
      <c r="D160">
        <f>IF($X160="","",IF(INDEX('Per Invoice'!D$2:D$401,$X160)="","",INDEX('Per Invoice'!D$2:D$401,$X160)))</f>
        <v/>
      </c>
      <c r="E160">
        <f>IF($X160="","",IF(INDEX('Per Invoice'!E$2:E$401,$X160)="","",INDEX('Per Invoice'!E$2:E$401,$X160)))</f>
        <v/>
      </c>
      <c r="F160">
        <f>IF($X160="","",IF(INDEX('Per Invoice'!F$2:F$401,$X160)="","",INDEX('Per Invoice'!F$2:F$401,$X160)))</f>
        <v/>
      </c>
      <c r="G160">
        <f>IF($X160="","",IF(INDEX('Per Invoice'!G$2:G$401,$X160)="","",INDEX('Per Invoice'!G$2:G$401,$X160)))</f>
        <v/>
      </c>
      <c r="H160">
        <f>IF($X160="","",IF(INDEX('Per Invoice'!H$2:H$401,$X160)="","",INDEX('Per Invoice'!H$2:H$401,$X160)))</f>
        <v/>
      </c>
      <c r="I160">
        <f>IF($X160="","",IF(INDEX('Per Invoice'!I$2:I$401,$X160)="","",INDEX('Per Invoice'!I$2:I$401,$X160)))</f>
        <v/>
      </c>
      <c r="J160">
        <f>IF($X160="","",IF(INDEX('Per Invoice'!J$2:J$401,$X160)="","",INDEX('Per Invoice'!J$2:J$401,$X160)))</f>
        <v/>
      </c>
      <c r="K160" s="14">
        <f>IF($X160="","",IF(INDEX('Per Invoice'!K$2:K$401,$X160)="","",INDEX('Per Invoice'!K$2:K$401,$X160)))</f>
        <v/>
      </c>
      <c r="L160">
        <f>IF($X160="","",IF(INDEX('Per Invoice'!L$2:L$401,$X160)="","",INDEX('Per Invoice'!L$2:L$401,$X160)))</f>
        <v/>
      </c>
      <c r="M160" s="7">
        <f>IF($X160="","",IF(INDEX('Per Invoice'!M$2:M$401,$X160)="","",INDEX('Per Invoice'!M$2:M$401,$X160)))</f>
        <v/>
      </c>
      <c r="N160">
        <f>IF($X160="","",IF(INDEX('Per Invoice'!N$2:N$401,$X160)="","",INDEX('Per Invoice'!N$2:N$401,$X160)))</f>
        <v/>
      </c>
      <c r="O160" s="7">
        <f>IF($X160="","",IF(INDEX('Per Invoice'!O$2:O$401,$X160)="","",INDEX('Per Invoice'!O$2:O$401,$X160)))</f>
        <v/>
      </c>
      <c r="P160" s="7">
        <f>IF($X160="","",IF(INDEX('Per Invoice'!P$2:P$401,$X160)="","",INDEX('Per Invoice'!P$2:P$401,$X160)))</f>
        <v/>
      </c>
      <c r="Q160">
        <f>IF($X160="","",IF(INDEX('Per Invoice'!Q$2:Q$401,$X160)="","",INDEX('Per Invoice'!Q$2:Q$401,$X160)))</f>
        <v/>
      </c>
      <c r="R160" s="7">
        <f>IF($X160="","",IF(INDEX('Per Invoice'!R$2:R$401,$X160)="","",INDEX('Per Invoice'!R$2:R$401,$X160)))</f>
        <v/>
      </c>
      <c r="S160" s="7">
        <f>IF($X160="","",IF(INDEX('Per Invoice'!S$2:S$401,$X160)="","",INDEX('Per Invoice'!S$2:S$401,$X160)))</f>
        <v/>
      </c>
      <c r="T160" s="7">
        <f>IF($X160="","",IF(INDEX('Per Invoice'!T$2:T$401,$X160)="","",INDEX('Per Invoice'!T$2:T$401,$X160)))</f>
        <v/>
      </c>
      <c r="U160" s="7">
        <f>IF($X160="","",IF(INDEX('Per Invoice'!U$2:U$401,$X160)="","",INDEX('Per Invoice'!U$2:U$401,$X160)))</f>
        <v/>
      </c>
      <c r="V160" s="7">
        <f>IF($X160="","",IF(INDEX('Per Invoice'!V$2:V$401,$X160)="","",INDEX('Per Invoice'!V$2:V$401,$X160)))</f>
        <v/>
      </c>
      <c r="W160" s="7">
        <f>IF($X160="","",IF(INDEX('Per Invoice'!W$2:W$401,$X160)="","",INDEX('Per Invoice'!W$2:W$401,$X160)))</f>
        <v/>
      </c>
      <c r="X160" s="16">
        <f>IFERROR(MATCH(Settings!$C$33&amp;"|"&amp;ROWS($X$2:$X160),'Per Invoice'!$Y$2:$Y$401,0),"")</f>
        <v/>
      </c>
    </row>
    <row r="161">
      <c r="A161">
        <f>IF($X161="","",IF(INDEX('Per Invoice'!A$2:A$401,$X161)="","",INDEX('Per Invoice'!A$2:A$401,$X161)))</f>
        <v/>
      </c>
      <c r="B161">
        <f>IF($X161="","",IF(INDEX('Per Invoice'!B$2:B$401,$X161)="","",INDEX('Per Invoice'!B$2:B$401,$X161)))</f>
        <v/>
      </c>
      <c r="C161">
        <f>IF($X161="","",IF(INDEX('Per Invoice'!C$2:C$401,$X161)="","",INDEX('Per Invoice'!C$2:C$401,$X161)))</f>
        <v/>
      </c>
      <c r="D161">
        <f>IF($X161="","",IF(INDEX('Per Invoice'!D$2:D$401,$X161)="","",INDEX('Per Invoice'!D$2:D$401,$X161)))</f>
        <v/>
      </c>
      <c r="E161">
        <f>IF($X161="","",IF(INDEX('Per Invoice'!E$2:E$401,$X161)="","",INDEX('Per Invoice'!E$2:E$401,$X161)))</f>
        <v/>
      </c>
      <c r="F161">
        <f>IF($X161="","",IF(INDEX('Per Invoice'!F$2:F$401,$X161)="","",INDEX('Per Invoice'!F$2:F$401,$X161)))</f>
        <v/>
      </c>
      <c r="G161">
        <f>IF($X161="","",IF(INDEX('Per Invoice'!G$2:G$401,$X161)="","",INDEX('Per Invoice'!G$2:G$401,$X161)))</f>
        <v/>
      </c>
      <c r="H161">
        <f>IF($X161="","",IF(INDEX('Per Invoice'!H$2:H$401,$X161)="","",INDEX('Per Invoice'!H$2:H$401,$X161)))</f>
        <v/>
      </c>
      <c r="I161">
        <f>IF($X161="","",IF(INDEX('Per Invoice'!I$2:I$401,$X161)="","",INDEX('Per Invoice'!I$2:I$401,$X161)))</f>
        <v/>
      </c>
      <c r="J161">
        <f>IF($X161="","",IF(INDEX('Per Invoice'!J$2:J$401,$X161)="","",INDEX('Per Invoice'!J$2:J$401,$X161)))</f>
        <v/>
      </c>
      <c r="K161" s="14">
        <f>IF($X161="","",IF(INDEX('Per Invoice'!K$2:K$401,$X161)="","",INDEX('Per Invoice'!K$2:K$401,$X161)))</f>
        <v/>
      </c>
      <c r="L161">
        <f>IF($X161="","",IF(INDEX('Per Invoice'!L$2:L$401,$X161)="","",INDEX('Per Invoice'!L$2:L$401,$X161)))</f>
        <v/>
      </c>
      <c r="M161" s="7">
        <f>IF($X161="","",IF(INDEX('Per Invoice'!M$2:M$401,$X161)="","",INDEX('Per Invoice'!M$2:M$401,$X161)))</f>
        <v/>
      </c>
      <c r="N161">
        <f>IF($X161="","",IF(INDEX('Per Invoice'!N$2:N$401,$X161)="","",INDEX('Per Invoice'!N$2:N$401,$X161)))</f>
        <v/>
      </c>
      <c r="O161" s="7">
        <f>IF($X161="","",IF(INDEX('Per Invoice'!O$2:O$401,$X161)="","",INDEX('Per Invoice'!O$2:O$401,$X161)))</f>
        <v/>
      </c>
      <c r="P161" s="7">
        <f>IF($X161="","",IF(INDEX('Per Invoice'!P$2:P$401,$X161)="","",INDEX('Per Invoice'!P$2:P$401,$X161)))</f>
        <v/>
      </c>
      <c r="Q161">
        <f>IF($X161="","",IF(INDEX('Per Invoice'!Q$2:Q$401,$X161)="","",INDEX('Per Invoice'!Q$2:Q$401,$X161)))</f>
        <v/>
      </c>
      <c r="R161" s="7">
        <f>IF($X161="","",IF(INDEX('Per Invoice'!R$2:R$401,$X161)="","",INDEX('Per Invoice'!R$2:R$401,$X161)))</f>
        <v/>
      </c>
      <c r="S161" s="7">
        <f>IF($X161="","",IF(INDEX('Per Invoice'!S$2:S$401,$X161)="","",INDEX('Per Invoice'!S$2:S$401,$X161)))</f>
        <v/>
      </c>
      <c r="T161" s="7">
        <f>IF($X161="","",IF(INDEX('Per Invoice'!T$2:T$401,$X161)="","",INDEX('Per Invoice'!T$2:T$401,$X161)))</f>
        <v/>
      </c>
      <c r="U161" s="7">
        <f>IF($X161="","",IF(INDEX('Per Invoice'!U$2:U$401,$X161)="","",INDEX('Per Invoice'!U$2:U$401,$X161)))</f>
        <v/>
      </c>
      <c r="V161" s="7">
        <f>IF($X161="","",IF(INDEX('Per Invoice'!V$2:V$401,$X161)="","",INDEX('Per Invoice'!V$2:V$401,$X161)))</f>
        <v/>
      </c>
      <c r="W161" s="7">
        <f>IF($X161="","",IF(INDEX('Per Invoice'!W$2:W$401,$X161)="","",INDEX('Per Invoice'!W$2:W$401,$X161)))</f>
        <v/>
      </c>
      <c r="X161" s="16">
        <f>IFERROR(MATCH(Settings!$C$33&amp;"|"&amp;ROWS($X$2:$X161),'Per Invoice'!$Y$2:$Y$401,0),"")</f>
        <v/>
      </c>
    </row>
    <row r="162">
      <c r="A162">
        <f>IF($X162="","",IF(INDEX('Per Invoice'!A$2:A$401,$X162)="","",INDEX('Per Invoice'!A$2:A$401,$X162)))</f>
        <v/>
      </c>
      <c r="B162">
        <f>IF($X162="","",IF(INDEX('Per Invoice'!B$2:B$401,$X162)="","",INDEX('Per Invoice'!B$2:B$401,$X162)))</f>
        <v/>
      </c>
      <c r="C162">
        <f>IF($X162="","",IF(INDEX('Per Invoice'!C$2:C$401,$X162)="","",INDEX('Per Invoice'!C$2:C$401,$X162)))</f>
        <v/>
      </c>
      <c r="D162">
        <f>IF($X162="","",IF(INDEX('Per Invoice'!D$2:D$401,$X162)="","",INDEX('Per Invoice'!D$2:D$401,$X162)))</f>
        <v/>
      </c>
      <c r="E162">
        <f>IF($X162="","",IF(INDEX('Per Invoice'!E$2:E$401,$X162)="","",INDEX('Per Invoice'!E$2:E$401,$X162)))</f>
        <v/>
      </c>
      <c r="F162">
        <f>IF($X162="","",IF(INDEX('Per Invoice'!F$2:F$401,$X162)="","",INDEX('Per Invoice'!F$2:F$401,$X162)))</f>
        <v/>
      </c>
      <c r="G162">
        <f>IF($X162="","",IF(INDEX('Per Invoice'!G$2:G$401,$X162)="","",INDEX('Per Invoice'!G$2:G$401,$X162)))</f>
        <v/>
      </c>
      <c r="H162">
        <f>IF($X162="","",IF(INDEX('Per Invoice'!H$2:H$401,$X162)="","",INDEX('Per Invoice'!H$2:H$401,$X162)))</f>
        <v/>
      </c>
      <c r="I162">
        <f>IF($X162="","",IF(INDEX('Per Invoice'!I$2:I$401,$X162)="","",INDEX('Per Invoice'!I$2:I$401,$X162)))</f>
        <v/>
      </c>
      <c r="J162">
        <f>IF($X162="","",IF(INDEX('Per Invoice'!J$2:J$401,$X162)="","",INDEX('Per Invoice'!J$2:J$401,$X162)))</f>
        <v/>
      </c>
      <c r="K162" s="14">
        <f>IF($X162="","",IF(INDEX('Per Invoice'!K$2:K$401,$X162)="","",INDEX('Per Invoice'!K$2:K$401,$X162)))</f>
        <v/>
      </c>
      <c r="L162">
        <f>IF($X162="","",IF(INDEX('Per Invoice'!L$2:L$401,$X162)="","",INDEX('Per Invoice'!L$2:L$401,$X162)))</f>
        <v/>
      </c>
      <c r="M162" s="7">
        <f>IF($X162="","",IF(INDEX('Per Invoice'!M$2:M$401,$X162)="","",INDEX('Per Invoice'!M$2:M$401,$X162)))</f>
        <v/>
      </c>
      <c r="N162">
        <f>IF($X162="","",IF(INDEX('Per Invoice'!N$2:N$401,$X162)="","",INDEX('Per Invoice'!N$2:N$401,$X162)))</f>
        <v/>
      </c>
      <c r="O162" s="7">
        <f>IF($X162="","",IF(INDEX('Per Invoice'!O$2:O$401,$X162)="","",INDEX('Per Invoice'!O$2:O$401,$X162)))</f>
        <v/>
      </c>
      <c r="P162" s="7">
        <f>IF($X162="","",IF(INDEX('Per Invoice'!P$2:P$401,$X162)="","",INDEX('Per Invoice'!P$2:P$401,$X162)))</f>
        <v/>
      </c>
      <c r="Q162">
        <f>IF($X162="","",IF(INDEX('Per Invoice'!Q$2:Q$401,$X162)="","",INDEX('Per Invoice'!Q$2:Q$401,$X162)))</f>
        <v/>
      </c>
      <c r="R162" s="7">
        <f>IF($X162="","",IF(INDEX('Per Invoice'!R$2:R$401,$X162)="","",INDEX('Per Invoice'!R$2:R$401,$X162)))</f>
        <v/>
      </c>
      <c r="S162" s="7">
        <f>IF($X162="","",IF(INDEX('Per Invoice'!S$2:S$401,$X162)="","",INDEX('Per Invoice'!S$2:S$401,$X162)))</f>
        <v/>
      </c>
      <c r="T162" s="7">
        <f>IF($X162="","",IF(INDEX('Per Invoice'!T$2:T$401,$X162)="","",INDEX('Per Invoice'!T$2:T$401,$X162)))</f>
        <v/>
      </c>
      <c r="U162" s="7">
        <f>IF($X162="","",IF(INDEX('Per Invoice'!U$2:U$401,$X162)="","",INDEX('Per Invoice'!U$2:U$401,$X162)))</f>
        <v/>
      </c>
      <c r="V162" s="7">
        <f>IF($X162="","",IF(INDEX('Per Invoice'!V$2:V$401,$X162)="","",INDEX('Per Invoice'!V$2:V$401,$X162)))</f>
        <v/>
      </c>
      <c r="W162" s="7">
        <f>IF($X162="","",IF(INDEX('Per Invoice'!W$2:W$401,$X162)="","",INDEX('Per Invoice'!W$2:W$401,$X162)))</f>
        <v/>
      </c>
      <c r="X162" s="16">
        <f>IFERROR(MATCH(Settings!$C$33&amp;"|"&amp;ROWS($X$2:$X162),'Per Invoice'!$Y$2:$Y$401,0),"")</f>
        <v/>
      </c>
    </row>
    <row r="163">
      <c r="A163">
        <f>IF($X163="","",IF(INDEX('Per Invoice'!A$2:A$401,$X163)="","",INDEX('Per Invoice'!A$2:A$401,$X163)))</f>
        <v/>
      </c>
      <c r="B163">
        <f>IF($X163="","",IF(INDEX('Per Invoice'!B$2:B$401,$X163)="","",INDEX('Per Invoice'!B$2:B$401,$X163)))</f>
        <v/>
      </c>
      <c r="C163">
        <f>IF($X163="","",IF(INDEX('Per Invoice'!C$2:C$401,$X163)="","",INDEX('Per Invoice'!C$2:C$401,$X163)))</f>
        <v/>
      </c>
      <c r="D163">
        <f>IF($X163="","",IF(INDEX('Per Invoice'!D$2:D$401,$X163)="","",INDEX('Per Invoice'!D$2:D$401,$X163)))</f>
        <v/>
      </c>
      <c r="E163">
        <f>IF($X163="","",IF(INDEX('Per Invoice'!E$2:E$401,$X163)="","",INDEX('Per Invoice'!E$2:E$401,$X163)))</f>
        <v/>
      </c>
      <c r="F163">
        <f>IF($X163="","",IF(INDEX('Per Invoice'!F$2:F$401,$X163)="","",INDEX('Per Invoice'!F$2:F$401,$X163)))</f>
        <v/>
      </c>
      <c r="G163">
        <f>IF($X163="","",IF(INDEX('Per Invoice'!G$2:G$401,$X163)="","",INDEX('Per Invoice'!G$2:G$401,$X163)))</f>
        <v/>
      </c>
      <c r="H163">
        <f>IF($X163="","",IF(INDEX('Per Invoice'!H$2:H$401,$X163)="","",INDEX('Per Invoice'!H$2:H$401,$X163)))</f>
        <v/>
      </c>
      <c r="I163">
        <f>IF($X163="","",IF(INDEX('Per Invoice'!I$2:I$401,$X163)="","",INDEX('Per Invoice'!I$2:I$401,$X163)))</f>
        <v/>
      </c>
      <c r="J163">
        <f>IF($X163="","",IF(INDEX('Per Invoice'!J$2:J$401,$X163)="","",INDEX('Per Invoice'!J$2:J$401,$X163)))</f>
        <v/>
      </c>
      <c r="K163" s="14">
        <f>IF($X163="","",IF(INDEX('Per Invoice'!K$2:K$401,$X163)="","",INDEX('Per Invoice'!K$2:K$401,$X163)))</f>
        <v/>
      </c>
      <c r="L163">
        <f>IF($X163="","",IF(INDEX('Per Invoice'!L$2:L$401,$X163)="","",INDEX('Per Invoice'!L$2:L$401,$X163)))</f>
        <v/>
      </c>
      <c r="M163" s="7">
        <f>IF($X163="","",IF(INDEX('Per Invoice'!M$2:M$401,$X163)="","",INDEX('Per Invoice'!M$2:M$401,$X163)))</f>
        <v/>
      </c>
      <c r="N163">
        <f>IF($X163="","",IF(INDEX('Per Invoice'!N$2:N$401,$X163)="","",INDEX('Per Invoice'!N$2:N$401,$X163)))</f>
        <v/>
      </c>
      <c r="O163" s="7">
        <f>IF($X163="","",IF(INDEX('Per Invoice'!O$2:O$401,$X163)="","",INDEX('Per Invoice'!O$2:O$401,$X163)))</f>
        <v/>
      </c>
      <c r="P163" s="7">
        <f>IF($X163="","",IF(INDEX('Per Invoice'!P$2:P$401,$X163)="","",INDEX('Per Invoice'!P$2:P$401,$X163)))</f>
        <v/>
      </c>
      <c r="Q163">
        <f>IF($X163="","",IF(INDEX('Per Invoice'!Q$2:Q$401,$X163)="","",INDEX('Per Invoice'!Q$2:Q$401,$X163)))</f>
        <v/>
      </c>
      <c r="R163" s="7">
        <f>IF($X163="","",IF(INDEX('Per Invoice'!R$2:R$401,$X163)="","",INDEX('Per Invoice'!R$2:R$401,$X163)))</f>
        <v/>
      </c>
      <c r="S163" s="7">
        <f>IF($X163="","",IF(INDEX('Per Invoice'!S$2:S$401,$X163)="","",INDEX('Per Invoice'!S$2:S$401,$X163)))</f>
        <v/>
      </c>
      <c r="T163" s="7">
        <f>IF($X163="","",IF(INDEX('Per Invoice'!T$2:T$401,$X163)="","",INDEX('Per Invoice'!T$2:T$401,$X163)))</f>
        <v/>
      </c>
      <c r="U163" s="7">
        <f>IF($X163="","",IF(INDEX('Per Invoice'!U$2:U$401,$X163)="","",INDEX('Per Invoice'!U$2:U$401,$X163)))</f>
        <v/>
      </c>
      <c r="V163" s="7">
        <f>IF($X163="","",IF(INDEX('Per Invoice'!V$2:V$401,$X163)="","",INDEX('Per Invoice'!V$2:V$401,$X163)))</f>
        <v/>
      </c>
      <c r="W163" s="7">
        <f>IF($X163="","",IF(INDEX('Per Invoice'!W$2:W$401,$X163)="","",INDEX('Per Invoice'!W$2:W$401,$X163)))</f>
        <v/>
      </c>
      <c r="X163" s="16">
        <f>IFERROR(MATCH(Settings!$C$33&amp;"|"&amp;ROWS($X$2:$X163),'Per Invoice'!$Y$2:$Y$401,0),"")</f>
        <v/>
      </c>
    </row>
    <row r="164">
      <c r="A164">
        <f>IF($X164="","",IF(INDEX('Per Invoice'!A$2:A$401,$X164)="","",INDEX('Per Invoice'!A$2:A$401,$X164)))</f>
        <v/>
      </c>
      <c r="B164">
        <f>IF($X164="","",IF(INDEX('Per Invoice'!B$2:B$401,$X164)="","",INDEX('Per Invoice'!B$2:B$401,$X164)))</f>
        <v/>
      </c>
      <c r="C164">
        <f>IF($X164="","",IF(INDEX('Per Invoice'!C$2:C$401,$X164)="","",INDEX('Per Invoice'!C$2:C$401,$X164)))</f>
        <v/>
      </c>
      <c r="D164">
        <f>IF($X164="","",IF(INDEX('Per Invoice'!D$2:D$401,$X164)="","",INDEX('Per Invoice'!D$2:D$401,$X164)))</f>
        <v/>
      </c>
      <c r="E164">
        <f>IF($X164="","",IF(INDEX('Per Invoice'!E$2:E$401,$X164)="","",INDEX('Per Invoice'!E$2:E$401,$X164)))</f>
        <v/>
      </c>
      <c r="F164">
        <f>IF($X164="","",IF(INDEX('Per Invoice'!F$2:F$401,$X164)="","",INDEX('Per Invoice'!F$2:F$401,$X164)))</f>
        <v/>
      </c>
      <c r="G164">
        <f>IF($X164="","",IF(INDEX('Per Invoice'!G$2:G$401,$X164)="","",INDEX('Per Invoice'!G$2:G$401,$X164)))</f>
        <v/>
      </c>
      <c r="H164">
        <f>IF($X164="","",IF(INDEX('Per Invoice'!H$2:H$401,$X164)="","",INDEX('Per Invoice'!H$2:H$401,$X164)))</f>
        <v/>
      </c>
      <c r="I164">
        <f>IF($X164="","",IF(INDEX('Per Invoice'!I$2:I$401,$X164)="","",INDEX('Per Invoice'!I$2:I$401,$X164)))</f>
        <v/>
      </c>
      <c r="J164">
        <f>IF($X164="","",IF(INDEX('Per Invoice'!J$2:J$401,$X164)="","",INDEX('Per Invoice'!J$2:J$401,$X164)))</f>
        <v/>
      </c>
      <c r="K164" s="14">
        <f>IF($X164="","",IF(INDEX('Per Invoice'!K$2:K$401,$X164)="","",INDEX('Per Invoice'!K$2:K$401,$X164)))</f>
        <v/>
      </c>
      <c r="L164">
        <f>IF($X164="","",IF(INDEX('Per Invoice'!L$2:L$401,$X164)="","",INDEX('Per Invoice'!L$2:L$401,$X164)))</f>
        <v/>
      </c>
      <c r="M164" s="7">
        <f>IF($X164="","",IF(INDEX('Per Invoice'!M$2:M$401,$X164)="","",INDEX('Per Invoice'!M$2:M$401,$X164)))</f>
        <v/>
      </c>
      <c r="N164">
        <f>IF($X164="","",IF(INDEX('Per Invoice'!N$2:N$401,$X164)="","",INDEX('Per Invoice'!N$2:N$401,$X164)))</f>
        <v/>
      </c>
      <c r="O164" s="7">
        <f>IF($X164="","",IF(INDEX('Per Invoice'!O$2:O$401,$X164)="","",INDEX('Per Invoice'!O$2:O$401,$X164)))</f>
        <v/>
      </c>
      <c r="P164" s="7">
        <f>IF($X164="","",IF(INDEX('Per Invoice'!P$2:P$401,$X164)="","",INDEX('Per Invoice'!P$2:P$401,$X164)))</f>
        <v/>
      </c>
      <c r="Q164">
        <f>IF($X164="","",IF(INDEX('Per Invoice'!Q$2:Q$401,$X164)="","",INDEX('Per Invoice'!Q$2:Q$401,$X164)))</f>
        <v/>
      </c>
      <c r="R164" s="7">
        <f>IF($X164="","",IF(INDEX('Per Invoice'!R$2:R$401,$X164)="","",INDEX('Per Invoice'!R$2:R$401,$X164)))</f>
        <v/>
      </c>
      <c r="S164" s="7">
        <f>IF($X164="","",IF(INDEX('Per Invoice'!S$2:S$401,$X164)="","",INDEX('Per Invoice'!S$2:S$401,$X164)))</f>
        <v/>
      </c>
      <c r="T164" s="7">
        <f>IF($X164="","",IF(INDEX('Per Invoice'!T$2:T$401,$X164)="","",INDEX('Per Invoice'!T$2:T$401,$X164)))</f>
        <v/>
      </c>
      <c r="U164" s="7">
        <f>IF($X164="","",IF(INDEX('Per Invoice'!U$2:U$401,$X164)="","",INDEX('Per Invoice'!U$2:U$401,$X164)))</f>
        <v/>
      </c>
      <c r="V164" s="7">
        <f>IF($X164="","",IF(INDEX('Per Invoice'!V$2:V$401,$X164)="","",INDEX('Per Invoice'!V$2:V$401,$X164)))</f>
        <v/>
      </c>
      <c r="W164" s="7">
        <f>IF($X164="","",IF(INDEX('Per Invoice'!W$2:W$401,$X164)="","",INDEX('Per Invoice'!W$2:W$401,$X164)))</f>
        <v/>
      </c>
      <c r="X164" s="16">
        <f>IFERROR(MATCH(Settings!$C$33&amp;"|"&amp;ROWS($X$2:$X164),'Per Invoice'!$Y$2:$Y$401,0),"")</f>
        <v/>
      </c>
    </row>
    <row r="165">
      <c r="A165">
        <f>IF($X165="","",IF(INDEX('Per Invoice'!A$2:A$401,$X165)="","",INDEX('Per Invoice'!A$2:A$401,$X165)))</f>
        <v/>
      </c>
      <c r="B165">
        <f>IF($X165="","",IF(INDEX('Per Invoice'!B$2:B$401,$X165)="","",INDEX('Per Invoice'!B$2:B$401,$X165)))</f>
        <v/>
      </c>
      <c r="C165">
        <f>IF($X165="","",IF(INDEX('Per Invoice'!C$2:C$401,$X165)="","",INDEX('Per Invoice'!C$2:C$401,$X165)))</f>
        <v/>
      </c>
      <c r="D165">
        <f>IF($X165="","",IF(INDEX('Per Invoice'!D$2:D$401,$X165)="","",INDEX('Per Invoice'!D$2:D$401,$X165)))</f>
        <v/>
      </c>
      <c r="E165">
        <f>IF($X165="","",IF(INDEX('Per Invoice'!E$2:E$401,$X165)="","",INDEX('Per Invoice'!E$2:E$401,$X165)))</f>
        <v/>
      </c>
      <c r="F165">
        <f>IF($X165="","",IF(INDEX('Per Invoice'!F$2:F$401,$X165)="","",INDEX('Per Invoice'!F$2:F$401,$X165)))</f>
        <v/>
      </c>
      <c r="G165">
        <f>IF($X165="","",IF(INDEX('Per Invoice'!G$2:G$401,$X165)="","",INDEX('Per Invoice'!G$2:G$401,$X165)))</f>
        <v/>
      </c>
      <c r="H165">
        <f>IF($X165="","",IF(INDEX('Per Invoice'!H$2:H$401,$X165)="","",INDEX('Per Invoice'!H$2:H$401,$X165)))</f>
        <v/>
      </c>
      <c r="I165">
        <f>IF($X165="","",IF(INDEX('Per Invoice'!I$2:I$401,$X165)="","",INDEX('Per Invoice'!I$2:I$401,$X165)))</f>
        <v/>
      </c>
      <c r="J165">
        <f>IF($X165="","",IF(INDEX('Per Invoice'!J$2:J$401,$X165)="","",INDEX('Per Invoice'!J$2:J$401,$X165)))</f>
        <v/>
      </c>
      <c r="K165" s="14">
        <f>IF($X165="","",IF(INDEX('Per Invoice'!K$2:K$401,$X165)="","",INDEX('Per Invoice'!K$2:K$401,$X165)))</f>
        <v/>
      </c>
      <c r="L165">
        <f>IF($X165="","",IF(INDEX('Per Invoice'!L$2:L$401,$X165)="","",INDEX('Per Invoice'!L$2:L$401,$X165)))</f>
        <v/>
      </c>
      <c r="M165" s="7">
        <f>IF($X165="","",IF(INDEX('Per Invoice'!M$2:M$401,$X165)="","",INDEX('Per Invoice'!M$2:M$401,$X165)))</f>
        <v/>
      </c>
      <c r="N165">
        <f>IF($X165="","",IF(INDEX('Per Invoice'!N$2:N$401,$X165)="","",INDEX('Per Invoice'!N$2:N$401,$X165)))</f>
        <v/>
      </c>
      <c r="O165" s="7">
        <f>IF($X165="","",IF(INDEX('Per Invoice'!O$2:O$401,$X165)="","",INDEX('Per Invoice'!O$2:O$401,$X165)))</f>
        <v/>
      </c>
      <c r="P165" s="7">
        <f>IF($X165="","",IF(INDEX('Per Invoice'!P$2:P$401,$X165)="","",INDEX('Per Invoice'!P$2:P$401,$X165)))</f>
        <v/>
      </c>
      <c r="Q165">
        <f>IF($X165="","",IF(INDEX('Per Invoice'!Q$2:Q$401,$X165)="","",INDEX('Per Invoice'!Q$2:Q$401,$X165)))</f>
        <v/>
      </c>
      <c r="R165" s="7">
        <f>IF($X165="","",IF(INDEX('Per Invoice'!R$2:R$401,$X165)="","",INDEX('Per Invoice'!R$2:R$401,$X165)))</f>
        <v/>
      </c>
      <c r="S165" s="7">
        <f>IF($X165="","",IF(INDEX('Per Invoice'!S$2:S$401,$X165)="","",INDEX('Per Invoice'!S$2:S$401,$X165)))</f>
        <v/>
      </c>
      <c r="T165" s="7">
        <f>IF($X165="","",IF(INDEX('Per Invoice'!T$2:T$401,$X165)="","",INDEX('Per Invoice'!T$2:T$401,$X165)))</f>
        <v/>
      </c>
      <c r="U165" s="7">
        <f>IF($X165="","",IF(INDEX('Per Invoice'!U$2:U$401,$X165)="","",INDEX('Per Invoice'!U$2:U$401,$X165)))</f>
        <v/>
      </c>
      <c r="V165" s="7">
        <f>IF($X165="","",IF(INDEX('Per Invoice'!V$2:V$401,$X165)="","",INDEX('Per Invoice'!V$2:V$401,$X165)))</f>
        <v/>
      </c>
      <c r="W165" s="7">
        <f>IF($X165="","",IF(INDEX('Per Invoice'!W$2:W$401,$X165)="","",INDEX('Per Invoice'!W$2:W$401,$X165)))</f>
        <v/>
      </c>
      <c r="X165" s="16">
        <f>IFERROR(MATCH(Settings!$C$33&amp;"|"&amp;ROWS($X$2:$X165),'Per Invoice'!$Y$2:$Y$401,0),"")</f>
        <v/>
      </c>
    </row>
    <row r="166">
      <c r="A166">
        <f>IF($X166="","",IF(INDEX('Per Invoice'!A$2:A$401,$X166)="","",INDEX('Per Invoice'!A$2:A$401,$X166)))</f>
        <v/>
      </c>
      <c r="B166">
        <f>IF($X166="","",IF(INDEX('Per Invoice'!B$2:B$401,$X166)="","",INDEX('Per Invoice'!B$2:B$401,$X166)))</f>
        <v/>
      </c>
      <c r="C166">
        <f>IF($X166="","",IF(INDEX('Per Invoice'!C$2:C$401,$X166)="","",INDEX('Per Invoice'!C$2:C$401,$X166)))</f>
        <v/>
      </c>
      <c r="D166">
        <f>IF($X166="","",IF(INDEX('Per Invoice'!D$2:D$401,$X166)="","",INDEX('Per Invoice'!D$2:D$401,$X166)))</f>
        <v/>
      </c>
      <c r="E166">
        <f>IF($X166="","",IF(INDEX('Per Invoice'!E$2:E$401,$X166)="","",INDEX('Per Invoice'!E$2:E$401,$X166)))</f>
        <v/>
      </c>
      <c r="F166">
        <f>IF($X166="","",IF(INDEX('Per Invoice'!F$2:F$401,$X166)="","",INDEX('Per Invoice'!F$2:F$401,$X166)))</f>
        <v/>
      </c>
      <c r="G166">
        <f>IF($X166="","",IF(INDEX('Per Invoice'!G$2:G$401,$X166)="","",INDEX('Per Invoice'!G$2:G$401,$X166)))</f>
        <v/>
      </c>
      <c r="H166">
        <f>IF($X166="","",IF(INDEX('Per Invoice'!H$2:H$401,$X166)="","",INDEX('Per Invoice'!H$2:H$401,$X166)))</f>
        <v/>
      </c>
      <c r="I166">
        <f>IF($X166="","",IF(INDEX('Per Invoice'!I$2:I$401,$X166)="","",INDEX('Per Invoice'!I$2:I$401,$X166)))</f>
        <v/>
      </c>
      <c r="J166">
        <f>IF($X166="","",IF(INDEX('Per Invoice'!J$2:J$401,$X166)="","",INDEX('Per Invoice'!J$2:J$401,$X166)))</f>
        <v/>
      </c>
      <c r="K166" s="14">
        <f>IF($X166="","",IF(INDEX('Per Invoice'!K$2:K$401,$X166)="","",INDEX('Per Invoice'!K$2:K$401,$X166)))</f>
        <v/>
      </c>
      <c r="L166">
        <f>IF($X166="","",IF(INDEX('Per Invoice'!L$2:L$401,$X166)="","",INDEX('Per Invoice'!L$2:L$401,$X166)))</f>
        <v/>
      </c>
      <c r="M166" s="7">
        <f>IF($X166="","",IF(INDEX('Per Invoice'!M$2:M$401,$X166)="","",INDEX('Per Invoice'!M$2:M$401,$X166)))</f>
        <v/>
      </c>
      <c r="N166">
        <f>IF($X166="","",IF(INDEX('Per Invoice'!N$2:N$401,$X166)="","",INDEX('Per Invoice'!N$2:N$401,$X166)))</f>
        <v/>
      </c>
      <c r="O166" s="7">
        <f>IF($X166="","",IF(INDEX('Per Invoice'!O$2:O$401,$X166)="","",INDEX('Per Invoice'!O$2:O$401,$X166)))</f>
        <v/>
      </c>
      <c r="P166" s="7">
        <f>IF($X166="","",IF(INDEX('Per Invoice'!P$2:P$401,$X166)="","",INDEX('Per Invoice'!P$2:P$401,$X166)))</f>
        <v/>
      </c>
      <c r="Q166">
        <f>IF($X166="","",IF(INDEX('Per Invoice'!Q$2:Q$401,$X166)="","",INDEX('Per Invoice'!Q$2:Q$401,$X166)))</f>
        <v/>
      </c>
      <c r="R166" s="7">
        <f>IF($X166="","",IF(INDEX('Per Invoice'!R$2:R$401,$X166)="","",INDEX('Per Invoice'!R$2:R$401,$X166)))</f>
        <v/>
      </c>
      <c r="S166" s="7">
        <f>IF($X166="","",IF(INDEX('Per Invoice'!S$2:S$401,$X166)="","",INDEX('Per Invoice'!S$2:S$401,$X166)))</f>
        <v/>
      </c>
      <c r="T166" s="7">
        <f>IF($X166="","",IF(INDEX('Per Invoice'!T$2:T$401,$X166)="","",INDEX('Per Invoice'!T$2:T$401,$X166)))</f>
        <v/>
      </c>
      <c r="U166" s="7">
        <f>IF($X166="","",IF(INDEX('Per Invoice'!U$2:U$401,$X166)="","",INDEX('Per Invoice'!U$2:U$401,$X166)))</f>
        <v/>
      </c>
      <c r="V166" s="7">
        <f>IF($X166="","",IF(INDEX('Per Invoice'!V$2:V$401,$X166)="","",INDEX('Per Invoice'!V$2:V$401,$X166)))</f>
        <v/>
      </c>
      <c r="W166" s="7">
        <f>IF($X166="","",IF(INDEX('Per Invoice'!W$2:W$401,$X166)="","",INDEX('Per Invoice'!W$2:W$401,$X166)))</f>
        <v/>
      </c>
      <c r="X166" s="16">
        <f>IFERROR(MATCH(Settings!$C$33&amp;"|"&amp;ROWS($X$2:$X166),'Per Invoice'!$Y$2:$Y$401,0),"")</f>
        <v/>
      </c>
    </row>
    <row r="167">
      <c r="A167">
        <f>IF($X167="","",IF(INDEX('Per Invoice'!A$2:A$401,$X167)="","",INDEX('Per Invoice'!A$2:A$401,$X167)))</f>
        <v/>
      </c>
      <c r="B167">
        <f>IF($X167="","",IF(INDEX('Per Invoice'!B$2:B$401,$X167)="","",INDEX('Per Invoice'!B$2:B$401,$X167)))</f>
        <v/>
      </c>
      <c r="C167">
        <f>IF($X167="","",IF(INDEX('Per Invoice'!C$2:C$401,$X167)="","",INDEX('Per Invoice'!C$2:C$401,$X167)))</f>
        <v/>
      </c>
      <c r="D167">
        <f>IF($X167="","",IF(INDEX('Per Invoice'!D$2:D$401,$X167)="","",INDEX('Per Invoice'!D$2:D$401,$X167)))</f>
        <v/>
      </c>
      <c r="E167">
        <f>IF($X167="","",IF(INDEX('Per Invoice'!E$2:E$401,$X167)="","",INDEX('Per Invoice'!E$2:E$401,$X167)))</f>
        <v/>
      </c>
      <c r="F167">
        <f>IF($X167="","",IF(INDEX('Per Invoice'!F$2:F$401,$X167)="","",INDEX('Per Invoice'!F$2:F$401,$X167)))</f>
        <v/>
      </c>
      <c r="G167">
        <f>IF($X167="","",IF(INDEX('Per Invoice'!G$2:G$401,$X167)="","",INDEX('Per Invoice'!G$2:G$401,$X167)))</f>
        <v/>
      </c>
      <c r="H167">
        <f>IF($X167="","",IF(INDEX('Per Invoice'!H$2:H$401,$X167)="","",INDEX('Per Invoice'!H$2:H$401,$X167)))</f>
        <v/>
      </c>
      <c r="I167">
        <f>IF($X167="","",IF(INDEX('Per Invoice'!I$2:I$401,$X167)="","",INDEX('Per Invoice'!I$2:I$401,$X167)))</f>
        <v/>
      </c>
      <c r="J167">
        <f>IF($X167="","",IF(INDEX('Per Invoice'!J$2:J$401,$X167)="","",INDEX('Per Invoice'!J$2:J$401,$X167)))</f>
        <v/>
      </c>
      <c r="K167" s="14">
        <f>IF($X167="","",IF(INDEX('Per Invoice'!K$2:K$401,$X167)="","",INDEX('Per Invoice'!K$2:K$401,$X167)))</f>
        <v/>
      </c>
      <c r="L167">
        <f>IF($X167="","",IF(INDEX('Per Invoice'!L$2:L$401,$X167)="","",INDEX('Per Invoice'!L$2:L$401,$X167)))</f>
        <v/>
      </c>
      <c r="M167" s="7">
        <f>IF($X167="","",IF(INDEX('Per Invoice'!M$2:M$401,$X167)="","",INDEX('Per Invoice'!M$2:M$401,$X167)))</f>
        <v/>
      </c>
      <c r="N167">
        <f>IF($X167="","",IF(INDEX('Per Invoice'!N$2:N$401,$X167)="","",INDEX('Per Invoice'!N$2:N$401,$X167)))</f>
        <v/>
      </c>
      <c r="O167" s="7">
        <f>IF($X167="","",IF(INDEX('Per Invoice'!O$2:O$401,$X167)="","",INDEX('Per Invoice'!O$2:O$401,$X167)))</f>
        <v/>
      </c>
      <c r="P167" s="7">
        <f>IF($X167="","",IF(INDEX('Per Invoice'!P$2:P$401,$X167)="","",INDEX('Per Invoice'!P$2:P$401,$X167)))</f>
        <v/>
      </c>
      <c r="Q167">
        <f>IF($X167="","",IF(INDEX('Per Invoice'!Q$2:Q$401,$X167)="","",INDEX('Per Invoice'!Q$2:Q$401,$X167)))</f>
        <v/>
      </c>
      <c r="R167" s="7">
        <f>IF($X167="","",IF(INDEX('Per Invoice'!R$2:R$401,$X167)="","",INDEX('Per Invoice'!R$2:R$401,$X167)))</f>
        <v/>
      </c>
      <c r="S167" s="7">
        <f>IF($X167="","",IF(INDEX('Per Invoice'!S$2:S$401,$X167)="","",INDEX('Per Invoice'!S$2:S$401,$X167)))</f>
        <v/>
      </c>
      <c r="T167" s="7">
        <f>IF($X167="","",IF(INDEX('Per Invoice'!T$2:T$401,$X167)="","",INDEX('Per Invoice'!T$2:T$401,$X167)))</f>
        <v/>
      </c>
      <c r="U167" s="7">
        <f>IF($X167="","",IF(INDEX('Per Invoice'!U$2:U$401,$X167)="","",INDEX('Per Invoice'!U$2:U$401,$X167)))</f>
        <v/>
      </c>
      <c r="V167" s="7">
        <f>IF($X167="","",IF(INDEX('Per Invoice'!V$2:V$401,$X167)="","",INDEX('Per Invoice'!V$2:V$401,$X167)))</f>
        <v/>
      </c>
      <c r="W167" s="7">
        <f>IF($X167="","",IF(INDEX('Per Invoice'!W$2:W$401,$X167)="","",INDEX('Per Invoice'!W$2:W$401,$X167)))</f>
        <v/>
      </c>
      <c r="X167" s="16">
        <f>IFERROR(MATCH(Settings!$C$33&amp;"|"&amp;ROWS($X$2:$X167),'Per Invoice'!$Y$2:$Y$401,0),"")</f>
        <v/>
      </c>
    </row>
    <row r="168">
      <c r="A168">
        <f>IF($X168="","",IF(INDEX('Per Invoice'!A$2:A$401,$X168)="","",INDEX('Per Invoice'!A$2:A$401,$X168)))</f>
        <v/>
      </c>
      <c r="B168">
        <f>IF($X168="","",IF(INDEX('Per Invoice'!B$2:B$401,$X168)="","",INDEX('Per Invoice'!B$2:B$401,$X168)))</f>
        <v/>
      </c>
      <c r="C168">
        <f>IF($X168="","",IF(INDEX('Per Invoice'!C$2:C$401,$X168)="","",INDEX('Per Invoice'!C$2:C$401,$X168)))</f>
        <v/>
      </c>
      <c r="D168">
        <f>IF($X168="","",IF(INDEX('Per Invoice'!D$2:D$401,$X168)="","",INDEX('Per Invoice'!D$2:D$401,$X168)))</f>
        <v/>
      </c>
      <c r="E168">
        <f>IF($X168="","",IF(INDEX('Per Invoice'!E$2:E$401,$X168)="","",INDEX('Per Invoice'!E$2:E$401,$X168)))</f>
        <v/>
      </c>
      <c r="F168">
        <f>IF($X168="","",IF(INDEX('Per Invoice'!F$2:F$401,$X168)="","",INDEX('Per Invoice'!F$2:F$401,$X168)))</f>
        <v/>
      </c>
      <c r="G168">
        <f>IF($X168="","",IF(INDEX('Per Invoice'!G$2:G$401,$X168)="","",INDEX('Per Invoice'!G$2:G$401,$X168)))</f>
        <v/>
      </c>
      <c r="H168">
        <f>IF($X168="","",IF(INDEX('Per Invoice'!H$2:H$401,$X168)="","",INDEX('Per Invoice'!H$2:H$401,$X168)))</f>
        <v/>
      </c>
      <c r="I168">
        <f>IF($X168="","",IF(INDEX('Per Invoice'!I$2:I$401,$X168)="","",INDEX('Per Invoice'!I$2:I$401,$X168)))</f>
        <v/>
      </c>
      <c r="J168">
        <f>IF($X168="","",IF(INDEX('Per Invoice'!J$2:J$401,$X168)="","",INDEX('Per Invoice'!J$2:J$401,$X168)))</f>
        <v/>
      </c>
      <c r="K168" s="14">
        <f>IF($X168="","",IF(INDEX('Per Invoice'!K$2:K$401,$X168)="","",INDEX('Per Invoice'!K$2:K$401,$X168)))</f>
        <v/>
      </c>
      <c r="L168">
        <f>IF($X168="","",IF(INDEX('Per Invoice'!L$2:L$401,$X168)="","",INDEX('Per Invoice'!L$2:L$401,$X168)))</f>
        <v/>
      </c>
      <c r="M168" s="7">
        <f>IF($X168="","",IF(INDEX('Per Invoice'!M$2:M$401,$X168)="","",INDEX('Per Invoice'!M$2:M$401,$X168)))</f>
        <v/>
      </c>
      <c r="N168">
        <f>IF($X168="","",IF(INDEX('Per Invoice'!N$2:N$401,$X168)="","",INDEX('Per Invoice'!N$2:N$401,$X168)))</f>
        <v/>
      </c>
      <c r="O168" s="7">
        <f>IF($X168="","",IF(INDEX('Per Invoice'!O$2:O$401,$X168)="","",INDEX('Per Invoice'!O$2:O$401,$X168)))</f>
        <v/>
      </c>
      <c r="P168" s="7">
        <f>IF($X168="","",IF(INDEX('Per Invoice'!P$2:P$401,$X168)="","",INDEX('Per Invoice'!P$2:P$401,$X168)))</f>
        <v/>
      </c>
      <c r="Q168">
        <f>IF($X168="","",IF(INDEX('Per Invoice'!Q$2:Q$401,$X168)="","",INDEX('Per Invoice'!Q$2:Q$401,$X168)))</f>
        <v/>
      </c>
      <c r="R168" s="7">
        <f>IF($X168="","",IF(INDEX('Per Invoice'!R$2:R$401,$X168)="","",INDEX('Per Invoice'!R$2:R$401,$X168)))</f>
        <v/>
      </c>
      <c r="S168" s="7">
        <f>IF($X168="","",IF(INDEX('Per Invoice'!S$2:S$401,$X168)="","",INDEX('Per Invoice'!S$2:S$401,$X168)))</f>
        <v/>
      </c>
      <c r="T168" s="7">
        <f>IF($X168="","",IF(INDEX('Per Invoice'!T$2:T$401,$X168)="","",INDEX('Per Invoice'!T$2:T$401,$X168)))</f>
        <v/>
      </c>
      <c r="U168" s="7">
        <f>IF($X168="","",IF(INDEX('Per Invoice'!U$2:U$401,$X168)="","",INDEX('Per Invoice'!U$2:U$401,$X168)))</f>
        <v/>
      </c>
      <c r="V168" s="7">
        <f>IF($X168="","",IF(INDEX('Per Invoice'!V$2:V$401,$X168)="","",INDEX('Per Invoice'!V$2:V$401,$X168)))</f>
        <v/>
      </c>
      <c r="W168" s="7">
        <f>IF($X168="","",IF(INDEX('Per Invoice'!W$2:W$401,$X168)="","",INDEX('Per Invoice'!W$2:W$401,$X168)))</f>
        <v/>
      </c>
      <c r="X168" s="16">
        <f>IFERROR(MATCH(Settings!$C$33&amp;"|"&amp;ROWS($X$2:$X168),'Per Invoice'!$Y$2:$Y$401,0),"")</f>
        <v/>
      </c>
    </row>
    <row r="169">
      <c r="A169">
        <f>IF($X169="","",IF(INDEX('Per Invoice'!A$2:A$401,$X169)="","",INDEX('Per Invoice'!A$2:A$401,$X169)))</f>
        <v/>
      </c>
      <c r="B169">
        <f>IF($X169="","",IF(INDEX('Per Invoice'!B$2:B$401,$X169)="","",INDEX('Per Invoice'!B$2:B$401,$X169)))</f>
        <v/>
      </c>
      <c r="C169">
        <f>IF($X169="","",IF(INDEX('Per Invoice'!C$2:C$401,$X169)="","",INDEX('Per Invoice'!C$2:C$401,$X169)))</f>
        <v/>
      </c>
      <c r="D169">
        <f>IF($X169="","",IF(INDEX('Per Invoice'!D$2:D$401,$X169)="","",INDEX('Per Invoice'!D$2:D$401,$X169)))</f>
        <v/>
      </c>
      <c r="E169">
        <f>IF($X169="","",IF(INDEX('Per Invoice'!E$2:E$401,$X169)="","",INDEX('Per Invoice'!E$2:E$401,$X169)))</f>
        <v/>
      </c>
      <c r="F169">
        <f>IF($X169="","",IF(INDEX('Per Invoice'!F$2:F$401,$X169)="","",INDEX('Per Invoice'!F$2:F$401,$X169)))</f>
        <v/>
      </c>
      <c r="G169">
        <f>IF($X169="","",IF(INDEX('Per Invoice'!G$2:G$401,$X169)="","",INDEX('Per Invoice'!G$2:G$401,$X169)))</f>
        <v/>
      </c>
      <c r="H169">
        <f>IF($X169="","",IF(INDEX('Per Invoice'!H$2:H$401,$X169)="","",INDEX('Per Invoice'!H$2:H$401,$X169)))</f>
        <v/>
      </c>
      <c r="I169">
        <f>IF($X169="","",IF(INDEX('Per Invoice'!I$2:I$401,$X169)="","",INDEX('Per Invoice'!I$2:I$401,$X169)))</f>
        <v/>
      </c>
      <c r="J169">
        <f>IF($X169="","",IF(INDEX('Per Invoice'!J$2:J$401,$X169)="","",INDEX('Per Invoice'!J$2:J$401,$X169)))</f>
        <v/>
      </c>
      <c r="K169" s="14">
        <f>IF($X169="","",IF(INDEX('Per Invoice'!K$2:K$401,$X169)="","",INDEX('Per Invoice'!K$2:K$401,$X169)))</f>
        <v/>
      </c>
      <c r="L169">
        <f>IF($X169="","",IF(INDEX('Per Invoice'!L$2:L$401,$X169)="","",INDEX('Per Invoice'!L$2:L$401,$X169)))</f>
        <v/>
      </c>
      <c r="M169" s="7">
        <f>IF($X169="","",IF(INDEX('Per Invoice'!M$2:M$401,$X169)="","",INDEX('Per Invoice'!M$2:M$401,$X169)))</f>
        <v/>
      </c>
      <c r="N169">
        <f>IF($X169="","",IF(INDEX('Per Invoice'!N$2:N$401,$X169)="","",INDEX('Per Invoice'!N$2:N$401,$X169)))</f>
        <v/>
      </c>
      <c r="O169" s="7">
        <f>IF($X169="","",IF(INDEX('Per Invoice'!O$2:O$401,$X169)="","",INDEX('Per Invoice'!O$2:O$401,$X169)))</f>
        <v/>
      </c>
      <c r="P169" s="7">
        <f>IF($X169="","",IF(INDEX('Per Invoice'!P$2:P$401,$X169)="","",INDEX('Per Invoice'!P$2:P$401,$X169)))</f>
        <v/>
      </c>
      <c r="Q169">
        <f>IF($X169="","",IF(INDEX('Per Invoice'!Q$2:Q$401,$X169)="","",INDEX('Per Invoice'!Q$2:Q$401,$X169)))</f>
        <v/>
      </c>
      <c r="R169" s="7">
        <f>IF($X169="","",IF(INDEX('Per Invoice'!R$2:R$401,$X169)="","",INDEX('Per Invoice'!R$2:R$401,$X169)))</f>
        <v/>
      </c>
      <c r="S169" s="7">
        <f>IF($X169="","",IF(INDEX('Per Invoice'!S$2:S$401,$X169)="","",INDEX('Per Invoice'!S$2:S$401,$X169)))</f>
        <v/>
      </c>
      <c r="T169" s="7">
        <f>IF($X169="","",IF(INDEX('Per Invoice'!T$2:T$401,$X169)="","",INDEX('Per Invoice'!T$2:T$401,$X169)))</f>
        <v/>
      </c>
      <c r="U169" s="7">
        <f>IF($X169="","",IF(INDEX('Per Invoice'!U$2:U$401,$X169)="","",INDEX('Per Invoice'!U$2:U$401,$X169)))</f>
        <v/>
      </c>
      <c r="V169" s="7">
        <f>IF($X169="","",IF(INDEX('Per Invoice'!V$2:V$401,$X169)="","",INDEX('Per Invoice'!V$2:V$401,$X169)))</f>
        <v/>
      </c>
      <c r="W169" s="7">
        <f>IF($X169="","",IF(INDEX('Per Invoice'!W$2:W$401,$X169)="","",INDEX('Per Invoice'!W$2:W$401,$X169)))</f>
        <v/>
      </c>
      <c r="X169" s="16">
        <f>IFERROR(MATCH(Settings!$C$33&amp;"|"&amp;ROWS($X$2:$X169),'Per Invoice'!$Y$2:$Y$401,0),"")</f>
        <v/>
      </c>
    </row>
    <row r="170">
      <c r="A170">
        <f>IF($X170="","",IF(INDEX('Per Invoice'!A$2:A$401,$X170)="","",INDEX('Per Invoice'!A$2:A$401,$X170)))</f>
        <v/>
      </c>
      <c r="B170">
        <f>IF($X170="","",IF(INDEX('Per Invoice'!B$2:B$401,$X170)="","",INDEX('Per Invoice'!B$2:B$401,$X170)))</f>
        <v/>
      </c>
      <c r="C170">
        <f>IF($X170="","",IF(INDEX('Per Invoice'!C$2:C$401,$X170)="","",INDEX('Per Invoice'!C$2:C$401,$X170)))</f>
        <v/>
      </c>
      <c r="D170">
        <f>IF($X170="","",IF(INDEX('Per Invoice'!D$2:D$401,$X170)="","",INDEX('Per Invoice'!D$2:D$401,$X170)))</f>
        <v/>
      </c>
      <c r="E170">
        <f>IF($X170="","",IF(INDEX('Per Invoice'!E$2:E$401,$X170)="","",INDEX('Per Invoice'!E$2:E$401,$X170)))</f>
        <v/>
      </c>
      <c r="F170">
        <f>IF($X170="","",IF(INDEX('Per Invoice'!F$2:F$401,$X170)="","",INDEX('Per Invoice'!F$2:F$401,$X170)))</f>
        <v/>
      </c>
      <c r="G170">
        <f>IF($X170="","",IF(INDEX('Per Invoice'!G$2:G$401,$X170)="","",INDEX('Per Invoice'!G$2:G$401,$X170)))</f>
        <v/>
      </c>
      <c r="H170">
        <f>IF($X170="","",IF(INDEX('Per Invoice'!H$2:H$401,$X170)="","",INDEX('Per Invoice'!H$2:H$401,$X170)))</f>
        <v/>
      </c>
      <c r="I170">
        <f>IF($X170="","",IF(INDEX('Per Invoice'!I$2:I$401,$X170)="","",INDEX('Per Invoice'!I$2:I$401,$X170)))</f>
        <v/>
      </c>
      <c r="J170">
        <f>IF($X170="","",IF(INDEX('Per Invoice'!J$2:J$401,$X170)="","",INDEX('Per Invoice'!J$2:J$401,$X170)))</f>
        <v/>
      </c>
      <c r="K170" s="14">
        <f>IF($X170="","",IF(INDEX('Per Invoice'!K$2:K$401,$X170)="","",INDEX('Per Invoice'!K$2:K$401,$X170)))</f>
        <v/>
      </c>
      <c r="L170">
        <f>IF($X170="","",IF(INDEX('Per Invoice'!L$2:L$401,$X170)="","",INDEX('Per Invoice'!L$2:L$401,$X170)))</f>
        <v/>
      </c>
      <c r="M170" s="7">
        <f>IF($X170="","",IF(INDEX('Per Invoice'!M$2:M$401,$X170)="","",INDEX('Per Invoice'!M$2:M$401,$X170)))</f>
        <v/>
      </c>
      <c r="N170">
        <f>IF($X170="","",IF(INDEX('Per Invoice'!N$2:N$401,$X170)="","",INDEX('Per Invoice'!N$2:N$401,$X170)))</f>
        <v/>
      </c>
      <c r="O170" s="7">
        <f>IF($X170="","",IF(INDEX('Per Invoice'!O$2:O$401,$X170)="","",INDEX('Per Invoice'!O$2:O$401,$X170)))</f>
        <v/>
      </c>
      <c r="P170" s="7">
        <f>IF($X170="","",IF(INDEX('Per Invoice'!P$2:P$401,$X170)="","",INDEX('Per Invoice'!P$2:P$401,$X170)))</f>
        <v/>
      </c>
      <c r="Q170">
        <f>IF($X170="","",IF(INDEX('Per Invoice'!Q$2:Q$401,$X170)="","",INDEX('Per Invoice'!Q$2:Q$401,$X170)))</f>
        <v/>
      </c>
      <c r="R170" s="7">
        <f>IF($X170="","",IF(INDEX('Per Invoice'!R$2:R$401,$X170)="","",INDEX('Per Invoice'!R$2:R$401,$X170)))</f>
        <v/>
      </c>
      <c r="S170" s="7">
        <f>IF($X170="","",IF(INDEX('Per Invoice'!S$2:S$401,$X170)="","",INDEX('Per Invoice'!S$2:S$401,$X170)))</f>
        <v/>
      </c>
      <c r="T170" s="7">
        <f>IF($X170="","",IF(INDEX('Per Invoice'!T$2:T$401,$X170)="","",INDEX('Per Invoice'!T$2:T$401,$X170)))</f>
        <v/>
      </c>
      <c r="U170" s="7">
        <f>IF($X170="","",IF(INDEX('Per Invoice'!U$2:U$401,$X170)="","",INDEX('Per Invoice'!U$2:U$401,$X170)))</f>
        <v/>
      </c>
      <c r="V170" s="7">
        <f>IF($X170="","",IF(INDEX('Per Invoice'!V$2:V$401,$X170)="","",INDEX('Per Invoice'!V$2:V$401,$X170)))</f>
        <v/>
      </c>
      <c r="W170" s="7">
        <f>IF($X170="","",IF(INDEX('Per Invoice'!W$2:W$401,$X170)="","",INDEX('Per Invoice'!W$2:W$401,$X170)))</f>
        <v/>
      </c>
      <c r="X170" s="16">
        <f>IFERROR(MATCH(Settings!$C$33&amp;"|"&amp;ROWS($X$2:$X170),'Per Invoice'!$Y$2:$Y$401,0),"")</f>
        <v/>
      </c>
    </row>
    <row r="171">
      <c r="A171">
        <f>IF($X171="","",IF(INDEX('Per Invoice'!A$2:A$401,$X171)="","",INDEX('Per Invoice'!A$2:A$401,$X171)))</f>
        <v/>
      </c>
      <c r="B171">
        <f>IF($X171="","",IF(INDEX('Per Invoice'!B$2:B$401,$X171)="","",INDEX('Per Invoice'!B$2:B$401,$X171)))</f>
        <v/>
      </c>
      <c r="C171">
        <f>IF($X171="","",IF(INDEX('Per Invoice'!C$2:C$401,$X171)="","",INDEX('Per Invoice'!C$2:C$401,$X171)))</f>
        <v/>
      </c>
      <c r="D171">
        <f>IF($X171="","",IF(INDEX('Per Invoice'!D$2:D$401,$X171)="","",INDEX('Per Invoice'!D$2:D$401,$X171)))</f>
        <v/>
      </c>
      <c r="E171">
        <f>IF($X171="","",IF(INDEX('Per Invoice'!E$2:E$401,$X171)="","",INDEX('Per Invoice'!E$2:E$401,$X171)))</f>
        <v/>
      </c>
      <c r="F171">
        <f>IF($X171="","",IF(INDEX('Per Invoice'!F$2:F$401,$X171)="","",INDEX('Per Invoice'!F$2:F$401,$X171)))</f>
        <v/>
      </c>
      <c r="G171">
        <f>IF($X171="","",IF(INDEX('Per Invoice'!G$2:G$401,$X171)="","",INDEX('Per Invoice'!G$2:G$401,$X171)))</f>
        <v/>
      </c>
      <c r="H171">
        <f>IF($X171="","",IF(INDEX('Per Invoice'!H$2:H$401,$X171)="","",INDEX('Per Invoice'!H$2:H$401,$X171)))</f>
        <v/>
      </c>
      <c r="I171">
        <f>IF($X171="","",IF(INDEX('Per Invoice'!I$2:I$401,$X171)="","",INDEX('Per Invoice'!I$2:I$401,$X171)))</f>
        <v/>
      </c>
      <c r="J171">
        <f>IF($X171="","",IF(INDEX('Per Invoice'!J$2:J$401,$X171)="","",INDEX('Per Invoice'!J$2:J$401,$X171)))</f>
        <v/>
      </c>
      <c r="K171" s="14">
        <f>IF($X171="","",IF(INDEX('Per Invoice'!K$2:K$401,$X171)="","",INDEX('Per Invoice'!K$2:K$401,$X171)))</f>
        <v/>
      </c>
      <c r="L171">
        <f>IF($X171="","",IF(INDEX('Per Invoice'!L$2:L$401,$X171)="","",INDEX('Per Invoice'!L$2:L$401,$X171)))</f>
        <v/>
      </c>
      <c r="M171" s="7">
        <f>IF($X171="","",IF(INDEX('Per Invoice'!M$2:M$401,$X171)="","",INDEX('Per Invoice'!M$2:M$401,$X171)))</f>
        <v/>
      </c>
      <c r="N171">
        <f>IF($X171="","",IF(INDEX('Per Invoice'!N$2:N$401,$X171)="","",INDEX('Per Invoice'!N$2:N$401,$X171)))</f>
        <v/>
      </c>
      <c r="O171" s="7">
        <f>IF($X171="","",IF(INDEX('Per Invoice'!O$2:O$401,$X171)="","",INDEX('Per Invoice'!O$2:O$401,$X171)))</f>
        <v/>
      </c>
      <c r="P171" s="7">
        <f>IF($X171="","",IF(INDEX('Per Invoice'!P$2:P$401,$X171)="","",INDEX('Per Invoice'!P$2:P$401,$X171)))</f>
        <v/>
      </c>
      <c r="Q171">
        <f>IF($X171="","",IF(INDEX('Per Invoice'!Q$2:Q$401,$X171)="","",INDEX('Per Invoice'!Q$2:Q$401,$X171)))</f>
        <v/>
      </c>
      <c r="R171" s="7">
        <f>IF($X171="","",IF(INDEX('Per Invoice'!R$2:R$401,$X171)="","",INDEX('Per Invoice'!R$2:R$401,$X171)))</f>
        <v/>
      </c>
      <c r="S171" s="7">
        <f>IF($X171="","",IF(INDEX('Per Invoice'!S$2:S$401,$X171)="","",INDEX('Per Invoice'!S$2:S$401,$X171)))</f>
        <v/>
      </c>
      <c r="T171" s="7">
        <f>IF($X171="","",IF(INDEX('Per Invoice'!T$2:T$401,$X171)="","",INDEX('Per Invoice'!T$2:T$401,$X171)))</f>
        <v/>
      </c>
      <c r="U171" s="7">
        <f>IF($X171="","",IF(INDEX('Per Invoice'!U$2:U$401,$X171)="","",INDEX('Per Invoice'!U$2:U$401,$X171)))</f>
        <v/>
      </c>
      <c r="V171" s="7">
        <f>IF($X171="","",IF(INDEX('Per Invoice'!V$2:V$401,$X171)="","",INDEX('Per Invoice'!V$2:V$401,$X171)))</f>
        <v/>
      </c>
      <c r="W171" s="7">
        <f>IF($X171="","",IF(INDEX('Per Invoice'!W$2:W$401,$X171)="","",INDEX('Per Invoice'!W$2:W$401,$X171)))</f>
        <v/>
      </c>
      <c r="X171" s="16">
        <f>IFERROR(MATCH(Settings!$C$33&amp;"|"&amp;ROWS($X$2:$X171),'Per Invoice'!$Y$2:$Y$401,0),"")</f>
        <v/>
      </c>
    </row>
    <row r="172">
      <c r="A172">
        <f>IF($X172="","",IF(INDEX('Per Invoice'!A$2:A$401,$X172)="","",INDEX('Per Invoice'!A$2:A$401,$X172)))</f>
        <v/>
      </c>
      <c r="B172">
        <f>IF($X172="","",IF(INDEX('Per Invoice'!B$2:B$401,$X172)="","",INDEX('Per Invoice'!B$2:B$401,$X172)))</f>
        <v/>
      </c>
      <c r="C172">
        <f>IF($X172="","",IF(INDEX('Per Invoice'!C$2:C$401,$X172)="","",INDEX('Per Invoice'!C$2:C$401,$X172)))</f>
        <v/>
      </c>
      <c r="D172">
        <f>IF($X172="","",IF(INDEX('Per Invoice'!D$2:D$401,$X172)="","",INDEX('Per Invoice'!D$2:D$401,$X172)))</f>
        <v/>
      </c>
      <c r="E172">
        <f>IF($X172="","",IF(INDEX('Per Invoice'!E$2:E$401,$X172)="","",INDEX('Per Invoice'!E$2:E$401,$X172)))</f>
        <v/>
      </c>
      <c r="F172">
        <f>IF($X172="","",IF(INDEX('Per Invoice'!F$2:F$401,$X172)="","",INDEX('Per Invoice'!F$2:F$401,$X172)))</f>
        <v/>
      </c>
      <c r="G172">
        <f>IF($X172="","",IF(INDEX('Per Invoice'!G$2:G$401,$X172)="","",INDEX('Per Invoice'!G$2:G$401,$X172)))</f>
        <v/>
      </c>
      <c r="H172">
        <f>IF($X172="","",IF(INDEX('Per Invoice'!H$2:H$401,$X172)="","",INDEX('Per Invoice'!H$2:H$401,$X172)))</f>
        <v/>
      </c>
      <c r="I172">
        <f>IF($X172="","",IF(INDEX('Per Invoice'!I$2:I$401,$X172)="","",INDEX('Per Invoice'!I$2:I$401,$X172)))</f>
        <v/>
      </c>
      <c r="J172">
        <f>IF($X172="","",IF(INDEX('Per Invoice'!J$2:J$401,$X172)="","",INDEX('Per Invoice'!J$2:J$401,$X172)))</f>
        <v/>
      </c>
      <c r="K172" s="14">
        <f>IF($X172="","",IF(INDEX('Per Invoice'!K$2:K$401,$X172)="","",INDEX('Per Invoice'!K$2:K$401,$X172)))</f>
        <v/>
      </c>
      <c r="L172">
        <f>IF($X172="","",IF(INDEX('Per Invoice'!L$2:L$401,$X172)="","",INDEX('Per Invoice'!L$2:L$401,$X172)))</f>
        <v/>
      </c>
      <c r="M172" s="7">
        <f>IF($X172="","",IF(INDEX('Per Invoice'!M$2:M$401,$X172)="","",INDEX('Per Invoice'!M$2:M$401,$X172)))</f>
        <v/>
      </c>
      <c r="N172">
        <f>IF($X172="","",IF(INDEX('Per Invoice'!N$2:N$401,$X172)="","",INDEX('Per Invoice'!N$2:N$401,$X172)))</f>
        <v/>
      </c>
      <c r="O172" s="7">
        <f>IF($X172="","",IF(INDEX('Per Invoice'!O$2:O$401,$X172)="","",INDEX('Per Invoice'!O$2:O$401,$X172)))</f>
        <v/>
      </c>
      <c r="P172" s="7">
        <f>IF($X172="","",IF(INDEX('Per Invoice'!P$2:P$401,$X172)="","",INDEX('Per Invoice'!P$2:P$401,$X172)))</f>
        <v/>
      </c>
      <c r="Q172">
        <f>IF($X172="","",IF(INDEX('Per Invoice'!Q$2:Q$401,$X172)="","",INDEX('Per Invoice'!Q$2:Q$401,$X172)))</f>
        <v/>
      </c>
      <c r="R172" s="7">
        <f>IF($X172="","",IF(INDEX('Per Invoice'!R$2:R$401,$X172)="","",INDEX('Per Invoice'!R$2:R$401,$X172)))</f>
        <v/>
      </c>
      <c r="S172" s="7">
        <f>IF($X172="","",IF(INDEX('Per Invoice'!S$2:S$401,$X172)="","",INDEX('Per Invoice'!S$2:S$401,$X172)))</f>
        <v/>
      </c>
      <c r="T172" s="7">
        <f>IF($X172="","",IF(INDEX('Per Invoice'!T$2:T$401,$X172)="","",INDEX('Per Invoice'!T$2:T$401,$X172)))</f>
        <v/>
      </c>
      <c r="U172" s="7">
        <f>IF($X172="","",IF(INDEX('Per Invoice'!U$2:U$401,$X172)="","",INDEX('Per Invoice'!U$2:U$401,$X172)))</f>
        <v/>
      </c>
      <c r="V172" s="7">
        <f>IF($X172="","",IF(INDEX('Per Invoice'!V$2:V$401,$X172)="","",INDEX('Per Invoice'!V$2:V$401,$X172)))</f>
        <v/>
      </c>
      <c r="W172" s="7">
        <f>IF($X172="","",IF(INDEX('Per Invoice'!W$2:W$401,$X172)="","",INDEX('Per Invoice'!W$2:W$401,$X172)))</f>
        <v/>
      </c>
      <c r="X172" s="16">
        <f>IFERROR(MATCH(Settings!$C$33&amp;"|"&amp;ROWS($X$2:$X172),'Per Invoice'!$Y$2:$Y$401,0),"")</f>
        <v/>
      </c>
    </row>
    <row r="173">
      <c r="A173">
        <f>IF($X173="","",IF(INDEX('Per Invoice'!A$2:A$401,$X173)="","",INDEX('Per Invoice'!A$2:A$401,$X173)))</f>
        <v/>
      </c>
      <c r="B173">
        <f>IF($X173="","",IF(INDEX('Per Invoice'!B$2:B$401,$X173)="","",INDEX('Per Invoice'!B$2:B$401,$X173)))</f>
        <v/>
      </c>
      <c r="C173">
        <f>IF($X173="","",IF(INDEX('Per Invoice'!C$2:C$401,$X173)="","",INDEX('Per Invoice'!C$2:C$401,$X173)))</f>
        <v/>
      </c>
      <c r="D173">
        <f>IF($X173="","",IF(INDEX('Per Invoice'!D$2:D$401,$X173)="","",INDEX('Per Invoice'!D$2:D$401,$X173)))</f>
        <v/>
      </c>
      <c r="E173">
        <f>IF($X173="","",IF(INDEX('Per Invoice'!E$2:E$401,$X173)="","",INDEX('Per Invoice'!E$2:E$401,$X173)))</f>
        <v/>
      </c>
      <c r="F173">
        <f>IF($X173="","",IF(INDEX('Per Invoice'!F$2:F$401,$X173)="","",INDEX('Per Invoice'!F$2:F$401,$X173)))</f>
        <v/>
      </c>
      <c r="G173">
        <f>IF($X173="","",IF(INDEX('Per Invoice'!G$2:G$401,$X173)="","",INDEX('Per Invoice'!G$2:G$401,$X173)))</f>
        <v/>
      </c>
      <c r="H173">
        <f>IF($X173="","",IF(INDEX('Per Invoice'!H$2:H$401,$X173)="","",INDEX('Per Invoice'!H$2:H$401,$X173)))</f>
        <v/>
      </c>
      <c r="I173">
        <f>IF($X173="","",IF(INDEX('Per Invoice'!I$2:I$401,$X173)="","",INDEX('Per Invoice'!I$2:I$401,$X173)))</f>
        <v/>
      </c>
      <c r="J173">
        <f>IF($X173="","",IF(INDEX('Per Invoice'!J$2:J$401,$X173)="","",INDEX('Per Invoice'!J$2:J$401,$X173)))</f>
        <v/>
      </c>
      <c r="K173" s="14">
        <f>IF($X173="","",IF(INDEX('Per Invoice'!K$2:K$401,$X173)="","",INDEX('Per Invoice'!K$2:K$401,$X173)))</f>
        <v/>
      </c>
      <c r="L173">
        <f>IF($X173="","",IF(INDEX('Per Invoice'!L$2:L$401,$X173)="","",INDEX('Per Invoice'!L$2:L$401,$X173)))</f>
        <v/>
      </c>
      <c r="M173" s="7">
        <f>IF($X173="","",IF(INDEX('Per Invoice'!M$2:M$401,$X173)="","",INDEX('Per Invoice'!M$2:M$401,$X173)))</f>
        <v/>
      </c>
      <c r="N173">
        <f>IF($X173="","",IF(INDEX('Per Invoice'!N$2:N$401,$X173)="","",INDEX('Per Invoice'!N$2:N$401,$X173)))</f>
        <v/>
      </c>
      <c r="O173" s="7">
        <f>IF($X173="","",IF(INDEX('Per Invoice'!O$2:O$401,$X173)="","",INDEX('Per Invoice'!O$2:O$401,$X173)))</f>
        <v/>
      </c>
      <c r="P173" s="7">
        <f>IF($X173="","",IF(INDEX('Per Invoice'!P$2:P$401,$X173)="","",INDEX('Per Invoice'!P$2:P$401,$X173)))</f>
        <v/>
      </c>
      <c r="Q173">
        <f>IF($X173="","",IF(INDEX('Per Invoice'!Q$2:Q$401,$X173)="","",INDEX('Per Invoice'!Q$2:Q$401,$X173)))</f>
        <v/>
      </c>
      <c r="R173" s="7">
        <f>IF($X173="","",IF(INDEX('Per Invoice'!R$2:R$401,$X173)="","",INDEX('Per Invoice'!R$2:R$401,$X173)))</f>
        <v/>
      </c>
      <c r="S173" s="7">
        <f>IF($X173="","",IF(INDEX('Per Invoice'!S$2:S$401,$X173)="","",INDEX('Per Invoice'!S$2:S$401,$X173)))</f>
        <v/>
      </c>
      <c r="T173" s="7">
        <f>IF($X173="","",IF(INDEX('Per Invoice'!T$2:T$401,$X173)="","",INDEX('Per Invoice'!T$2:T$401,$X173)))</f>
        <v/>
      </c>
      <c r="U173" s="7">
        <f>IF($X173="","",IF(INDEX('Per Invoice'!U$2:U$401,$X173)="","",INDEX('Per Invoice'!U$2:U$401,$X173)))</f>
        <v/>
      </c>
      <c r="V173" s="7">
        <f>IF($X173="","",IF(INDEX('Per Invoice'!V$2:V$401,$X173)="","",INDEX('Per Invoice'!V$2:V$401,$X173)))</f>
        <v/>
      </c>
      <c r="W173" s="7">
        <f>IF($X173="","",IF(INDEX('Per Invoice'!W$2:W$401,$X173)="","",INDEX('Per Invoice'!W$2:W$401,$X173)))</f>
        <v/>
      </c>
      <c r="X173" s="16">
        <f>IFERROR(MATCH(Settings!$C$33&amp;"|"&amp;ROWS($X$2:$X173),'Per Invoice'!$Y$2:$Y$401,0),"")</f>
        <v/>
      </c>
    </row>
    <row r="174">
      <c r="A174">
        <f>IF($X174="","",IF(INDEX('Per Invoice'!A$2:A$401,$X174)="","",INDEX('Per Invoice'!A$2:A$401,$X174)))</f>
        <v/>
      </c>
      <c r="B174">
        <f>IF($X174="","",IF(INDEX('Per Invoice'!B$2:B$401,$X174)="","",INDEX('Per Invoice'!B$2:B$401,$X174)))</f>
        <v/>
      </c>
      <c r="C174">
        <f>IF($X174="","",IF(INDEX('Per Invoice'!C$2:C$401,$X174)="","",INDEX('Per Invoice'!C$2:C$401,$X174)))</f>
        <v/>
      </c>
      <c r="D174">
        <f>IF($X174="","",IF(INDEX('Per Invoice'!D$2:D$401,$X174)="","",INDEX('Per Invoice'!D$2:D$401,$X174)))</f>
        <v/>
      </c>
      <c r="E174">
        <f>IF($X174="","",IF(INDEX('Per Invoice'!E$2:E$401,$X174)="","",INDEX('Per Invoice'!E$2:E$401,$X174)))</f>
        <v/>
      </c>
      <c r="F174">
        <f>IF($X174="","",IF(INDEX('Per Invoice'!F$2:F$401,$X174)="","",INDEX('Per Invoice'!F$2:F$401,$X174)))</f>
        <v/>
      </c>
      <c r="G174">
        <f>IF($X174="","",IF(INDEX('Per Invoice'!G$2:G$401,$X174)="","",INDEX('Per Invoice'!G$2:G$401,$X174)))</f>
        <v/>
      </c>
      <c r="H174">
        <f>IF($X174="","",IF(INDEX('Per Invoice'!H$2:H$401,$X174)="","",INDEX('Per Invoice'!H$2:H$401,$X174)))</f>
        <v/>
      </c>
      <c r="I174">
        <f>IF($X174="","",IF(INDEX('Per Invoice'!I$2:I$401,$X174)="","",INDEX('Per Invoice'!I$2:I$401,$X174)))</f>
        <v/>
      </c>
      <c r="J174">
        <f>IF($X174="","",IF(INDEX('Per Invoice'!J$2:J$401,$X174)="","",INDEX('Per Invoice'!J$2:J$401,$X174)))</f>
        <v/>
      </c>
      <c r="K174" s="14">
        <f>IF($X174="","",IF(INDEX('Per Invoice'!K$2:K$401,$X174)="","",INDEX('Per Invoice'!K$2:K$401,$X174)))</f>
        <v/>
      </c>
      <c r="L174">
        <f>IF($X174="","",IF(INDEX('Per Invoice'!L$2:L$401,$X174)="","",INDEX('Per Invoice'!L$2:L$401,$X174)))</f>
        <v/>
      </c>
      <c r="M174" s="7">
        <f>IF($X174="","",IF(INDEX('Per Invoice'!M$2:M$401,$X174)="","",INDEX('Per Invoice'!M$2:M$401,$X174)))</f>
        <v/>
      </c>
      <c r="N174">
        <f>IF($X174="","",IF(INDEX('Per Invoice'!N$2:N$401,$X174)="","",INDEX('Per Invoice'!N$2:N$401,$X174)))</f>
        <v/>
      </c>
      <c r="O174" s="7">
        <f>IF($X174="","",IF(INDEX('Per Invoice'!O$2:O$401,$X174)="","",INDEX('Per Invoice'!O$2:O$401,$X174)))</f>
        <v/>
      </c>
      <c r="P174" s="7">
        <f>IF($X174="","",IF(INDEX('Per Invoice'!P$2:P$401,$X174)="","",INDEX('Per Invoice'!P$2:P$401,$X174)))</f>
        <v/>
      </c>
      <c r="Q174">
        <f>IF($X174="","",IF(INDEX('Per Invoice'!Q$2:Q$401,$X174)="","",INDEX('Per Invoice'!Q$2:Q$401,$X174)))</f>
        <v/>
      </c>
      <c r="R174" s="7">
        <f>IF($X174="","",IF(INDEX('Per Invoice'!R$2:R$401,$X174)="","",INDEX('Per Invoice'!R$2:R$401,$X174)))</f>
        <v/>
      </c>
      <c r="S174" s="7">
        <f>IF($X174="","",IF(INDEX('Per Invoice'!S$2:S$401,$X174)="","",INDEX('Per Invoice'!S$2:S$401,$X174)))</f>
        <v/>
      </c>
      <c r="T174" s="7">
        <f>IF($X174="","",IF(INDEX('Per Invoice'!T$2:T$401,$X174)="","",INDEX('Per Invoice'!T$2:T$401,$X174)))</f>
        <v/>
      </c>
      <c r="U174" s="7">
        <f>IF($X174="","",IF(INDEX('Per Invoice'!U$2:U$401,$X174)="","",INDEX('Per Invoice'!U$2:U$401,$X174)))</f>
        <v/>
      </c>
      <c r="V174" s="7">
        <f>IF($X174="","",IF(INDEX('Per Invoice'!V$2:V$401,$X174)="","",INDEX('Per Invoice'!V$2:V$401,$X174)))</f>
        <v/>
      </c>
      <c r="W174" s="7">
        <f>IF($X174="","",IF(INDEX('Per Invoice'!W$2:W$401,$X174)="","",INDEX('Per Invoice'!W$2:W$401,$X174)))</f>
        <v/>
      </c>
      <c r="X174" s="16">
        <f>IFERROR(MATCH(Settings!$C$33&amp;"|"&amp;ROWS($X$2:$X174),'Per Invoice'!$Y$2:$Y$401,0),"")</f>
        <v/>
      </c>
    </row>
    <row r="175">
      <c r="A175">
        <f>IF($X175="","",IF(INDEX('Per Invoice'!A$2:A$401,$X175)="","",INDEX('Per Invoice'!A$2:A$401,$X175)))</f>
        <v/>
      </c>
      <c r="B175">
        <f>IF($X175="","",IF(INDEX('Per Invoice'!B$2:B$401,$X175)="","",INDEX('Per Invoice'!B$2:B$401,$X175)))</f>
        <v/>
      </c>
      <c r="C175">
        <f>IF($X175="","",IF(INDEX('Per Invoice'!C$2:C$401,$X175)="","",INDEX('Per Invoice'!C$2:C$401,$X175)))</f>
        <v/>
      </c>
      <c r="D175">
        <f>IF($X175="","",IF(INDEX('Per Invoice'!D$2:D$401,$X175)="","",INDEX('Per Invoice'!D$2:D$401,$X175)))</f>
        <v/>
      </c>
      <c r="E175">
        <f>IF($X175="","",IF(INDEX('Per Invoice'!E$2:E$401,$X175)="","",INDEX('Per Invoice'!E$2:E$401,$X175)))</f>
        <v/>
      </c>
      <c r="F175">
        <f>IF($X175="","",IF(INDEX('Per Invoice'!F$2:F$401,$X175)="","",INDEX('Per Invoice'!F$2:F$401,$X175)))</f>
        <v/>
      </c>
      <c r="G175">
        <f>IF($X175="","",IF(INDEX('Per Invoice'!G$2:G$401,$X175)="","",INDEX('Per Invoice'!G$2:G$401,$X175)))</f>
        <v/>
      </c>
      <c r="H175">
        <f>IF($X175="","",IF(INDEX('Per Invoice'!H$2:H$401,$X175)="","",INDEX('Per Invoice'!H$2:H$401,$X175)))</f>
        <v/>
      </c>
      <c r="I175">
        <f>IF($X175="","",IF(INDEX('Per Invoice'!I$2:I$401,$X175)="","",INDEX('Per Invoice'!I$2:I$401,$X175)))</f>
        <v/>
      </c>
      <c r="J175">
        <f>IF($X175="","",IF(INDEX('Per Invoice'!J$2:J$401,$X175)="","",INDEX('Per Invoice'!J$2:J$401,$X175)))</f>
        <v/>
      </c>
      <c r="K175" s="14">
        <f>IF($X175="","",IF(INDEX('Per Invoice'!K$2:K$401,$X175)="","",INDEX('Per Invoice'!K$2:K$401,$X175)))</f>
        <v/>
      </c>
      <c r="L175">
        <f>IF($X175="","",IF(INDEX('Per Invoice'!L$2:L$401,$X175)="","",INDEX('Per Invoice'!L$2:L$401,$X175)))</f>
        <v/>
      </c>
      <c r="M175" s="7">
        <f>IF($X175="","",IF(INDEX('Per Invoice'!M$2:M$401,$X175)="","",INDEX('Per Invoice'!M$2:M$401,$X175)))</f>
        <v/>
      </c>
      <c r="N175">
        <f>IF($X175="","",IF(INDEX('Per Invoice'!N$2:N$401,$X175)="","",INDEX('Per Invoice'!N$2:N$401,$X175)))</f>
        <v/>
      </c>
      <c r="O175" s="7">
        <f>IF($X175="","",IF(INDEX('Per Invoice'!O$2:O$401,$X175)="","",INDEX('Per Invoice'!O$2:O$401,$X175)))</f>
        <v/>
      </c>
      <c r="P175" s="7">
        <f>IF($X175="","",IF(INDEX('Per Invoice'!P$2:P$401,$X175)="","",INDEX('Per Invoice'!P$2:P$401,$X175)))</f>
        <v/>
      </c>
      <c r="Q175">
        <f>IF($X175="","",IF(INDEX('Per Invoice'!Q$2:Q$401,$X175)="","",INDEX('Per Invoice'!Q$2:Q$401,$X175)))</f>
        <v/>
      </c>
      <c r="R175" s="7">
        <f>IF($X175="","",IF(INDEX('Per Invoice'!R$2:R$401,$X175)="","",INDEX('Per Invoice'!R$2:R$401,$X175)))</f>
        <v/>
      </c>
      <c r="S175" s="7">
        <f>IF($X175="","",IF(INDEX('Per Invoice'!S$2:S$401,$X175)="","",INDEX('Per Invoice'!S$2:S$401,$X175)))</f>
        <v/>
      </c>
      <c r="T175" s="7">
        <f>IF($X175="","",IF(INDEX('Per Invoice'!T$2:T$401,$X175)="","",INDEX('Per Invoice'!T$2:T$401,$X175)))</f>
        <v/>
      </c>
      <c r="U175" s="7">
        <f>IF($X175="","",IF(INDEX('Per Invoice'!U$2:U$401,$X175)="","",INDEX('Per Invoice'!U$2:U$401,$X175)))</f>
        <v/>
      </c>
      <c r="V175" s="7">
        <f>IF($X175="","",IF(INDEX('Per Invoice'!V$2:V$401,$X175)="","",INDEX('Per Invoice'!V$2:V$401,$X175)))</f>
        <v/>
      </c>
      <c r="W175" s="7">
        <f>IF($X175="","",IF(INDEX('Per Invoice'!W$2:W$401,$X175)="","",INDEX('Per Invoice'!W$2:W$401,$X175)))</f>
        <v/>
      </c>
      <c r="X175" s="16">
        <f>IFERROR(MATCH(Settings!$C$33&amp;"|"&amp;ROWS($X$2:$X175),'Per Invoice'!$Y$2:$Y$401,0),"")</f>
        <v/>
      </c>
    </row>
    <row r="176">
      <c r="A176">
        <f>IF($X176="","",IF(INDEX('Per Invoice'!A$2:A$401,$X176)="","",INDEX('Per Invoice'!A$2:A$401,$X176)))</f>
        <v/>
      </c>
      <c r="B176">
        <f>IF($X176="","",IF(INDEX('Per Invoice'!B$2:B$401,$X176)="","",INDEX('Per Invoice'!B$2:B$401,$X176)))</f>
        <v/>
      </c>
      <c r="C176">
        <f>IF($X176="","",IF(INDEX('Per Invoice'!C$2:C$401,$X176)="","",INDEX('Per Invoice'!C$2:C$401,$X176)))</f>
        <v/>
      </c>
      <c r="D176">
        <f>IF($X176="","",IF(INDEX('Per Invoice'!D$2:D$401,$X176)="","",INDEX('Per Invoice'!D$2:D$401,$X176)))</f>
        <v/>
      </c>
      <c r="E176">
        <f>IF($X176="","",IF(INDEX('Per Invoice'!E$2:E$401,$X176)="","",INDEX('Per Invoice'!E$2:E$401,$X176)))</f>
        <v/>
      </c>
      <c r="F176">
        <f>IF($X176="","",IF(INDEX('Per Invoice'!F$2:F$401,$X176)="","",INDEX('Per Invoice'!F$2:F$401,$X176)))</f>
        <v/>
      </c>
      <c r="G176">
        <f>IF($X176="","",IF(INDEX('Per Invoice'!G$2:G$401,$X176)="","",INDEX('Per Invoice'!G$2:G$401,$X176)))</f>
        <v/>
      </c>
      <c r="H176">
        <f>IF($X176="","",IF(INDEX('Per Invoice'!H$2:H$401,$X176)="","",INDEX('Per Invoice'!H$2:H$401,$X176)))</f>
        <v/>
      </c>
      <c r="I176">
        <f>IF($X176="","",IF(INDEX('Per Invoice'!I$2:I$401,$X176)="","",INDEX('Per Invoice'!I$2:I$401,$X176)))</f>
        <v/>
      </c>
      <c r="J176">
        <f>IF($X176="","",IF(INDEX('Per Invoice'!J$2:J$401,$X176)="","",INDEX('Per Invoice'!J$2:J$401,$X176)))</f>
        <v/>
      </c>
      <c r="K176" s="14">
        <f>IF($X176="","",IF(INDEX('Per Invoice'!K$2:K$401,$X176)="","",INDEX('Per Invoice'!K$2:K$401,$X176)))</f>
        <v/>
      </c>
      <c r="L176">
        <f>IF($X176="","",IF(INDEX('Per Invoice'!L$2:L$401,$X176)="","",INDEX('Per Invoice'!L$2:L$401,$X176)))</f>
        <v/>
      </c>
      <c r="M176" s="7">
        <f>IF($X176="","",IF(INDEX('Per Invoice'!M$2:M$401,$X176)="","",INDEX('Per Invoice'!M$2:M$401,$X176)))</f>
        <v/>
      </c>
      <c r="N176">
        <f>IF($X176="","",IF(INDEX('Per Invoice'!N$2:N$401,$X176)="","",INDEX('Per Invoice'!N$2:N$401,$X176)))</f>
        <v/>
      </c>
      <c r="O176" s="7">
        <f>IF($X176="","",IF(INDEX('Per Invoice'!O$2:O$401,$X176)="","",INDEX('Per Invoice'!O$2:O$401,$X176)))</f>
        <v/>
      </c>
      <c r="P176" s="7">
        <f>IF($X176="","",IF(INDEX('Per Invoice'!P$2:P$401,$X176)="","",INDEX('Per Invoice'!P$2:P$401,$X176)))</f>
        <v/>
      </c>
      <c r="Q176">
        <f>IF($X176="","",IF(INDEX('Per Invoice'!Q$2:Q$401,$X176)="","",INDEX('Per Invoice'!Q$2:Q$401,$X176)))</f>
        <v/>
      </c>
      <c r="R176" s="7">
        <f>IF($X176="","",IF(INDEX('Per Invoice'!R$2:R$401,$X176)="","",INDEX('Per Invoice'!R$2:R$401,$X176)))</f>
        <v/>
      </c>
      <c r="S176" s="7">
        <f>IF($X176="","",IF(INDEX('Per Invoice'!S$2:S$401,$X176)="","",INDEX('Per Invoice'!S$2:S$401,$X176)))</f>
        <v/>
      </c>
      <c r="T176" s="7">
        <f>IF($X176="","",IF(INDEX('Per Invoice'!T$2:T$401,$X176)="","",INDEX('Per Invoice'!T$2:T$401,$X176)))</f>
        <v/>
      </c>
      <c r="U176" s="7">
        <f>IF($X176="","",IF(INDEX('Per Invoice'!U$2:U$401,$X176)="","",INDEX('Per Invoice'!U$2:U$401,$X176)))</f>
        <v/>
      </c>
      <c r="V176" s="7">
        <f>IF($X176="","",IF(INDEX('Per Invoice'!V$2:V$401,$X176)="","",INDEX('Per Invoice'!V$2:V$401,$X176)))</f>
        <v/>
      </c>
      <c r="W176" s="7">
        <f>IF($X176="","",IF(INDEX('Per Invoice'!W$2:W$401,$X176)="","",INDEX('Per Invoice'!W$2:W$401,$X176)))</f>
        <v/>
      </c>
      <c r="X176" s="16">
        <f>IFERROR(MATCH(Settings!$C$33&amp;"|"&amp;ROWS($X$2:$X176),'Per Invoice'!$Y$2:$Y$401,0),"")</f>
        <v/>
      </c>
    </row>
    <row r="177">
      <c r="A177">
        <f>IF($X177="","",IF(INDEX('Per Invoice'!A$2:A$401,$X177)="","",INDEX('Per Invoice'!A$2:A$401,$X177)))</f>
        <v/>
      </c>
      <c r="B177">
        <f>IF($X177="","",IF(INDEX('Per Invoice'!B$2:B$401,$X177)="","",INDEX('Per Invoice'!B$2:B$401,$X177)))</f>
        <v/>
      </c>
      <c r="C177">
        <f>IF($X177="","",IF(INDEX('Per Invoice'!C$2:C$401,$X177)="","",INDEX('Per Invoice'!C$2:C$401,$X177)))</f>
        <v/>
      </c>
      <c r="D177">
        <f>IF($X177="","",IF(INDEX('Per Invoice'!D$2:D$401,$X177)="","",INDEX('Per Invoice'!D$2:D$401,$X177)))</f>
        <v/>
      </c>
      <c r="E177">
        <f>IF($X177="","",IF(INDEX('Per Invoice'!E$2:E$401,$X177)="","",INDEX('Per Invoice'!E$2:E$401,$X177)))</f>
        <v/>
      </c>
      <c r="F177">
        <f>IF($X177="","",IF(INDEX('Per Invoice'!F$2:F$401,$X177)="","",INDEX('Per Invoice'!F$2:F$401,$X177)))</f>
        <v/>
      </c>
      <c r="G177">
        <f>IF($X177="","",IF(INDEX('Per Invoice'!G$2:G$401,$X177)="","",INDEX('Per Invoice'!G$2:G$401,$X177)))</f>
        <v/>
      </c>
      <c r="H177">
        <f>IF($X177="","",IF(INDEX('Per Invoice'!H$2:H$401,$X177)="","",INDEX('Per Invoice'!H$2:H$401,$X177)))</f>
        <v/>
      </c>
      <c r="I177">
        <f>IF($X177="","",IF(INDEX('Per Invoice'!I$2:I$401,$X177)="","",INDEX('Per Invoice'!I$2:I$401,$X177)))</f>
        <v/>
      </c>
      <c r="J177">
        <f>IF($X177="","",IF(INDEX('Per Invoice'!J$2:J$401,$X177)="","",INDEX('Per Invoice'!J$2:J$401,$X177)))</f>
        <v/>
      </c>
      <c r="K177" s="14">
        <f>IF($X177="","",IF(INDEX('Per Invoice'!K$2:K$401,$X177)="","",INDEX('Per Invoice'!K$2:K$401,$X177)))</f>
        <v/>
      </c>
      <c r="L177">
        <f>IF($X177="","",IF(INDEX('Per Invoice'!L$2:L$401,$X177)="","",INDEX('Per Invoice'!L$2:L$401,$X177)))</f>
        <v/>
      </c>
      <c r="M177" s="7">
        <f>IF($X177="","",IF(INDEX('Per Invoice'!M$2:M$401,$X177)="","",INDEX('Per Invoice'!M$2:M$401,$X177)))</f>
        <v/>
      </c>
      <c r="N177">
        <f>IF($X177="","",IF(INDEX('Per Invoice'!N$2:N$401,$X177)="","",INDEX('Per Invoice'!N$2:N$401,$X177)))</f>
        <v/>
      </c>
      <c r="O177" s="7">
        <f>IF($X177="","",IF(INDEX('Per Invoice'!O$2:O$401,$X177)="","",INDEX('Per Invoice'!O$2:O$401,$X177)))</f>
        <v/>
      </c>
      <c r="P177" s="7">
        <f>IF($X177="","",IF(INDEX('Per Invoice'!P$2:P$401,$X177)="","",INDEX('Per Invoice'!P$2:P$401,$X177)))</f>
        <v/>
      </c>
      <c r="Q177">
        <f>IF($X177="","",IF(INDEX('Per Invoice'!Q$2:Q$401,$X177)="","",INDEX('Per Invoice'!Q$2:Q$401,$X177)))</f>
        <v/>
      </c>
      <c r="R177" s="7">
        <f>IF($X177="","",IF(INDEX('Per Invoice'!R$2:R$401,$X177)="","",INDEX('Per Invoice'!R$2:R$401,$X177)))</f>
        <v/>
      </c>
      <c r="S177" s="7">
        <f>IF($X177="","",IF(INDEX('Per Invoice'!S$2:S$401,$X177)="","",INDEX('Per Invoice'!S$2:S$401,$X177)))</f>
        <v/>
      </c>
      <c r="T177" s="7">
        <f>IF($X177="","",IF(INDEX('Per Invoice'!T$2:T$401,$X177)="","",INDEX('Per Invoice'!T$2:T$401,$X177)))</f>
        <v/>
      </c>
      <c r="U177" s="7">
        <f>IF($X177="","",IF(INDEX('Per Invoice'!U$2:U$401,$X177)="","",INDEX('Per Invoice'!U$2:U$401,$X177)))</f>
        <v/>
      </c>
      <c r="V177" s="7">
        <f>IF($X177="","",IF(INDEX('Per Invoice'!V$2:V$401,$X177)="","",INDEX('Per Invoice'!V$2:V$401,$X177)))</f>
        <v/>
      </c>
      <c r="W177" s="7">
        <f>IF($X177="","",IF(INDEX('Per Invoice'!W$2:W$401,$X177)="","",INDEX('Per Invoice'!W$2:W$401,$X177)))</f>
        <v/>
      </c>
      <c r="X177" s="16">
        <f>IFERROR(MATCH(Settings!$C$33&amp;"|"&amp;ROWS($X$2:$X177),'Per Invoice'!$Y$2:$Y$401,0),"")</f>
        <v/>
      </c>
    </row>
    <row r="178">
      <c r="A178">
        <f>IF($X178="","",IF(INDEX('Per Invoice'!A$2:A$401,$X178)="","",INDEX('Per Invoice'!A$2:A$401,$X178)))</f>
        <v/>
      </c>
      <c r="B178">
        <f>IF($X178="","",IF(INDEX('Per Invoice'!B$2:B$401,$X178)="","",INDEX('Per Invoice'!B$2:B$401,$X178)))</f>
        <v/>
      </c>
      <c r="C178">
        <f>IF($X178="","",IF(INDEX('Per Invoice'!C$2:C$401,$X178)="","",INDEX('Per Invoice'!C$2:C$401,$X178)))</f>
        <v/>
      </c>
      <c r="D178">
        <f>IF($X178="","",IF(INDEX('Per Invoice'!D$2:D$401,$X178)="","",INDEX('Per Invoice'!D$2:D$401,$X178)))</f>
        <v/>
      </c>
      <c r="E178">
        <f>IF($X178="","",IF(INDEX('Per Invoice'!E$2:E$401,$X178)="","",INDEX('Per Invoice'!E$2:E$401,$X178)))</f>
        <v/>
      </c>
      <c r="F178">
        <f>IF($X178="","",IF(INDEX('Per Invoice'!F$2:F$401,$X178)="","",INDEX('Per Invoice'!F$2:F$401,$X178)))</f>
        <v/>
      </c>
      <c r="G178">
        <f>IF($X178="","",IF(INDEX('Per Invoice'!G$2:G$401,$X178)="","",INDEX('Per Invoice'!G$2:G$401,$X178)))</f>
        <v/>
      </c>
      <c r="H178">
        <f>IF($X178="","",IF(INDEX('Per Invoice'!H$2:H$401,$X178)="","",INDEX('Per Invoice'!H$2:H$401,$X178)))</f>
        <v/>
      </c>
      <c r="I178">
        <f>IF($X178="","",IF(INDEX('Per Invoice'!I$2:I$401,$X178)="","",INDEX('Per Invoice'!I$2:I$401,$X178)))</f>
        <v/>
      </c>
      <c r="J178">
        <f>IF($X178="","",IF(INDEX('Per Invoice'!J$2:J$401,$X178)="","",INDEX('Per Invoice'!J$2:J$401,$X178)))</f>
        <v/>
      </c>
      <c r="K178" s="14">
        <f>IF($X178="","",IF(INDEX('Per Invoice'!K$2:K$401,$X178)="","",INDEX('Per Invoice'!K$2:K$401,$X178)))</f>
        <v/>
      </c>
      <c r="L178">
        <f>IF($X178="","",IF(INDEX('Per Invoice'!L$2:L$401,$X178)="","",INDEX('Per Invoice'!L$2:L$401,$X178)))</f>
        <v/>
      </c>
      <c r="M178" s="7">
        <f>IF($X178="","",IF(INDEX('Per Invoice'!M$2:M$401,$X178)="","",INDEX('Per Invoice'!M$2:M$401,$X178)))</f>
        <v/>
      </c>
      <c r="N178">
        <f>IF($X178="","",IF(INDEX('Per Invoice'!N$2:N$401,$X178)="","",INDEX('Per Invoice'!N$2:N$401,$X178)))</f>
        <v/>
      </c>
      <c r="O178" s="7">
        <f>IF($X178="","",IF(INDEX('Per Invoice'!O$2:O$401,$X178)="","",INDEX('Per Invoice'!O$2:O$401,$X178)))</f>
        <v/>
      </c>
      <c r="P178" s="7">
        <f>IF($X178="","",IF(INDEX('Per Invoice'!P$2:P$401,$X178)="","",INDEX('Per Invoice'!P$2:P$401,$X178)))</f>
        <v/>
      </c>
      <c r="Q178">
        <f>IF($X178="","",IF(INDEX('Per Invoice'!Q$2:Q$401,$X178)="","",INDEX('Per Invoice'!Q$2:Q$401,$X178)))</f>
        <v/>
      </c>
      <c r="R178" s="7">
        <f>IF($X178="","",IF(INDEX('Per Invoice'!R$2:R$401,$X178)="","",INDEX('Per Invoice'!R$2:R$401,$X178)))</f>
        <v/>
      </c>
      <c r="S178" s="7">
        <f>IF($X178="","",IF(INDEX('Per Invoice'!S$2:S$401,$X178)="","",INDEX('Per Invoice'!S$2:S$401,$X178)))</f>
        <v/>
      </c>
      <c r="T178" s="7">
        <f>IF($X178="","",IF(INDEX('Per Invoice'!T$2:T$401,$X178)="","",INDEX('Per Invoice'!T$2:T$401,$X178)))</f>
        <v/>
      </c>
      <c r="U178" s="7">
        <f>IF($X178="","",IF(INDEX('Per Invoice'!U$2:U$401,$X178)="","",INDEX('Per Invoice'!U$2:U$401,$X178)))</f>
        <v/>
      </c>
      <c r="V178" s="7">
        <f>IF($X178="","",IF(INDEX('Per Invoice'!V$2:V$401,$X178)="","",INDEX('Per Invoice'!V$2:V$401,$X178)))</f>
        <v/>
      </c>
      <c r="W178" s="7">
        <f>IF($X178="","",IF(INDEX('Per Invoice'!W$2:W$401,$X178)="","",INDEX('Per Invoice'!W$2:W$401,$X178)))</f>
        <v/>
      </c>
      <c r="X178" s="16">
        <f>IFERROR(MATCH(Settings!$C$33&amp;"|"&amp;ROWS($X$2:$X178),'Per Invoice'!$Y$2:$Y$401,0),"")</f>
        <v/>
      </c>
    </row>
    <row r="179">
      <c r="A179">
        <f>IF($X179="","",IF(INDEX('Per Invoice'!A$2:A$401,$X179)="","",INDEX('Per Invoice'!A$2:A$401,$X179)))</f>
        <v/>
      </c>
      <c r="B179">
        <f>IF($X179="","",IF(INDEX('Per Invoice'!B$2:B$401,$X179)="","",INDEX('Per Invoice'!B$2:B$401,$X179)))</f>
        <v/>
      </c>
      <c r="C179">
        <f>IF($X179="","",IF(INDEX('Per Invoice'!C$2:C$401,$X179)="","",INDEX('Per Invoice'!C$2:C$401,$X179)))</f>
        <v/>
      </c>
      <c r="D179">
        <f>IF($X179="","",IF(INDEX('Per Invoice'!D$2:D$401,$X179)="","",INDEX('Per Invoice'!D$2:D$401,$X179)))</f>
        <v/>
      </c>
      <c r="E179">
        <f>IF($X179="","",IF(INDEX('Per Invoice'!E$2:E$401,$X179)="","",INDEX('Per Invoice'!E$2:E$401,$X179)))</f>
        <v/>
      </c>
      <c r="F179">
        <f>IF($X179="","",IF(INDEX('Per Invoice'!F$2:F$401,$X179)="","",INDEX('Per Invoice'!F$2:F$401,$X179)))</f>
        <v/>
      </c>
      <c r="G179">
        <f>IF($X179="","",IF(INDEX('Per Invoice'!G$2:G$401,$X179)="","",INDEX('Per Invoice'!G$2:G$401,$X179)))</f>
        <v/>
      </c>
      <c r="H179">
        <f>IF($X179="","",IF(INDEX('Per Invoice'!H$2:H$401,$X179)="","",INDEX('Per Invoice'!H$2:H$401,$X179)))</f>
        <v/>
      </c>
      <c r="I179">
        <f>IF($X179="","",IF(INDEX('Per Invoice'!I$2:I$401,$X179)="","",INDEX('Per Invoice'!I$2:I$401,$X179)))</f>
        <v/>
      </c>
      <c r="J179">
        <f>IF($X179="","",IF(INDEX('Per Invoice'!J$2:J$401,$X179)="","",INDEX('Per Invoice'!J$2:J$401,$X179)))</f>
        <v/>
      </c>
      <c r="K179" s="14">
        <f>IF($X179="","",IF(INDEX('Per Invoice'!K$2:K$401,$X179)="","",INDEX('Per Invoice'!K$2:K$401,$X179)))</f>
        <v/>
      </c>
      <c r="L179">
        <f>IF($X179="","",IF(INDEX('Per Invoice'!L$2:L$401,$X179)="","",INDEX('Per Invoice'!L$2:L$401,$X179)))</f>
        <v/>
      </c>
      <c r="M179" s="7">
        <f>IF($X179="","",IF(INDEX('Per Invoice'!M$2:M$401,$X179)="","",INDEX('Per Invoice'!M$2:M$401,$X179)))</f>
        <v/>
      </c>
      <c r="N179">
        <f>IF($X179="","",IF(INDEX('Per Invoice'!N$2:N$401,$X179)="","",INDEX('Per Invoice'!N$2:N$401,$X179)))</f>
        <v/>
      </c>
      <c r="O179" s="7">
        <f>IF($X179="","",IF(INDEX('Per Invoice'!O$2:O$401,$X179)="","",INDEX('Per Invoice'!O$2:O$401,$X179)))</f>
        <v/>
      </c>
      <c r="P179" s="7">
        <f>IF($X179="","",IF(INDEX('Per Invoice'!P$2:P$401,$X179)="","",INDEX('Per Invoice'!P$2:P$401,$X179)))</f>
        <v/>
      </c>
      <c r="Q179">
        <f>IF($X179="","",IF(INDEX('Per Invoice'!Q$2:Q$401,$X179)="","",INDEX('Per Invoice'!Q$2:Q$401,$X179)))</f>
        <v/>
      </c>
      <c r="R179" s="7">
        <f>IF($X179="","",IF(INDEX('Per Invoice'!R$2:R$401,$X179)="","",INDEX('Per Invoice'!R$2:R$401,$X179)))</f>
        <v/>
      </c>
      <c r="S179" s="7">
        <f>IF($X179="","",IF(INDEX('Per Invoice'!S$2:S$401,$X179)="","",INDEX('Per Invoice'!S$2:S$401,$X179)))</f>
        <v/>
      </c>
      <c r="T179" s="7">
        <f>IF($X179="","",IF(INDEX('Per Invoice'!T$2:T$401,$X179)="","",INDEX('Per Invoice'!T$2:T$401,$X179)))</f>
        <v/>
      </c>
      <c r="U179" s="7">
        <f>IF($X179="","",IF(INDEX('Per Invoice'!U$2:U$401,$X179)="","",INDEX('Per Invoice'!U$2:U$401,$X179)))</f>
        <v/>
      </c>
      <c r="V179" s="7">
        <f>IF($X179="","",IF(INDEX('Per Invoice'!V$2:V$401,$X179)="","",INDEX('Per Invoice'!V$2:V$401,$X179)))</f>
        <v/>
      </c>
      <c r="W179" s="7">
        <f>IF($X179="","",IF(INDEX('Per Invoice'!W$2:W$401,$X179)="","",INDEX('Per Invoice'!W$2:W$401,$X179)))</f>
        <v/>
      </c>
      <c r="X179" s="16">
        <f>IFERROR(MATCH(Settings!$C$33&amp;"|"&amp;ROWS($X$2:$X179),'Per Invoice'!$Y$2:$Y$401,0),"")</f>
        <v/>
      </c>
    </row>
    <row r="180">
      <c r="A180">
        <f>IF($X180="","",IF(INDEX('Per Invoice'!A$2:A$401,$X180)="","",INDEX('Per Invoice'!A$2:A$401,$X180)))</f>
        <v/>
      </c>
      <c r="B180">
        <f>IF($X180="","",IF(INDEX('Per Invoice'!B$2:B$401,$X180)="","",INDEX('Per Invoice'!B$2:B$401,$X180)))</f>
        <v/>
      </c>
      <c r="C180">
        <f>IF($X180="","",IF(INDEX('Per Invoice'!C$2:C$401,$X180)="","",INDEX('Per Invoice'!C$2:C$401,$X180)))</f>
        <v/>
      </c>
      <c r="D180">
        <f>IF($X180="","",IF(INDEX('Per Invoice'!D$2:D$401,$X180)="","",INDEX('Per Invoice'!D$2:D$401,$X180)))</f>
        <v/>
      </c>
      <c r="E180">
        <f>IF($X180="","",IF(INDEX('Per Invoice'!E$2:E$401,$X180)="","",INDEX('Per Invoice'!E$2:E$401,$X180)))</f>
        <v/>
      </c>
      <c r="F180">
        <f>IF($X180="","",IF(INDEX('Per Invoice'!F$2:F$401,$X180)="","",INDEX('Per Invoice'!F$2:F$401,$X180)))</f>
        <v/>
      </c>
      <c r="G180">
        <f>IF($X180="","",IF(INDEX('Per Invoice'!G$2:G$401,$X180)="","",INDEX('Per Invoice'!G$2:G$401,$X180)))</f>
        <v/>
      </c>
      <c r="H180">
        <f>IF($X180="","",IF(INDEX('Per Invoice'!H$2:H$401,$X180)="","",INDEX('Per Invoice'!H$2:H$401,$X180)))</f>
        <v/>
      </c>
      <c r="I180">
        <f>IF($X180="","",IF(INDEX('Per Invoice'!I$2:I$401,$X180)="","",INDEX('Per Invoice'!I$2:I$401,$X180)))</f>
        <v/>
      </c>
      <c r="J180">
        <f>IF($X180="","",IF(INDEX('Per Invoice'!J$2:J$401,$X180)="","",INDEX('Per Invoice'!J$2:J$401,$X180)))</f>
        <v/>
      </c>
      <c r="K180" s="14">
        <f>IF($X180="","",IF(INDEX('Per Invoice'!K$2:K$401,$X180)="","",INDEX('Per Invoice'!K$2:K$401,$X180)))</f>
        <v/>
      </c>
      <c r="L180">
        <f>IF($X180="","",IF(INDEX('Per Invoice'!L$2:L$401,$X180)="","",INDEX('Per Invoice'!L$2:L$401,$X180)))</f>
        <v/>
      </c>
      <c r="M180" s="7">
        <f>IF($X180="","",IF(INDEX('Per Invoice'!M$2:M$401,$X180)="","",INDEX('Per Invoice'!M$2:M$401,$X180)))</f>
        <v/>
      </c>
      <c r="N180">
        <f>IF($X180="","",IF(INDEX('Per Invoice'!N$2:N$401,$X180)="","",INDEX('Per Invoice'!N$2:N$401,$X180)))</f>
        <v/>
      </c>
      <c r="O180" s="7">
        <f>IF($X180="","",IF(INDEX('Per Invoice'!O$2:O$401,$X180)="","",INDEX('Per Invoice'!O$2:O$401,$X180)))</f>
        <v/>
      </c>
      <c r="P180" s="7">
        <f>IF($X180="","",IF(INDEX('Per Invoice'!P$2:P$401,$X180)="","",INDEX('Per Invoice'!P$2:P$401,$X180)))</f>
        <v/>
      </c>
      <c r="Q180">
        <f>IF($X180="","",IF(INDEX('Per Invoice'!Q$2:Q$401,$X180)="","",INDEX('Per Invoice'!Q$2:Q$401,$X180)))</f>
        <v/>
      </c>
      <c r="R180" s="7">
        <f>IF($X180="","",IF(INDEX('Per Invoice'!R$2:R$401,$X180)="","",INDEX('Per Invoice'!R$2:R$401,$X180)))</f>
        <v/>
      </c>
      <c r="S180" s="7">
        <f>IF($X180="","",IF(INDEX('Per Invoice'!S$2:S$401,$X180)="","",INDEX('Per Invoice'!S$2:S$401,$X180)))</f>
        <v/>
      </c>
      <c r="T180" s="7">
        <f>IF($X180="","",IF(INDEX('Per Invoice'!T$2:T$401,$X180)="","",INDEX('Per Invoice'!T$2:T$401,$X180)))</f>
        <v/>
      </c>
      <c r="U180" s="7">
        <f>IF($X180="","",IF(INDEX('Per Invoice'!U$2:U$401,$X180)="","",INDEX('Per Invoice'!U$2:U$401,$X180)))</f>
        <v/>
      </c>
      <c r="V180" s="7">
        <f>IF($X180="","",IF(INDEX('Per Invoice'!V$2:V$401,$X180)="","",INDEX('Per Invoice'!V$2:V$401,$X180)))</f>
        <v/>
      </c>
      <c r="W180" s="7">
        <f>IF($X180="","",IF(INDEX('Per Invoice'!W$2:W$401,$X180)="","",INDEX('Per Invoice'!W$2:W$401,$X180)))</f>
        <v/>
      </c>
      <c r="X180" s="16">
        <f>IFERROR(MATCH(Settings!$C$33&amp;"|"&amp;ROWS($X$2:$X180),'Per Invoice'!$Y$2:$Y$401,0),"")</f>
        <v/>
      </c>
    </row>
    <row r="181">
      <c r="A181">
        <f>IF($X181="","",IF(INDEX('Per Invoice'!A$2:A$401,$X181)="","",INDEX('Per Invoice'!A$2:A$401,$X181)))</f>
        <v/>
      </c>
      <c r="B181">
        <f>IF($X181="","",IF(INDEX('Per Invoice'!B$2:B$401,$X181)="","",INDEX('Per Invoice'!B$2:B$401,$X181)))</f>
        <v/>
      </c>
      <c r="C181">
        <f>IF($X181="","",IF(INDEX('Per Invoice'!C$2:C$401,$X181)="","",INDEX('Per Invoice'!C$2:C$401,$X181)))</f>
        <v/>
      </c>
      <c r="D181">
        <f>IF($X181="","",IF(INDEX('Per Invoice'!D$2:D$401,$X181)="","",INDEX('Per Invoice'!D$2:D$401,$X181)))</f>
        <v/>
      </c>
      <c r="E181">
        <f>IF($X181="","",IF(INDEX('Per Invoice'!E$2:E$401,$X181)="","",INDEX('Per Invoice'!E$2:E$401,$X181)))</f>
        <v/>
      </c>
      <c r="F181">
        <f>IF($X181="","",IF(INDEX('Per Invoice'!F$2:F$401,$X181)="","",INDEX('Per Invoice'!F$2:F$401,$X181)))</f>
        <v/>
      </c>
      <c r="G181">
        <f>IF($X181="","",IF(INDEX('Per Invoice'!G$2:G$401,$X181)="","",INDEX('Per Invoice'!G$2:G$401,$X181)))</f>
        <v/>
      </c>
      <c r="H181">
        <f>IF($X181="","",IF(INDEX('Per Invoice'!H$2:H$401,$X181)="","",INDEX('Per Invoice'!H$2:H$401,$X181)))</f>
        <v/>
      </c>
      <c r="I181">
        <f>IF($X181="","",IF(INDEX('Per Invoice'!I$2:I$401,$X181)="","",INDEX('Per Invoice'!I$2:I$401,$X181)))</f>
        <v/>
      </c>
      <c r="J181">
        <f>IF($X181="","",IF(INDEX('Per Invoice'!J$2:J$401,$X181)="","",INDEX('Per Invoice'!J$2:J$401,$X181)))</f>
        <v/>
      </c>
      <c r="K181" s="14">
        <f>IF($X181="","",IF(INDEX('Per Invoice'!K$2:K$401,$X181)="","",INDEX('Per Invoice'!K$2:K$401,$X181)))</f>
        <v/>
      </c>
      <c r="L181">
        <f>IF($X181="","",IF(INDEX('Per Invoice'!L$2:L$401,$X181)="","",INDEX('Per Invoice'!L$2:L$401,$X181)))</f>
        <v/>
      </c>
      <c r="M181" s="7">
        <f>IF($X181="","",IF(INDEX('Per Invoice'!M$2:M$401,$X181)="","",INDEX('Per Invoice'!M$2:M$401,$X181)))</f>
        <v/>
      </c>
      <c r="N181">
        <f>IF($X181="","",IF(INDEX('Per Invoice'!N$2:N$401,$X181)="","",INDEX('Per Invoice'!N$2:N$401,$X181)))</f>
        <v/>
      </c>
      <c r="O181" s="7">
        <f>IF($X181="","",IF(INDEX('Per Invoice'!O$2:O$401,$X181)="","",INDEX('Per Invoice'!O$2:O$401,$X181)))</f>
        <v/>
      </c>
      <c r="P181" s="7">
        <f>IF($X181="","",IF(INDEX('Per Invoice'!P$2:P$401,$X181)="","",INDEX('Per Invoice'!P$2:P$401,$X181)))</f>
        <v/>
      </c>
      <c r="Q181">
        <f>IF($X181="","",IF(INDEX('Per Invoice'!Q$2:Q$401,$X181)="","",INDEX('Per Invoice'!Q$2:Q$401,$X181)))</f>
        <v/>
      </c>
      <c r="R181" s="7">
        <f>IF($X181="","",IF(INDEX('Per Invoice'!R$2:R$401,$X181)="","",INDEX('Per Invoice'!R$2:R$401,$X181)))</f>
        <v/>
      </c>
      <c r="S181" s="7">
        <f>IF($X181="","",IF(INDEX('Per Invoice'!S$2:S$401,$X181)="","",INDEX('Per Invoice'!S$2:S$401,$X181)))</f>
        <v/>
      </c>
      <c r="T181" s="7">
        <f>IF($X181="","",IF(INDEX('Per Invoice'!T$2:T$401,$X181)="","",INDEX('Per Invoice'!T$2:T$401,$X181)))</f>
        <v/>
      </c>
      <c r="U181" s="7">
        <f>IF($X181="","",IF(INDEX('Per Invoice'!U$2:U$401,$X181)="","",INDEX('Per Invoice'!U$2:U$401,$X181)))</f>
        <v/>
      </c>
      <c r="V181" s="7">
        <f>IF($X181="","",IF(INDEX('Per Invoice'!V$2:V$401,$X181)="","",INDEX('Per Invoice'!V$2:V$401,$X181)))</f>
        <v/>
      </c>
      <c r="W181" s="7">
        <f>IF($X181="","",IF(INDEX('Per Invoice'!W$2:W$401,$X181)="","",INDEX('Per Invoice'!W$2:W$401,$X181)))</f>
        <v/>
      </c>
      <c r="X181" s="16">
        <f>IFERROR(MATCH(Settings!$C$33&amp;"|"&amp;ROWS($X$2:$X181),'Per Invoice'!$Y$2:$Y$401,0),"")</f>
        <v/>
      </c>
    </row>
    <row r="182">
      <c r="A182">
        <f>IF($X182="","",IF(INDEX('Per Invoice'!A$2:A$401,$X182)="","",INDEX('Per Invoice'!A$2:A$401,$X182)))</f>
        <v/>
      </c>
      <c r="B182">
        <f>IF($X182="","",IF(INDEX('Per Invoice'!B$2:B$401,$X182)="","",INDEX('Per Invoice'!B$2:B$401,$X182)))</f>
        <v/>
      </c>
      <c r="C182">
        <f>IF($X182="","",IF(INDEX('Per Invoice'!C$2:C$401,$X182)="","",INDEX('Per Invoice'!C$2:C$401,$X182)))</f>
        <v/>
      </c>
      <c r="D182">
        <f>IF($X182="","",IF(INDEX('Per Invoice'!D$2:D$401,$X182)="","",INDEX('Per Invoice'!D$2:D$401,$X182)))</f>
        <v/>
      </c>
      <c r="E182">
        <f>IF($X182="","",IF(INDEX('Per Invoice'!E$2:E$401,$X182)="","",INDEX('Per Invoice'!E$2:E$401,$X182)))</f>
        <v/>
      </c>
      <c r="F182">
        <f>IF($X182="","",IF(INDEX('Per Invoice'!F$2:F$401,$X182)="","",INDEX('Per Invoice'!F$2:F$401,$X182)))</f>
        <v/>
      </c>
      <c r="G182">
        <f>IF($X182="","",IF(INDEX('Per Invoice'!G$2:G$401,$X182)="","",INDEX('Per Invoice'!G$2:G$401,$X182)))</f>
        <v/>
      </c>
      <c r="H182">
        <f>IF($X182="","",IF(INDEX('Per Invoice'!H$2:H$401,$X182)="","",INDEX('Per Invoice'!H$2:H$401,$X182)))</f>
        <v/>
      </c>
      <c r="I182">
        <f>IF($X182="","",IF(INDEX('Per Invoice'!I$2:I$401,$X182)="","",INDEX('Per Invoice'!I$2:I$401,$X182)))</f>
        <v/>
      </c>
      <c r="J182">
        <f>IF($X182="","",IF(INDEX('Per Invoice'!J$2:J$401,$X182)="","",INDEX('Per Invoice'!J$2:J$401,$X182)))</f>
        <v/>
      </c>
      <c r="K182" s="14">
        <f>IF($X182="","",IF(INDEX('Per Invoice'!K$2:K$401,$X182)="","",INDEX('Per Invoice'!K$2:K$401,$X182)))</f>
        <v/>
      </c>
      <c r="L182">
        <f>IF($X182="","",IF(INDEX('Per Invoice'!L$2:L$401,$X182)="","",INDEX('Per Invoice'!L$2:L$401,$X182)))</f>
        <v/>
      </c>
      <c r="M182" s="7">
        <f>IF($X182="","",IF(INDEX('Per Invoice'!M$2:M$401,$X182)="","",INDEX('Per Invoice'!M$2:M$401,$X182)))</f>
        <v/>
      </c>
      <c r="N182">
        <f>IF($X182="","",IF(INDEX('Per Invoice'!N$2:N$401,$X182)="","",INDEX('Per Invoice'!N$2:N$401,$X182)))</f>
        <v/>
      </c>
      <c r="O182" s="7">
        <f>IF($X182="","",IF(INDEX('Per Invoice'!O$2:O$401,$X182)="","",INDEX('Per Invoice'!O$2:O$401,$X182)))</f>
        <v/>
      </c>
      <c r="P182" s="7">
        <f>IF($X182="","",IF(INDEX('Per Invoice'!P$2:P$401,$X182)="","",INDEX('Per Invoice'!P$2:P$401,$X182)))</f>
        <v/>
      </c>
      <c r="Q182">
        <f>IF($X182="","",IF(INDEX('Per Invoice'!Q$2:Q$401,$X182)="","",INDEX('Per Invoice'!Q$2:Q$401,$X182)))</f>
        <v/>
      </c>
      <c r="R182" s="7">
        <f>IF($X182="","",IF(INDEX('Per Invoice'!R$2:R$401,$X182)="","",INDEX('Per Invoice'!R$2:R$401,$X182)))</f>
        <v/>
      </c>
      <c r="S182" s="7">
        <f>IF($X182="","",IF(INDEX('Per Invoice'!S$2:S$401,$X182)="","",INDEX('Per Invoice'!S$2:S$401,$X182)))</f>
        <v/>
      </c>
      <c r="T182" s="7">
        <f>IF($X182="","",IF(INDEX('Per Invoice'!T$2:T$401,$X182)="","",INDEX('Per Invoice'!T$2:T$401,$X182)))</f>
        <v/>
      </c>
      <c r="U182" s="7">
        <f>IF($X182="","",IF(INDEX('Per Invoice'!U$2:U$401,$X182)="","",INDEX('Per Invoice'!U$2:U$401,$X182)))</f>
        <v/>
      </c>
      <c r="V182" s="7">
        <f>IF($X182="","",IF(INDEX('Per Invoice'!V$2:V$401,$X182)="","",INDEX('Per Invoice'!V$2:V$401,$X182)))</f>
        <v/>
      </c>
      <c r="W182" s="7">
        <f>IF($X182="","",IF(INDEX('Per Invoice'!W$2:W$401,$X182)="","",INDEX('Per Invoice'!W$2:W$401,$X182)))</f>
        <v/>
      </c>
      <c r="X182" s="16">
        <f>IFERROR(MATCH(Settings!$C$33&amp;"|"&amp;ROWS($X$2:$X182),'Per Invoice'!$Y$2:$Y$401,0),"")</f>
        <v/>
      </c>
    </row>
    <row r="183">
      <c r="A183">
        <f>IF($X183="","",IF(INDEX('Per Invoice'!A$2:A$401,$X183)="","",INDEX('Per Invoice'!A$2:A$401,$X183)))</f>
        <v/>
      </c>
      <c r="B183">
        <f>IF($X183="","",IF(INDEX('Per Invoice'!B$2:B$401,$X183)="","",INDEX('Per Invoice'!B$2:B$401,$X183)))</f>
        <v/>
      </c>
      <c r="C183">
        <f>IF($X183="","",IF(INDEX('Per Invoice'!C$2:C$401,$X183)="","",INDEX('Per Invoice'!C$2:C$401,$X183)))</f>
        <v/>
      </c>
      <c r="D183">
        <f>IF($X183="","",IF(INDEX('Per Invoice'!D$2:D$401,$X183)="","",INDEX('Per Invoice'!D$2:D$401,$X183)))</f>
        <v/>
      </c>
      <c r="E183">
        <f>IF($X183="","",IF(INDEX('Per Invoice'!E$2:E$401,$X183)="","",INDEX('Per Invoice'!E$2:E$401,$X183)))</f>
        <v/>
      </c>
      <c r="F183">
        <f>IF($X183="","",IF(INDEX('Per Invoice'!F$2:F$401,$X183)="","",INDEX('Per Invoice'!F$2:F$401,$X183)))</f>
        <v/>
      </c>
      <c r="G183">
        <f>IF($X183="","",IF(INDEX('Per Invoice'!G$2:G$401,$X183)="","",INDEX('Per Invoice'!G$2:G$401,$X183)))</f>
        <v/>
      </c>
      <c r="H183">
        <f>IF($X183="","",IF(INDEX('Per Invoice'!H$2:H$401,$X183)="","",INDEX('Per Invoice'!H$2:H$401,$X183)))</f>
        <v/>
      </c>
      <c r="I183">
        <f>IF($X183="","",IF(INDEX('Per Invoice'!I$2:I$401,$X183)="","",INDEX('Per Invoice'!I$2:I$401,$X183)))</f>
        <v/>
      </c>
      <c r="J183">
        <f>IF($X183="","",IF(INDEX('Per Invoice'!J$2:J$401,$X183)="","",INDEX('Per Invoice'!J$2:J$401,$X183)))</f>
        <v/>
      </c>
      <c r="K183" s="14">
        <f>IF($X183="","",IF(INDEX('Per Invoice'!K$2:K$401,$X183)="","",INDEX('Per Invoice'!K$2:K$401,$X183)))</f>
        <v/>
      </c>
      <c r="L183">
        <f>IF($X183="","",IF(INDEX('Per Invoice'!L$2:L$401,$X183)="","",INDEX('Per Invoice'!L$2:L$401,$X183)))</f>
        <v/>
      </c>
      <c r="M183" s="7">
        <f>IF($X183="","",IF(INDEX('Per Invoice'!M$2:M$401,$X183)="","",INDEX('Per Invoice'!M$2:M$401,$X183)))</f>
        <v/>
      </c>
      <c r="N183">
        <f>IF($X183="","",IF(INDEX('Per Invoice'!N$2:N$401,$X183)="","",INDEX('Per Invoice'!N$2:N$401,$X183)))</f>
        <v/>
      </c>
      <c r="O183" s="7">
        <f>IF($X183="","",IF(INDEX('Per Invoice'!O$2:O$401,$X183)="","",INDEX('Per Invoice'!O$2:O$401,$X183)))</f>
        <v/>
      </c>
      <c r="P183" s="7">
        <f>IF($X183="","",IF(INDEX('Per Invoice'!P$2:P$401,$X183)="","",INDEX('Per Invoice'!P$2:P$401,$X183)))</f>
        <v/>
      </c>
      <c r="Q183">
        <f>IF($X183="","",IF(INDEX('Per Invoice'!Q$2:Q$401,$X183)="","",INDEX('Per Invoice'!Q$2:Q$401,$X183)))</f>
        <v/>
      </c>
      <c r="R183" s="7">
        <f>IF($X183="","",IF(INDEX('Per Invoice'!R$2:R$401,$X183)="","",INDEX('Per Invoice'!R$2:R$401,$X183)))</f>
        <v/>
      </c>
      <c r="S183" s="7">
        <f>IF($X183="","",IF(INDEX('Per Invoice'!S$2:S$401,$X183)="","",INDEX('Per Invoice'!S$2:S$401,$X183)))</f>
        <v/>
      </c>
      <c r="T183" s="7">
        <f>IF($X183="","",IF(INDEX('Per Invoice'!T$2:T$401,$X183)="","",INDEX('Per Invoice'!T$2:T$401,$X183)))</f>
        <v/>
      </c>
      <c r="U183" s="7">
        <f>IF($X183="","",IF(INDEX('Per Invoice'!U$2:U$401,$X183)="","",INDEX('Per Invoice'!U$2:U$401,$X183)))</f>
        <v/>
      </c>
      <c r="V183" s="7">
        <f>IF($X183="","",IF(INDEX('Per Invoice'!V$2:V$401,$X183)="","",INDEX('Per Invoice'!V$2:V$401,$X183)))</f>
        <v/>
      </c>
      <c r="W183" s="7">
        <f>IF($X183="","",IF(INDEX('Per Invoice'!W$2:W$401,$X183)="","",INDEX('Per Invoice'!W$2:W$401,$X183)))</f>
        <v/>
      </c>
      <c r="X183" s="16">
        <f>IFERROR(MATCH(Settings!$C$33&amp;"|"&amp;ROWS($X$2:$X183),'Per Invoice'!$Y$2:$Y$401,0),"")</f>
        <v/>
      </c>
    </row>
    <row r="184">
      <c r="A184">
        <f>IF($X184="","",IF(INDEX('Per Invoice'!A$2:A$401,$X184)="","",INDEX('Per Invoice'!A$2:A$401,$X184)))</f>
        <v/>
      </c>
      <c r="B184">
        <f>IF($X184="","",IF(INDEX('Per Invoice'!B$2:B$401,$X184)="","",INDEX('Per Invoice'!B$2:B$401,$X184)))</f>
        <v/>
      </c>
      <c r="C184">
        <f>IF($X184="","",IF(INDEX('Per Invoice'!C$2:C$401,$X184)="","",INDEX('Per Invoice'!C$2:C$401,$X184)))</f>
        <v/>
      </c>
      <c r="D184">
        <f>IF($X184="","",IF(INDEX('Per Invoice'!D$2:D$401,$X184)="","",INDEX('Per Invoice'!D$2:D$401,$X184)))</f>
        <v/>
      </c>
      <c r="E184">
        <f>IF($X184="","",IF(INDEX('Per Invoice'!E$2:E$401,$X184)="","",INDEX('Per Invoice'!E$2:E$401,$X184)))</f>
        <v/>
      </c>
      <c r="F184">
        <f>IF($X184="","",IF(INDEX('Per Invoice'!F$2:F$401,$X184)="","",INDEX('Per Invoice'!F$2:F$401,$X184)))</f>
        <v/>
      </c>
      <c r="G184">
        <f>IF($X184="","",IF(INDEX('Per Invoice'!G$2:G$401,$X184)="","",INDEX('Per Invoice'!G$2:G$401,$X184)))</f>
        <v/>
      </c>
      <c r="H184">
        <f>IF($X184="","",IF(INDEX('Per Invoice'!H$2:H$401,$X184)="","",INDEX('Per Invoice'!H$2:H$401,$X184)))</f>
        <v/>
      </c>
      <c r="I184">
        <f>IF($X184="","",IF(INDEX('Per Invoice'!I$2:I$401,$X184)="","",INDEX('Per Invoice'!I$2:I$401,$X184)))</f>
        <v/>
      </c>
      <c r="J184">
        <f>IF($X184="","",IF(INDEX('Per Invoice'!J$2:J$401,$X184)="","",INDEX('Per Invoice'!J$2:J$401,$X184)))</f>
        <v/>
      </c>
      <c r="K184" s="14">
        <f>IF($X184="","",IF(INDEX('Per Invoice'!K$2:K$401,$X184)="","",INDEX('Per Invoice'!K$2:K$401,$X184)))</f>
        <v/>
      </c>
      <c r="L184">
        <f>IF($X184="","",IF(INDEX('Per Invoice'!L$2:L$401,$X184)="","",INDEX('Per Invoice'!L$2:L$401,$X184)))</f>
        <v/>
      </c>
      <c r="M184" s="7">
        <f>IF($X184="","",IF(INDEX('Per Invoice'!M$2:M$401,$X184)="","",INDEX('Per Invoice'!M$2:M$401,$X184)))</f>
        <v/>
      </c>
      <c r="N184">
        <f>IF($X184="","",IF(INDEX('Per Invoice'!N$2:N$401,$X184)="","",INDEX('Per Invoice'!N$2:N$401,$X184)))</f>
        <v/>
      </c>
      <c r="O184" s="7">
        <f>IF($X184="","",IF(INDEX('Per Invoice'!O$2:O$401,$X184)="","",INDEX('Per Invoice'!O$2:O$401,$X184)))</f>
        <v/>
      </c>
      <c r="P184" s="7">
        <f>IF($X184="","",IF(INDEX('Per Invoice'!P$2:P$401,$X184)="","",INDEX('Per Invoice'!P$2:P$401,$X184)))</f>
        <v/>
      </c>
      <c r="Q184">
        <f>IF($X184="","",IF(INDEX('Per Invoice'!Q$2:Q$401,$X184)="","",INDEX('Per Invoice'!Q$2:Q$401,$X184)))</f>
        <v/>
      </c>
      <c r="R184" s="7">
        <f>IF($X184="","",IF(INDEX('Per Invoice'!R$2:R$401,$X184)="","",INDEX('Per Invoice'!R$2:R$401,$X184)))</f>
        <v/>
      </c>
      <c r="S184" s="7">
        <f>IF($X184="","",IF(INDEX('Per Invoice'!S$2:S$401,$X184)="","",INDEX('Per Invoice'!S$2:S$401,$X184)))</f>
        <v/>
      </c>
      <c r="T184" s="7">
        <f>IF($X184="","",IF(INDEX('Per Invoice'!T$2:T$401,$X184)="","",INDEX('Per Invoice'!T$2:T$401,$X184)))</f>
        <v/>
      </c>
      <c r="U184" s="7">
        <f>IF($X184="","",IF(INDEX('Per Invoice'!U$2:U$401,$X184)="","",INDEX('Per Invoice'!U$2:U$401,$X184)))</f>
        <v/>
      </c>
      <c r="V184" s="7">
        <f>IF($X184="","",IF(INDEX('Per Invoice'!V$2:V$401,$X184)="","",INDEX('Per Invoice'!V$2:V$401,$X184)))</f>
        <v/>
      </c>
      <c r="W184" s="7">
        <f>IF($X184="","",IF(INDEX('Per Invoice'!W$2:W$401,$X184)="","",INDEX('Per Invoice'!W$2:W$401,$X184)))</f>
        <v/>
      </c>
      <c r="X184" s="16">
        <f>IFERROR(MATCH(Settings!$C$33&amp;"|"&amp;ROWS($X$2:$X184),'Per Invoice'!$Y$2:$Y$401,0),"")</f>
        <v/>
      </c>
    </row>
    <row r="185">
      <c r="A185">
        <f>IF($X185="","",IF(INDEX('Per Invoice'!A$2:A$401,$X185)="","",INDEX('Per Invoice'!A$2:A$401,$X185)))</f>
        <v/>
      </c>
      <c r="B185">
        <f>IF($X185="","",IF(INDEX('Per Invoice'!B$2:B$401,$X185)="","",INDEX('Per Invoice'!B$2:B$401,$X185)))</f>
        <v/>
      </c>
      <c r="C185">
        <f>IF($X185="","",IF(INDEX('Per Invoice'!C$2:C$401,$X185)="","",INDEX('Per Invoice'!C$2:C$401,$X185)))</f>
        <v/>
      </c>
      <c r="D185">
        <f>IF($X185="","",IF(INDEX('Per Invoice'!D$2:D$401,$X185)="","",INDEX('Per Invoice'!D$2:D$401,$X185)))</f>
        <v/>
      </c>
      <c r="E185">
        <f>IF($X185="","",IF(INDEX('Per Invoice'!E$2:E$401,$X185)="","",INDEX('Per Invoice'!E$2:E$401,$X185)))</f>
        <v/>
      </c>
      <c r="F185">
        <f>IF($X185="","",IF(INDEX('Per Invoice'!F$2:F$401,$X185)="","",INDEX('Per Invoice'!F$2:F$401,$X185)))</f>
        <v/>
      </c>
      <c r="G185">
        <f>IF($X185="","",IF(INDEX('Per Invoice'!G$2:G$401,$X185)="","",INDEX('Per Invoice'!G$2:G$401,$X185)))</f>
        <v/>
      </c>
      <c r="H185">
        <f>IF($X185="","",IF(INDEX('Per Invoice'!H$2:H$401,$X185)="","",INDEX('Per Invoice'!H$2:H$401,$X185)))</f>
        <v/>
      </c>
      <c r="I185">
        <f>IF($X185="","",IF(INDEX('Per Invoice'!I$2:I$401,$X185)="","",INDEX('Per Invoice'!I$2:I$401,$X185)))</f>
        <v/>
      </c>
      <c r="J185">
        <f>IF($X185="","",IF(INDEX('Per Invoice'!J$2:J$401,$X185)="","",INDEX('Per Invoice'!J$2:J$401,$X185)))</f>
        <v/>
      </c>
      <c r="K185" s="14">
        <f>IF($X185="","",IF(INDEX('Per Invoice'!K$2:K$401,$X185)="","",INDEX('Per Invoice'!K$2:K$401,$X185)))</f>
        <v/>
      </c>
      <c r="L185">
        <f>IF($X185="","",IF(INDEX('Per Invoice'!L$2:L$401,$X185)="","",INDEX('Per Invoice'!L$2:L$401,$X185)))</f>
        <v/>
      </c>
      <c r="M185" s="7">
        <f>IF($X185="","",IF(INDEX('Per Invoice'!M$2:M$401,$X185)="","",INDEX('Per Invoice'!M$2:M$401,$X185)))</f>
        <v/>
      </c>
      <c r="N185">
        <f>IF($X185="","",IF(INDEX('Per Invoice'!N$2:N$401,$X185)="","",INDEX('Per Invoice'!N$2:N$401,$X185)))</f>
        <v/>
      </c>
      <c r="O185" s="7">
        <f>IF($X185="","",IF(INDEX('Per Invoice'!O$2:O$401,$X185)="","",INDEX('Per Invoice'!O$2:O$401,$X185)))</f>
        <v/>
      </c>
      <c r="P185" s="7">
        <f>IF($X185="","",IF(INDEX('Per Invoice'!P$2:P$401,$X185)="","",INDEX('Per Invoice'!P$2:P$401,$X185)))</f>
        <v/>
      </c>
      <c r="Q185">
        <f>IF($X185="","",IF(INDEX('Per Invoice'!Q$2:Q$401,$X185)="","",INDEX('Per Invoice'!Q$2:Q$401,$X185)))</f>
        <v/>
      </c>
      <c r="R185" s="7">
        <f>IF($X185="","",IF(INDEX('Per Invoice'!R$2:R$401,$X185)="","",INDEX('Per Invoice'!R$2:R$401,$X185)))</f>
        <v/>
      </c>
      <c r="S185" s="7">
        <f>IF($X185="","",IF(INDEX('Per Invoice'!S$2:S$401,$X185)="","",INDEX('Per Invoice'!S$2:S$401,$X185)))</f>
        <v/>
      </c>
      <c r="T185" s="7">
        <f>IF($X185="","",IF(INDEX('Per Invoice'!T$2:T$401,$X185)="","",INDEX('Per Invoice'!T$2:T$401,$X185)))</f>
        <v/>
      </c>
      <c r="U185" s="7">
        <f>IF($X185="","",IF(INDEX('Per Invoice'!U$2:U$401,$X185)="","",INDEX('Per Invoice'!U$2:U$401,$X185)))</f>
        <v/>
      </c>
      <c r="V185" s="7">
        <f>IF($X185="","",IF(INDEX('Per Invoice'!V$2:V$401,$X185)="","",INDEX('Per Invoice'!V$2:V$401,$X185)))</f>
        <v/>
      </c>
      <c r="W185" s="7">
        <f>IF($X185="","",IF(INDEX('Per Invoice'!W$2:W$401,$X185)="","",INDEX('Per Invoice'!W$2:W$401,$X185)))</f>
        <v/>
      </c>
      <c r="X185" s="16">
        <f>IFERROR(MATCH(Settings!$C$33&amp;"|"&amp;ROWS($X$2:$X185),'Per Invoice'!$Y$2:$Y$401,0),"")</f>
        <v/>
      </c>
    </row>
    <row r="186">
      <c r="A186">
        <f>IF($X186="","",IF(INDEX('Per Invoice'!A$2:A$401,$X186)="","",INDEX('Per Invoice'!A$2:A$401,$X186)))</f>
        <v/>
      </c>
      <c r="B186">
        <f>IF($X186="","",IF(INDEX('Per Invoice'!B$2:B$401,$X186)="","",INDEX('Per Invoice'!B$2:B$401,$X186)))</f>
        <v/>
      </c>
      <c r="C186">
        <f>IF($X186="","",IF(INDEX('Per Invoice'!C$2:C$401,$X186)="","",INDEX('Per Invoice'!C$2:C$401,$X186)))</f>
        <v/>
      </c>
      <c r="D186">
        <f>IF($X186="","",IF(INDEX('Per Invoice'!D$2:D$401,$X186)="","",INDEX('Per Invoice'!D$2:D$401,$X186)))</f>
        <v/>
      </c>
      <c r="E186">
        <f>IF($X186="","",IF(INDEX('Per Invoice'!E$2:E$401,$X186)="","",INDEX('Per Invoice'!E$2:E$401,$X186)))</f>
        <v/>
      </c>
      <c r="F186">
        <f>IF($X186="","",IF(INDEX('Per Invoice'!F$2:F$401,$X186)="","",INDEX('Per Invoice'!F$2:F$401,$X186)))</f>
        <v/>
      </c>
      <c r="G186">
        <f>IF($X186="","",IF(INDEX('Per Invoice'!G$2:G$401,$X186)="","",INDEX('Per Invoice'!G$2:G$401,$X186)))</f>
        <v/>
      </c>
      <c r="H186">
        <f>IF($X186="","",IF(INDEX('Per Invoice'!H$2:H$401,$X186)="","",INDEX('Per Invoice'!H$2:H$401,$X186)))</f>
        <v/>
      </c>
      <c r="I186">
        <f>IF($X186="","",IF(INDEX('Per Invoice'!I$2:I$401,$X186)="","",INDEX('Per Invoice'!I$2:I$401,$X186)))</f>
        <v/>
      </c>
      <c r="J186">
        <f>IF($X186="","",IF(INDEX('Per Invoice'!J$2:J$401,$X186)="","",INDEX('Per Invoice'!J$2:J$401,$X186)))</f>
        <v/>
      </c>
      <c r="K186" s="14">
        <f>IF($X186="","",IF(INDEX('Per Invoice'!K$2:K$401,$X186)="","",INDEX('Per Invoice'!K$2:K$401,$X186)))</f>
        <v/>
      </c>
      <c r="L186">
        <f>IF($X186="","",IF(INDEX('Per Invoice'!L$2:L$401,$X186)="","",INDEX('Per Invoice'!L$2:L$401,$X186)))</f>
        <v/>
      </c>
      <c r="M186" s="7">
        <f>IF($X186="","",IF(INDEX('Per Invoice'!M$2:M$401,$X186)="","",INDEX('Per Invoice'!M$2:M$401,$X186)))</f>
        <v/>
      </c>
      <c r="N186">
        <f>IF($X186="","",IF(INDEX('Per Invoice'!N$2:N$401,$X186)="","",INDEX('Per Invoice'!N$2:N$401,$X186)))</f>
        <v/>
      </c>
      <c r="O186" s="7">
        <f>IF($X186="","",IF(INDEX('Per Invoice'!O$2:O$401,$X186)="","",INDEX('Per Invoice'!O$2:O$401,$X186)))</f>
        <v/>
      </c>
      <c r="P186" s="7">
        <f>IF($X186="","",IF(INDEX('Per Invoice'!P$2:P$401,$X186)="","",INDEX('Per Invoice'!P$2:P$401,$X186)))</f>
        <v/>
      </c>
      <c r="Q186">
        <f>IF($X186="","",IF(INDEX('Per Invoice'!Q$2:Q$401,$X186)="","",INDEX('Per Invoice'!Q$2:Q$401,$X186)))</f>
        <v/>
      </c>
      <c r="R186" s="7">
        <f>IF($X186="","",IF(INDEX('Per Invoice'!R$2:R$401,$X186)="","",INDEX('Per Invoice'!R$2:R$401,$X186)))</f>
        <v/>
      </c>
      <c r="S186" s="7">
        <f>IF($X186="","",IF(INDEX('Per Invoice'!S$2:S$401,$X186)="","",INDEX('Per Invoice'!S$2:S$401,$X186)))</f>
        <v/>
      </c>
      <c r="T186" s="7">
        <f>IF($X186="","",IF(INDEX('Per Invoice'!T$2:T$401,$X186)="","",INDEX('Per Invoice'!T$2:T$401,$X186)))</f>
        <v/>
      </c>
      <c r="U186" s="7">
        <f>IF($X186="","",IF(INDEX('Per Invoice'!U$2:U$401,$X186)="","",INDEX('Per Invoice'!U$2:U$401,$X186)))</f>
        <v/>
      </c>
      <c r="V186" s="7">
        <f>IF($X186="","",IF(INDEX('Per Invoice'!V$2:V$401,$X186)="","",INDEX('Per Invoice'!V$2:V$401,$X186)))</f>
        <v/>
      </c>
      <c r="W186" s="7">
        <f>IF($X186="","",IF(INDEX('Per Invoice'!W$2:W$401,$X186)="","",INDEX('Per Invoice'!W$2:W$401,$X186)))</f>
        <v/>
      </c>
      <c r="X186" s="16">
        <f>IFERROR(MATCH(Settings!$C$33&amp;"|"&amp;ROWS($X$2:$X186),'Per Invoice'!$Y$2:$Y$401,0),"")</f>
        <v/>
      </c>
    </row>
    <row r="187">
      <c r="A187">
        <f>IF($X187="","",IF(INDEX('Per Invoice'!A$2:A$401,$X187)="","",INDEX('Per Invoice'!A$2:A$401,$X187)))</f>
        <v/>
      </c>
      <c r="B187">
        <f>IF($X187="","",IF(INDEX('Per Invoice'!B$2:B$401,$X187)="","",INDEX('Per Invoice'!B$2:B$401,$X187)))</f>
        <v/>
      </c>
      <c r="C187">
        <f>IF($X187="","",IF(INDEX('Per Invoice'!C$2:C$401,$X187)="","",INDEX('Per Invoice'!C$2:C$401,$X187)))</f>
        <v/>
      </c>
      <c r="D187">
        <f>IF($X187="","",IF(INDEX('Per Invoice'!D$2:D$401,$X187)="","",INDEX('Per Invoice'!D$2:D$401,$X187)))</f>
        <v/>
      </c>
      <c r="E187">
        <f>IF($X187="","",IF(INDEX('Per Invoice'!E$2:E$401,$X187)="","",INDEX('Per Invoice'!E$2:E$401,$X187)))</f>
        <v/>
      </c>
      <c r="F187">
        <f>IF($X187="","",IF(INDEX('Per Invoice'!F$2:F$401,$X187)="","",INDEX('Per Invoice'!F$2:F$401,$X187)))</f>
        <v/>
      </c>
      <c r="G187">
        <f>IF($X187="","",IF(INDEX('Per Invoice'!G$2:G$401,$X187)="","",INDEX('Per Invoice'!G$2:G$401,$X187)))</f>
        <v/>
      </c>
      <c r="H187">
        <f>IF($X187="","",IF(INDEX('Per Invoice'!H$2:H$401,$X187)="","",INDEX('Per Invoice'!H$2:H$401,$X187)))</f>
        <v/>
      </c>
      <c r="I187">
        <f>IF($X187="","",IF(INDEX('Per Invoice'!I$2:I$401,$X187)="","",INDEX('Per Invoice'!I$2:I$401,$X187)))</f>
        <v/>
      </c>
      <c r="J187">
        <f>IF($X187="","",IF(INDEX('Per Invoice'!J$2:J$401,$X187)="","",INDEX('Per Invoice'!J$2:J$401,$X187)))</f>
        <v/>
      </c>
      <c r="K187" s="14">
        <f>IF($X187="","",IF(INDEX('Per Invoice'!K$2:K$401,$X187)="","",INDEX('Per Invoice'!K$2:K$401,$X187)))</f>
        <v/>
      </c>
      <c r="L187">
        <f>IF($X187="","",IF(INDEX('Per Invoice'!L$2:L$401,$X187)="","",INDEX('Per Invoice'!L$2:L$401,$X187)))</f>
        <v/>
      </c>
      <c r="M187" s="7">
        <f>IF($X187="","",IF(INDEX('Per Invoice'!M$2:M$401,$X187)="","",INDEX('Per Invoice'!M$2:M$401,$X187)))</f>
        <v/>
      </c>
      <c r="N187">
        <f>IF($X187="","",IF(INDEX('Per Invoice'!N$2:N$401,$X187)="","",INDEX('Per Invoice'!N$2:N$401,$X187)))</f>
        <v/>
      </c>
      <c r="O187" s="7">
        <f>IF($X187="","",IF(INDEX('Per Invoice'!O$2:O$401,$X187)="","",INDEX('Per Invoice'!O$2:O$401,$X187)))</f>
        <v/>
      </c>
      <c r="P187" s="7">
        <f>IF($X187="","",IF(INDEX('Per Invoice'!P$2:P$401,$X187)="","",INDEX('Per Invoice'!P$2:P$401,$X187)))</f>
        <v/>
      </c>
      <c r="Q187">
        <f>IF($X187="","",IF(INDEX('Per Invoice'!Q$2:Q$401,$X187)="","",INDEX('Per Invoice'!Q$2:Q$401,$X187)))</f>
        <v/>
      </c>
      <c r="R187" s="7">
        <f>IF($X187="","",IF(INDEX('Per Invoice'!R$2:R$401,$X187)="","",INDEX('Per Invoice'!R$2:R$401,$X187)))</f>
        <v/>
      </c>
      <c r="S187" s="7">
        <f>IF($X187="","",IF(INDEX('Per Invoice'!S$2:S$401,$X187)="","",INDEX('Per Invoice'!S$2:S$401,$X187)))</f>
        <v/>
      </c>
      <c r="T187" s="7">
        <f>IF($X187="","",IF(INDEX('Per Invoice'!T$2:T$401,$X187)="","",INDEX('Per Invoice'!T$2:T$401,$X187)))</f>
        <v/>
      </c>
      <c r="U187" s="7">
        <f>IF($X187="","",IF(INDEX('Per Invoice'!U$2:U$401,$X187)="","",INDEX('Per Invoice'!U$2:U$401,$X187)))</f>
        <v/>
      </c>
      <c r="V187" s="7">
        <f>IF($X187="","",IF(INDEX('Per Invoice'!V$2:V$401,$X187)="","",INDEX('Per Invoice'!V$2:V$401,$X187)))</f>
        <v/>
      </c>
      <c r="W187" s="7">
        <f>IF($X187="","",IF(INDEX('Per Invoice'!W$2:W$401,$X187)="","",INDEX('Per Invoice'!W$2:W$401,$X187)))</f>
        <v/>
      </c>
      <c r="X187" s="16">
        <f>IFERROR(MATCH(Settings!$C$33&amp;"|"&amp;ROWS($X$2:$X187),'Per Invoice'!$Y$2:$Y$401,0),"")</f>
        <v/>
      </c>
    </row>
    <row r="188">
      <c r="A188">
        <f>IF($X188="","",IF(INDEX('Per Invoice'!A$2:A$401,$X188)="","",INDEX('Per Invoice'!A$2:A$401,$X188)))</f>
        <v/>
      </c>
      <c r="B188">
        <f>IF($X188="","",IF(INDEX('Per Invoice'!B$2:B$401,$X188)="","",INDEX('Per Invoice'!B$2:B$401,$X188)))</f>
        <v/>
      </c>
      <c r="C188">
        <f>IF($X188="","",IF(INDEX('Per Invoice'!C$2:C$401,$X188)="","",INDEX('Per Invoice'!C$2:C$401,$X188)))</f>
        <v/>
      </c>
      <c r="D188">
        <f>IF($X188="","",IF(INDEX('Per Invoice'!D$2:D$401,$X188)="","",INDEX('Per Invoice'!D$2:D$401,$X188)))</f>
        <v/>
      </c>
      <c r="E188">
        <f>IF($X188="","",IF(INDEX('Per Invoice'!E$2:E$401,$X188)="","",INDEX('Per Invoice'!E$2:E$401,$X188)))</f>
        <v/>
      </c>
      <c r="F188">
        <f>IF($X188="","",IF(INDEX('Per Invoice'!F$2:F$401,$X188)="","",INDEX('Per Invoice'!F$2:F$401,$X188)))</f>
        <v/>
      </c>
      <c r="G188">
        <f>IF($X188="","",IF(INDEX('Per Invoice'!G$2:G$401,$X188)="","",INDEX('Per Invoice'!G$2:G$401,$X188)))</f>
        <v/>
      </c>
      <c r="H188">
        <f>IF($X188="","",IF(INDEX('Per Invoice'!H$2:H$401,$X188)="","",INDEX('Per Invoice'!H$2:H$401,$X188)))</f>
        <v/>
      </c>
      <c r="I188">
        <f>IF($X188="","",IF(INDEX('Per Invoice'!I$2:I$401,$X188)="","",INDEX('Per Invoice'!I$2:I$401,$X188)))</f>
        <v/>
      </c>
      <c r="J188">
        <f>IF($X188="","",IF(INDEX('Per Invoice'!J$2:J$401,$X188)="","",INDEX('Per Invoice'!J$2:J$401,$X188)))</f>
        <v/>
      </c>
      <c r="K188" s="14">
        <f>IF($X188="","",IF(INDEX('Per Invoice'!K$2:K$401,$X188)="","",INDEX('Per Invoice'!K$2:K$401,$X188)))</f>
        <v/>
      </c>
      <c r="L188">
        <f>IF($X188="","",IF(INDEX('Per Invoice'!L$2:L$401,$X188)="","",INDEX('Per Invoice'!L$2:L$401,$X188)))</f>
        <v/>
      </c>
      <c r="M188" s="7">
        <f>IF($X188="","",IF(INDEX('Per Invoice'!M$2:M$401,$X188)="","",INDEX('Per Invoice'!M$2:M$401,$X188)))</f>
        <v/>
      </c>
      <c r="N188">
        <f>IF($X188="","",IF(INDEX('Per Invoice'!N$2:N$401,$X188)="","",INDEX('Per Invoice'!N$2:N$401,$X188)))</f>
        <v/>
      </c>
      <c r="O188" s="7">
        <f>IF($X188="","",IF(INDEX('Per Invoice'!O$2:O$401,$X188)="","",INDEX('Per Invoice'!O$2:O$401,$X188)))</f>
        <v/>
      </c>
      <c r="P188" s="7">
        <f>IF($X188="","",IF(INDEX('Per Invoice'!P$2:P$401,$X188)="","",INDEX('Per Invoice'!P$2:P$401,$X188)))</f>
        <v/>
      </c>
      <c r="Q188">
        <f>IF($X188="","",IF(INDEX('Per Invoice'!Q$2:Q$401,$X188)="","",INDEX('Per Invoice'!Q$2:Q$401,$X188)))</f>
        <v/>
      </c>
      <c r="R188" s="7">
        <f>IF($X188="","",IF(INDEX('Per Invoice'!R$2:R$401,$X188)="","",INDEX('Per Invoice'!R$2:R$401,$X188)))</f>
        <v/>
      </c>
      <c r="S188" s="7">
        <f>IF($X188="","",IF(INDEX('Per Invoice'!S$2:S$401,$X188)="","",INDEX('Per Invoice'!S$2:S$401,$X188)))</f>
        <v/>
      </c>
      <c r="T188" s="7">
        <f>IF($X188="","",IF(INDEX('Per Invoice'!T$2:T$401,$X188)="","",INDEX('Per Invoice'!T$2:T$401,$X188)))</f>
        <v/>
      </c>
      <c r="U188" s="7">
        <f>IF($X188="","",IF(INDEX('Per Invoice'!U$2:U$401,$X188)="","",INDEX('Per Invoice'!U$2:U$401,$X188)))</f>
        <v/>
      </c>
      <c r="V188" s="7">
        <f>IF($X188="","",IF(INDEX('Per Invoice'!V$2:V$401,$X188)="","",INDEX('Per Invoice'!V$2:V$401,$X188)))</f>
        <v/>
      </c>
      <c r="W188" s="7">
        <f>IF($X188="","",IF(INDEX('Per Invoice'!W$2:W$401,$X188)="","",INDEX('Per Invoice'!W$2:W$401,$X188)))</f>
        <v/>
      </c>
      <c r="X188" s="16">
        <f>IFERROR(MATCH(Settings!$C$33&amp;"|"&amp;ROWS($X$2:$X188),'Per Invoice'!$Y$2:$Y$401,0),"")</f>
        <v/>
      </c>
    </row>
    <row r="189">
      <c r="A189">
        <f>IF($X189="","",IF(INDEX('Per Invoice'!A$2:A$401,$X189)="","",INDEX('Per Invoice'!A$2:A$401,$X189)))</f>
        <v/>
      </c>
      <c r="B189">
        <f>IF($X189="","",IF(INDEX('Per Invoice'!B$2:B$401,$X189)="","",INDEX('Per Invoice'!B$2:B$401,$X189)))</f>
        <v/>
      </c>
      <c r="C189">
        <f>IF($X189="","",IF(INDEX('Per Invoice'!C$2:C$401,$X189)="","",INDEX('Per Invoice'!C$2:C$401,$X189)))</f>
        <v/>
      </c>
      <c r="D189">
        <f>IF($X189="","",IF(INDEX('Per Invoice'!D$2:D$401,$X189)="","",INDEX('Per Invoice'!D$2:D$401,$X189)))</f>
        <v/>
      </c>
      <c r="E189">
        <f>IF($X189="","",IF(INDEX('Per Invoice'!E$2:E$401,$X189)="","",INDEX('Per Invoice'!E$2:E$401,$X189)))</f>
        <v/>
      </c>
      <c r="F189">
        <f>IF($X189="","",IF(INDEX('Per Invoice'!F$2:F$401,$X189)="","",INDEX('Per Invoice'!F$2:F$401,$X189)))</f>
        <v/>
      </c>
      <c r="G189">
        <f>IF($X189="","",IF(INDEX('Per Invoice'!G$2:G$401,$X189)="","",INDEX('Per Invoice'!G$2:G$401,$X189)))</f>
        <v/>
      </c>
      <c r="H189">
        <f>IF($X189="","",IF(INDEX('Per Invoice'!H$2:H$401,$X189)="","",INDEX('Per Invoice'!H$2:H$401,$X189)))</f>
        <v/>
      </c>
      <c r="I189">
        <f>IF($X189="","",IF(INDEX('Per Invoice'!I$2:I$401,$X189)="","",INDEX('Per Invoice'!I$2:I$401,$X189)))</f>
        <v/>
      </c>
      <c r="J189">
        <f>IF($X189="","",IF(INDEX('Per Invoice'!J$2:J$401,$X189)="","",INDEX('Per Invoice'!J$2:J$401,$X189)))</f>
        <v/>
      </c>
      <c r="K189" s="14">
        <f>IF($X189="","",IF(INDEX('Per Invoice'!K$2:K$401,$X189)="","",INDEX('Per Invoice'!K$2:K$401,$X189)))</f>
        <v/>
      </c>
      <c r="L189">
        <f>IF($X189="","",IF(INDEX('Per Invoice'!L$2:L$401,$X189)="","",INDEX('Per Invoice'!L$2:L$401,$X189)))</f>
        <v/>
      </c>
      <c r="M189" s="7">
        <f>IF($X189="","",IF(INDEX('Per Invoice'!M$2:M$401,$X189)="","",INDEX('Per Invoice'!M$2:M$401,$X189)))</f>
        <v/>
      </c>
      <c r="N189">
        <f>IF($X189="","",IF(INDEX('Per Invoice'!N$2:N$401,$X189)="","",INDEX('Per Invoice'!N$2:N$401,$X189)))</f>
        <v/>
      </c>
      <c r="O189" s="7">
        <f>IF($X189="","",IF(INDEX('Per Invoice'!O$2:O$401,$X189)="","",INDEX('Per Invoice'!O$2:O$401,$X189)))</f>
        <v/>
      </c>
      <c r="P189" s="7">
        <f>IF($X189="","",IF(INDEX('Per Invoice'!P$2:P$401,$X189)="","",INDEX('Per Invoice'!P$2:P$401,$X189)))</f>
        <v/>
      </c>
      <c r="Q189">
        <f>IF($X189="","",IF(INDEX('Per Invoice'!Q$2:Q$401,$X189)="","",INDEX('Per Invoice'!Q$2:Q$401,$X189)))</f>
        <v/>
      </c>
      <c r="R189" s="7">
        <f>IF($X189="","",IF(INDEX('Per Invoice'!R$2:R$401,$X189)="","",INDEX('Per Invoice'!R$2:R$401,$X189)))</f>
        <v/>
      </c>
      <c r="S189" s="7">
        <f>IF($X189="","",IF(INDEX('Per Invoice'!S$2:S$401,$X189)="","",INDEX('Per Invoice'!S$2:S$401,$X189)))</f>
        <v/>
      </c>
      <c r="T189" s="7">
        <f>IF($X189="","",IF(INDEX('Per Invoice'!T$2:T$401,$X189)="","",INDEX('Per Invoice'!T$2:T$401,$X189)))</f>
        <v/>
      </c>
      <c r="U189" s="7">
        <f>IF($X189="","",IF(INDEX('Per Invoice'!U$2:U$401,$X189)="","",INDEX('Per Invoice'!U$2:U$401,$X189)))</f>
        <v/>
      </c>
      <c r="V189" s="7">
        <f>IF($X189="","",IF(INDEX('Per Invoice'!V$2:V$401,$X189)="","",INDEX('Per Invoice'!V$2:V$401,$X189)))</f>
        <v/>
      </c>
      <c r="W189" s="7">
        <f>IF($X189="","",IF(INDEX('Per Invoice'!W$2:W$401,$X189)="","",INDEX('Per Invoice'!W$2:W$401,$X189)))</f>
        <v/>
      </c>
      <c r="X189" s="16">
        <f>IFERROR(MATCH(Settings!$C$33&amp;"|"&amp;ROWS($X$2:$X189),'Per Invoice'!$Y$2:$Y$401,0),"")</f>
        <v/>
      </c>
    </row>
    <row r="190">
      <c r="A190">
        <f>IF($X190="","",IF(INDEX('Per Invoice'!A$2:A$401,$X190)="","",INDEX('Per Invoice'!A$2:A$401,$X190)))</f>
        <v/>
      </c>
      <c r="B190">
        <f>IF($X190="","",IF(INDEX('Per Invoice'!B$2:B$401,$X190)="","",INDEX('Per Invoice'!B$2:B$401,$X190)))</f>
        <v/>
      </c>
      <c r="C190">
        <f>IF($X190="","",IF(INDEX('Per Invoice'!C$2:C$401,$X190)="","",INDEX('Per Invoice'!C$2:C$401,$X190)))</f>
        <v/>
      </c>
      <c r="D190">
        <f>IF($X190="","",IF(INDEX('Per Invoice'!D$2:D$401,$X190)="","",INDEX('Per Invoice'!D$2:D$401,$X190)))</f>
        <v/>
      </c>
      <c r="E190">
        <f>IF($X190="","",IF(INDEX('Per Invoice'!E$2:E$401,$X190)="","",INDEX('Per Invoice'!E$2:E$401,$X190)))</f>
        <v/>
      </c>
      <c r="F190">
        <f>IF($X190="","",IF(INDEX('Per Invoice'!F$2:F$401,$X190)="","",INDEX('Per Invoice'!F$2:F$401,$X190)))</f>
        <v/>
      </c>
      <c r="G190">
        <f>IF($X190="","",IF(INDEX('Per Invoice'!G$2:G$401,$X190)="","",INDEX('Per Invoice'!G$2:G$401,$X190)))</f>
        <v/>
      </c>
      <c r="H190">
        <f>IF($X190="","",IF(INDEX('Per Invoice'!H$2:H$401,$X190)="","",INDEX('Per Invoice'!H$2:H$401,$X190)))</f>
        <v/>
      </c>
      <c r="I190">
        <f>IF($X190="","",IF(INDEX('Per Invoice'!I$2:I$401,$X190)="","",INDEX('Per Invoice'!I$2:I$401,$X190)))</f>
        <v/>
      </c>
      <c r="J190">
        <f>IF($X190="","",IF(INDEX('Per Invoice'!J$2:J$401,$X190)="","",INDEX('Per Invoice'!J$2:J$401,$X190)))</f>
        <v/>
      </c>
      <c r="K190" s="14">
        <f>IF($X190="","",IF(INDEX('Per Invoice'!K$2:K$401,$X190)="","",INDEX('Per Invoice'!K$2:K$401,$X190)))</f>
        <v/>
      </c>
      <c r="L190">
        <f>IF($X190="","",IF(INDEX('Per Invoice'!L$2:L$401,$X190)="","",INDEX('Per Invoice'!L$2:L$401,$X190)))</f>
        <v/>
      </c>
      <c r="M190" s="7">
        <f>IF($X190="","",IF(INDEX('Per Invoice'!M$2:M$401,$X190)="","",INDEX('Per Invoice'!M$2:M$401,$X190)))</f>
        <v/>
      </c>
      <c r="N190">
        <f>IF($X190="","",IF(INDEX('Per Invoice'!N$2:N$401,$X190)="","",INDEX('Per Invoice'!N$2:N$401,$X190)))</f>
        <v/>
      </c>
      <c r="O190" s="7">
        <f>IF($X190="","",IF(INDEX('Per Invoice'!O$2:O$401,$X190)="","",INDEX('Per Invoice'!O$2:O$401,$X190)))</f>
        <v/>
      </c>
      <c r="P190" s="7">
        <f>IF($X190="","",IF(INDEX('Per Invoice'!P$2:P$401,$X190)="","",INDEX('Per Invoice'!P$2:P$401,$X190)))</f>
        <v/>
      </c>
      <c r="Q190">
        <f>IF($X190="","",IF(INDEX('Per Invoice'!Q$2:Q$401,$X190)="","",INDEX('Per Invoice'!Q$2:Q$401,$X190)))</f>
        <v/>
      </c>
      <c r="R190" s="7">
        <f>IF($X190="","",IF(INDEX('Per Invoice'!R$2:R$401,$X190)="","",INDEX('Per Invoice'!R$2:R$401,$X190)))</f>
        <v/>
      </c>
      <c r="S190" s="7">
        <f>IF($X190="","",IF(INDEX('Per Invoice'!S$2:S$401,$X190)="","",INDEX('Per Invoice'!S$2:S$401,$X190)))</f>
        <v/>
      </c>
      <c r="T190" s="7">
        <f>IF($X190="","",IF(INDEX('Per Invoice'!T$2:T$401,$X190)="","",INDEX('Per Invoice'!T$2:T$401,$X190)))</f>
        <v/>
      </c>
      <c r="U190" s="7">
        <f>IF($X190="","",IF(INDEX('Per Invoice'!U$2:U$401,$X190)="","",INDEX('Per Invoice'!U$2:U$401,$X190)))</f>
        <v/>
      </c>
      <c r="V190" s="7">
        <f>IF($X190="","",IF(INDEX('Per Invoice'!V$2:V$401,$X190)="","",INDEX('Per Invoice'!V$2:V$401,$X190)))</f>
        <v/>
      </c>
      <c r="W190" s="7">
        <f>IF($X190="","",IF(INDEX('Per Invoice'!W$2:W$401,$X190)="","",INDEX('Per Invoice'!W$2:W$401,$X190)))</f>
        <v/>
      </c>
      <c r="X190" s="16">
        <f>IFERROR(MATCH(Settings!$C$33&amp;"|"&amp;ROWS($X$2:$X190),'Per Invoice'!$Y$2:$Y$401,0),"")</f>
        <v/>
      </c>
    </row>
    <row r="191">
      <c r="A191">
        <f>IF($X191="","",IF(INDEX('Per Invoice'!A$2:A$401,$X191)="","",INDEX('Per Invoice'!A$2:A$401,$X191)))</f>
        <v/>
      </c>
      <c r="B191">
        <f>IF($X191="","",IF(INDEX('Per Invoice'!B$2:B$401,$X191)="","",INDEX('Per Invoice'!B$2:B$401,$X191)))</f>
        <v/>
      </c>
      <c r="C191">
        <f>IF($X191="","",IF(INDEX('Per Invoice'!C$2:C$401,$X191)="","",INDEX('Per Invoice'!C$2:C$401,$X191)))</f>
        <v/>
      </c>
      <c r="D191">
        <f>IF($X191="","",IF(INDEX('Per Invoice'!D$2:D$401,$X191)="","",INDEX('Per Invoice'!D$2:D$401,$X191)))</f>
        <v/>
      </c>
      <c r="E191">
        <f>IF($X191="","",IF(INDEX('Per Invoice'!E$2:E$401,$X191)="","",INDEX('Per Invoice'!E$2:E$401,$X191)))</f>
        <v/>
      </c>
      <c r="F191">
        <f>IF($X191="","",IF(INDEX('Per Invoice'!F$2:F$401,$X191)="","",INDEX('Per Invoice'!F$2:F$401,$X191)))</f>
        <v/>
      </c>
      <c r="G191">
        <f>IF($X191="","",IF(INDEX('Per Invoice'!G$2:G$401,$X191)="","",INDEX('Per Invoice'!G$2:G$401,$X191)))</f>
        <v/>
      </c>
      <c r="H191">
        <f>IF($X191="","",IF(INDEX('Per Invoice'!H$2:H$401,$X191)="","",INDEX('Per Invoice'!H$2:H$401,$X191)))</f>
        <v/>
      </c>
      <c r="I191">
        <f>IF($X191="","",IF(INDEX('Per Invoice'!I$2:I$401,$X191)="","",INDEX('Per Invoice'!I$2:I$401,$X191)))</f>
        <v/>
      </c>
      <c r="J191">
        <f>IF($X191="","",IF(INDEX('Per Invoice'!J$2:J$401,$X191)="","",INDEX('Per Invoice'!J$2:J$401,$X191)))</f>
        <v/>
      </c>
      <c r="K191" s="14">
        <f>IF($X191="","",IF(INDEX('Per Invoice'!K$2:K$401,$X191)="","",INDEX('Per Invoice'!K$2:K$401,$X191)))</f>
        <v/>
      </c>
      <c r="L191">
        <f>IF($X191="","",IF(INDEX('Per Invoice'!L$2:L$401,$X191)="","",INDEX('Per Invoice'!L$2:L$401,$X191)))</f>
        <v/>
      </c>
      <c r="M191" s="7">
        <f>IF($X191="","",IF(INDEX('Per Invoice'!M$2:M$401,$X191)="","",INDEX('Per Invoice'!M$2:M$401,$X191)))</f>
        <v/>
      </c>
      <c r="N191">
        <f>IF($X191="","",IF(INDEX('Per Invoice'!N$2:N$401,$X191)="","",INDEX('Per Invoice'!N$2:N$401,$X191)))</f>
        <v/>
      </c>
      <c r="O191" s="7">
        <f>IF($X191="","",IF(INDEX('Per Invoice'!O$2:O$401,$X191)="","",INDEX('Per Invoice'!O$2:O$401,$X191)))</f>
        <v/>
      </c>
      <c r="P191" s="7">
        <f>IF($X191="","",IF(INDEX('Per Invoice'!P$2:P$401,$X191)="","",INDEX('Per Invoice'!P$2:P$401,$X191)))</f>
        <v/>
      </c>
      <c r="Q191">
        <f>IF($X191="","",IF(INDEX('Per Invoice'!Q$2:Q$401,$X191)="","",INDEX('Per Invoice'!Q$2:Q$401,$X191)))</f>
        <v/>
      </c>
      <c r="R191" s="7">
        <f>IF($X191="","",IF(INDEX('Per Invoice'!R$2:R$401,$X191)="","",INDEX('Per Invoice'!R$2:R$401,$X191)))</f>
        <v/>
      </c>
      <c r="S191" s="7">
        <f>IF($X191="","",IF(INDEX('Per Invoice'!S$2:S$401,$X191)="","",INDEX('Per Invoice'!S$2:S$401,$X191)))</f>
        <v/>
      </c>
      <c r="T191" s="7">
        <f>IF($X191="","",IF(INDEX('Per Invoice'!T$2:T$401,$X191)="","",INDEX('Per Invoice'!T$2:T$401,$X191)))</f>
        <v/>
      </c>
      <c r="U191" s="7">
        <f>IF($X191="","",IF(INDEX('Per Invoice'!U$2:U$401,$X191)="","",INDEX('Per Invoice'!U$2:U$401,$X191)))</f>
        <v/>
      </c>
      <c r="V191" s="7">
        <f>IF($X191="","",IF(INDEX('Per Invoice'!V$2:V$401,$X191)="","",INDEX('Per Invoice'!V$2:V$401,$X191)))</f>
        <v/>
      </c>
      <c r="W191" s="7">
        <f>IF($X191="","",IF(INDEX('Per Invoice'!W$2:W$401,$X191)="","",INDEX('Per Invoice'!W$2:W$401,$X191)))</f>
        <v/>
      </c>
      <c r="X191" s="16">
        <f>IFERROR(MATCH(Settings!$C$33&amp;"|"&amp;ROWS($X$2:$X191),'Per Invoice'!$Y$2:$Y$401,0),"")</f>
        <v/>
      </c>
    </row>
    <row r="192">
      <c r="A192">
        <f>IF($X192="","",IF(INDEX('Per Invoice'!A$2:A$401,$X192)="","",INDEX('Per Invoice'!A$2:A$401,$X192)))</f>
        <v/>
      </c>
      <c r="B192">
        <f>IF($X192="","",IF(INDEX('Per Invoice'!B$2:B$401,$X192)="","",INDEX('Per Invoice'!B$2:B$401,$X192)))</f>
        <v/>
      </c>
      <c r="C192">
        <f>IF($X192="","",IF(INDEX('Per Invoice'!C$2:C$401,$X192)="","",INDEX('Per Invoice'!C$2:C$401,$X192)))</f>
        <v/>
      </c>
      <c r="D192">
        <f>IF($X192="","",IF(INDEX('Per Invoice'!D$2:D$401,$X192)="","",INDEX('Per Invoice'!D$2:D$401,$X192)))</f>
        <v/>
      </c>
      <c r="E192">
        <f>IF($X192="","",IF(INDEX('Per Invoice'!E$2:E$401,$X192)="","",INDEX('Per Invoice'!E$2:E$401,$X192)))</f>
        <v/>
      </c>
      <c r="F192">
        <f>IF($X192="","",IF(INDEX('Per Invoice'!F$2:F$401,$X192)="","",INDEX('Per Invoice'!F$2:F$401,$X192)))</f>
        <v/>
      </c>
      <c r="G192">
        <f>IF($X192="","",IF(INDEX('Per Invoice'!G$2:G$401,$X192)="","",INDEX('Per Invoice'!G$2:G$401,$X192)))</f>
        <v/>
      </c>
      <c r="H192">
        <f>IF($X192="","",IF(INDEX('Per Invoice'!H$2:H$401,$X192)="","",INDEX('Per Invoice'!H$2:H$401,$X192)))</f>
        <v/>
      </c>
      <c r="I192">
        <f>IF($X192="","",IF(INDEX('Per Invoice'!I$2:I$401,$X192)="","",INDEX('Per Invoice'!I$2:I$401,$X192)))</f>
        <v/>
      </c>
      <c r="J192">
        <f>IF($X192="","",IF(INDEX('Per Invoice'!J$2:J$401,$X192)="","",INDEX('Per Invoice'!J$2:J$401,$X192)))</f>
        <v/>
      </c>
      <c r="K192" s="14">
        <f>IF($X192="","",IF(INDEX('Per Invoice'!K$2:K$401,$X192)="","",INDEX('Per Invoice'!K$2:K$401,$X192)))</f>
        <v/>
      </c>
      <c r="L192">
        <f>IF($X192="","",IF(INDEX('Per Invoice'!L$2:L$401,$X192)="","",INDEX('Per Invoice'!L$2:L$401,$X192)))</f>
        <v/>
      </c>
      <c r="M192" s="7">
        <f>IF($X192="","",IF(INDEX('Per Invoice'!M$2:M$401,$X192)="","",INDEX('Per Invoice'!M$2:M$401,$X192)))</f>
        <v/>
      </c>
      <c r="N192">
        <f>IF($X192="","",IF(INDEX('Per Invoice'!N$2:N$401,$X192)="","",INDEX('Per Invoice'!N$2:N$401,$X192)))</f>
        <v/>
      </c>
      <c r="O192" s="7">
        <f>IF($X192="","",IF(INDEX('Per Invoice'!O$2:O$401,$X192)="","",INDEX('Per Invoice'!O$2:O$401,$X192)))</f>
        <v/>
      </c>
      <c r="P192" s="7">
        <f>IF($X192="","",IF(INDEX('Per Invoice'!P$2:P$401,$X192)="","",INDEX('Per Invoice'!P$2:P$401,$X192)))</f>
        <v/>
      </c>
      <c r="Q192">
        <f>IF($X192="","",IF(INDEX('Per Invoice'!Q$2:Q$401,$X192)="","",INDEX('Per Invoice'!Q$2:Q$401,$X192)))</f>
        <v/>
      </c>
      <c r="R192" s="7">
        <f>IF($X192="","",IF(INDEX('Per Invoice'!R$2:R$401,$X192)="","",INDEX('Per Invoice'!R$2:R$401,$X192)))</f>
        <v/>
      </c>
      <c r="S192" s="7">
        <f>IF($X192="","",IF(INDEX('Per Invoice'!S$2:S$401,$X192)="","",INDEX('Per Invoice'!S$2:S$401,$X192)))</f>
        <v/>
      </c>
      <c r="T192" s="7">
        <f>IF($X192="","",IF(INDEX('Per Invoice'!T$2:T$401,$X192)="","",INDEX('Per Invoice'!T$2:T$401,$X192)))</f>
        <v/>
      </c>
      <c r="U192" s="7">
        <f>IF($X192="","",IF(INDEX('Per Invoice'!U$2:U$401,$X192)="","",INDEX('Per Invoice'!U$2:U$401,$X192)))</f>
        <v/>
      </c>
      <c r="V192" s="7">
        <f>IF($X192="","",IF(INDEX('Per Invoice'!V$2:V$401,$X192)="","",INDEX('Per Invoice'!V$2:V$401,$X192)))</f>
        <v/>
      </c>
      <c r="W192" s="7">
        <f>IF($X192="","",IF(INDEX('Per Invoice'!W$2:W$401,$X192)="","",INDEX('Per Invoice'!W$2:W$401,$X192)))</f>
        <v/>
      </c>
      <c r="X192" s="16">
        <f>IFERROR(MATCH(Settings!$C$33&amp;"|"&amp;ROWS($X$2:$X192),'Per Invoice'!$Y$2:$Y$401,0),"")</f>
        <v/>
      </c>
    </row>
    <row r="193">
      <c r="A193">
        <f>IF($X193="","",IF(INDEX('Per Invoice'!A$2:A$401,$X193)="","",INDEX('Per Invoice'!A$2:A$401,$X193)))</f>
        <v/>
      </c>
      <c r="B193">
        <f>IF($X193="","",IF(INDEX('Per Invoice'!B$2:B$401,$X193)="","",INDEX('Per Invoice'!B$2:B$401,$X193)))</f>
        <v/>
      </c>
      <c r="C193">
        <f>IF($X193="","",IF(INDEX('Per Invoice'!C$2:C$401,$X193)="","",INDEX('Per Invoice'!C$2:C$401,$X193)))</f>
        <v/>
      </c>
      <c r="D193">
        <f>IF($X193="","",IF(INDEX('Per Invoice'!D$2:D$401,$X193)="","",INDEX('Per Invoice'!D$2:D$401,$X193)))</f>
        <v/>
      </c>
      <c r="E193">
        <f>IF($X193="","",IF(INDEX('Per Invoice'!E$2:E$401,$X193)="","",INDEX('Per Invoice'!E$2:E$401,$X193)))</f>
        <v/>
      </c>
      <c r="F193">
        <f>IF($X193="","",IF(INDEX('Per Invoice'!F$2:F$401,$X193)="","",INDEX('Per Invoice'!F$2:F$401,$X193)))</f>
        <v/>
      </c>
      <c r="G193">
        <f>IF($X193="","",IF(INDEX('Per Invoice'!G$2:G$401,$X193)="","",INDEX('Per Invoice'!G$2:G$401,$X193)))</f>
        <v/>
      </c>
      <c r="H193">
        <f>IF($X193="","",IF(INDEX('Per Invoice'!H$2:H$401,$X193)="","",INDEX('Per Invoice'!H$2:H$401,$X193)))</f>
        <v/>
      </c>
      <c r="I193">
        <f>IF($X193="","",IF(INDEX('Per Invoice'!I$2:I$401,$X193)="","",INDEX('Per Invoice'!I$2:I$401,$X193)))</f>
        <v/>
      </c>
      <c r="J193">
        <f>IF($X193="","",IF(INDEX('Per Invoice'!J$2:J$401,$X193)="","",INDEX('Per Invoice'!J$2:J$401,$X193)))</f>
        <v/>
      </c>
      <c r="K193" s="14">
        <f>IF($X193="","",IF(INDEX('Per Invoice'!K$2:K$401,$X193)="","",INDEX('Per Invoice'!K$2:K$401,$X193)))</f>
        <v/>
      </c>
      <c r="L193">
        <f>IF($X193="","",IF(INDEX('Per Invoice'!L$2:L$401,$X193)="","",INDEX('Per Invoice'!L$2:L$401,$X193)))</f>
        <v/>
      </c>
      <c r="M193" s="7">
        <f>IF($X193="","",IF(INDEX('Per Invoice'!M$2:M$401,$X193)="","",INDEX('Per Invoice'!M$2:M$401,$X193)))</f>
        <v/>
      </c>
      <c r="N193">
        <f>IF($X193="","",IF(INDEX('Per Invoice'!N$2:N$401,$X193)="","",INDEX('Per Invoice'!N$2:N$401,$X193)))</f>
        <v/>
      </c>
      <c r="O193" s="7">
        <f>IF($X193="","",IF(INDEX('Per Invoice'!O$2:O$401,$X193)="","",INDEX('Per Invoice'!O$2:O$401,$X193)))</f>
        <v/>
      </c>
      <c r="P193" s="7">
        <f>IF($X193="","",IF(INDEX('Per Invoice'!P$2:P$401,$X193)="","",INDEX('Per Invoice'!P$2:P$401,$X193)))</f>
        <v/>
      </c>
      <c r="Q193">
        <f>IF($X193="","",IF(INDEX('Per Invoice'!Q$2:Q$401,$X193)="","",INDEX('Per Invoice'!Q$2:Q$401,$X193)))</f>
        <v/>
      </c>
      <c r="R193" s="7">
        <f>IF($X193="","",IF(INDEX('Per Invoice'!R$2:R$401,$X193)="","",INDEX('Per Invoice'!R$2:R$401,$X193)))</f>
        <v/>
      </c>
      <c r="S193" s="7">
        <f>IF($X193="","",IF(INDEX('Per Invoice'!S$2:S$401,$X193)="","",INDEX('Per Invoice'!S$2:S$401,$X193)))</f>
        <v/>
      </c>
      <c r="T193" s="7">
        <f>IF($X193="","",IF(INDEX('Per Invoice'!T$2:T$401,$X193)="","",INDEX('Per Invoice'!T$2:T$401,$X193)))</f>
        <v/>
      </c>
      <c r="U193" s="7">
        <f>IF($X193="","",IF(INDEX('Per Invoice'!U$2:U$401,$X193)="","",INDEX('Per Invoice'!U$2:U$401,$X193)))</f>
        <v/>
      </c>
      <c r="V193" s="7">
        <f>IF($X193="","",IF(INDEX('Per Invoice'!V$2:V$401,$X193)="","",INDEX('Per Invoice'!V$2:V$401,$X193)))</f>
        <v/>
      </c>
      <c r="W193" s="7">
        <f>IF($X193="","",IF(INDEX('Per Invoice'!W$2:W$401,$X193)="","",INDEX('Per Invoice'!W$2:W$401,$X193)))</f>
        <v/>
      </c>
      <c r="X193" s="16">
        <f>IFERROR(MATCH(Settings!$C$33&amp;"|"&amp;ROWS($X$2:$X193),'Per Invoice'!$Y$2:$Y$401,0),"")</f>
        <v/>
      </c>
    </row>
    <row r="194">
      <c r="A194">
        <f>IF($X194="","",IF(INDEX('Per Invoice'!A$2:A$401,$X194)="","",INDEX('Per Invoice'!A$2:A$401,$X194)))</f>
        <v/>
      </c>
      <c r="B194">
        <f>IF($X194="","",IF(INDEX('Per Invoice'!B$2:B$401,$X194)="","",INDEX('Per Invoice'!B$2:B$401,$X194)))</f>
        <v/>
      </c>
      <c r="C194">
        <f>IF($X194="","",IF(INDEX('Per Invoice'!C$2:C$401,$X194)="","",INDEX('Per Invoice'!C$2:C$401,$X194)))</f>
        <v/>
      </c>
      <c r="D194">
        <f>IF($X194="","",IF(INDEX('Per Invoice'!D$2:D$401,$X194)="","",INDEX('Per Invoice'!D$2:D$401,$X194)))</f>
        <v/>
      </c>
      <c r="E194">
        <f>IF($X194="","",IF(INDEX('Per Invoice'!E$2:E$401,$X194)="","",INDEX('Per Invoice'!E$2:E$401,$X194)))</f>
        <v/>
      </c>
      <c r="F194">
        <f>IF($X194="","",IF(INDEX('Per Invoice'!F$2:F$401,$X194)="","",INDEX('Per Invoice'!F$2:F$401,$X194)))</f>
        <v/>
      </c>
      <c r="G194">
        <f>IF($X194="","",IF(INDEX('Per Invoice'!G$2:G$401,$X194)="","",INDEX('Per Invoice'!G$2:G$401,$X194)))</f>
        <v/>
      </c>
      <c r="H194">
        <f>IF($X194="","",IF(INDEX('Per Invoice'!H$2:H$401,$X194)="","",INDEX('Per Invoice'!H$2:H$401,$X194)))</f>
        <v/>
      </c>
      <c r="I194">
        <f>IF($X194="","",IF(INDEX('Per Invoice'!I$2:I$401,$X194)="","",INDEX('Per Invoice'!I$2:I$401,$X194)))</f>
        <v/>
      </c>
      <c r="J194">
        <f>IF($X194="","",IF(INDEX('Per Invoice'!J$2:J$401,$X194)="","",INDEX('Per Invoice'!J$2:J$401,$X194)))</f>
        <v/>
      </c>
      <c r="K194" s="14">
        <f>IF($X194="","",IF(INDEX('Per Invoice'!K$2:K$401,$X194)="","",INDEX('Per Invoice'!K$2:K$401,$X194)))</f>
        <v/>
      </c>
      <c r="L194">
        <f>IF($X194="","",IF(INDEX('Per Invoice'!L$2:L$401,$X194)="","",INDEX('Per Invoice'!L$2:L$401,$X194)))</f>
        <v/>
      </c>
      <c r="M194" s="7">
        <f>IF($X194="","",IF(INDEX('Per Invoice'!M$2:M$401,$X194)="","",INDEX('Per Invoice'!M$2:M$401,$X194)))</f>
        <v/>
      </c>
      <c r="N194">
        <f>IF($X194="","",IF(INDEX('Per Invoice'!N$2:N$401,$X194)="","",INDEX('Per Invoice'!N$2:N$401,$X194)))</f>
        <v/>
      </c>
      <c r="O194" s="7">
        <f>IF($X194="","",IF(INDEX('Per Invoice'!O$2:O$401,$X194)="","",INDEX('Per Invoice'!O$2:O$401,$X194)))</f>
        <v/>
      </c>
      <c r="P194" s="7">
        <f>IF($X194="","",IF(INDEX('Per Invoice'!P$2:P$401,$X194)="","",INDEX('Per Invoice'!P$2:P$401,$X194)))</f>
        <v/>
      </c>
      <c r="Q194">
        <f>IF($X194="","",IF(INDEX('Per Invoice'!Q$2:Q$401,$X194)="","",INDEX('Per Invoice'!Q$2:Q$401,$X194)))</f>
        <v/>
      </c>
      <c r="R194" s="7">
        <f>IF($X194="","",IF(INDEX('Per Invoice'!R$2:R$401,$X194)="","",INDEX('Per Invoice'!R$2:R$401,$X194)))</f>
        <v/>
      </c>
      <c r="S194" s="7">
        <f>IF($X194="","",IF(INDEX('Per Invoice'!S$2:S$401,$X194)="","",INDEX('Per Invoice'!S$2:S$401,$X194)))</f>
        <v/>
      </c>
      <c r="T194" s="7">
        <f>IF($X194="","",IF(INDEX('Per Invoice'!T$2:T$401,$X194)="","",INDEX('Per Invoice'!T$2:T$401,$X194)))</f>
        <v/>
      </c>
      <c r="U194" s="7">
        <f>IF($X194="","",IF(INDEX('Per Invoice'!U$2:U$401,$X194)="","",INDEX('Per Invoice'!U$2:U$401,$X194)))</f>
        <v/>
      </c>
      <c r="V194" s="7">
        <f>IF($X194="","",IF(INDEX('Per Invoice'!V$2:V$401,$X194)="","",INDEX('Per Invoice'!V$2:V$401,$X194)))</f>
        <v/>
      </c>
      <c r="W194" s="7">
        <f>IF($X194="","",IF(INDEX('Per Invoice'!W$2:W$401,$X194)="","",INDEX('Per Invoice'!W$2:W$401,$X194)))</f>
        <v/>
      </c>
      <c r="X194" s="16">
        <f>IFERROR(MATCH(Settings!$C$33&amp;"|"&amp;ROWS($X$2:$X194),'Per Invoice'!$Y$2:$Y$401,0),"")</f>
        <v/>
      </c>
    </row>
    <row r="195">
      <c r="A195">
        <f>IF($X195="","",IF(INDEX('Per Invoice'!A$2:A$401,$X195)="","",INDEX('Per Invoice'!A$2:A$401,$X195)))</f>
        <v/>
      </c>
      <c r="B195">
        <f>IF($X195="","",IF(INDEX('Per Invoice'!B$2:B$401,$X195)="","",INDEX('Per Invoice'!B$2:B$401,$X195)))</f>
        <v/>
      </c>
      <c r="C195">
        <f>IF($X195="","",IF(INDEX('Per Invoice'!C$2:C$401,$X195)="","",INDEX('Per Invoice'!C$2:C$401,$X195)))</f>
        <v/>
      </c>
      <c r="D195">
        <f>IF($X195="","",IF(INDEX('Per Invoice'!D$2:D$401,$X195)="","",INDEX('Per Invoice'!D$2:D$401,$X195)))</f>
        <v/>
      </c>
      <c r="E195">
        <f>IF($X195="","",IF(INDEX('Per Invoice'!E$2:E$401,$X195)="","",INDEX('Per Invoice'!E$2:E$401,$X195)))</f>
        <v/>
      </c>
      <c r="F195">
        <f>IF($X195="","",IF(INDEX('Per Invoice'!F$2:F$401,$X195)="","",INDEX('Per Invoice'!F$2:F$401,$X195)))</f>
        <v/>
      </c>
      <c r="G195">
        <f>IF($X195="","",IF(INDEX('Per Invoice'!G$2:G$401,$X195)="","",INDEX('Per Invoice'!G$2:G$401,$X195)))</f>
        <v/>
      </c>
      <c r="H195">
        <f>IF($X195="","",IF(INDEX('Per Invoice'!H$2:H$401,$X195)="","",INDEX('Per Invoice'!H$2:H$401,$X195)))</f>
        <v/>
      </c>
      <c r="I195">
        <f>IF($X195="","",IF(INDEX('Per Invoice'!I$2:I$401,$X195)="","",INDEX('Per Invoice'!I$2:I$401,$X195)))</f>
        <v/>
      </c>
      <c r="J195">
        <f>IF($X195="","",IF(INDEX('Per Invoice'!J$2:J$401,$X195)="","",INDEX('Per Invoice'!J$2:J$401,$X195)))</f>
        <v/>
      </c>
      <c r="K195" s="14">
        <f>IF($X195="","",IF(INDEX('Per Invoice'!K$2:K$401,$X195)="","",INDEX('Per Invoice'!K$2:K$401,$X195)))</f>
        <v/>
      </c>
      <c r="L195">
        <f>IF($X195="","",IF(INDEX('Per Invoice'!L$2:L$401,$X195)="","",INDEX('Per Invoice'!L$2:L$401,$X195)))</f>
        <v/>
      </c>
      <c r="M195" s="7">
        <f>IF($X195="","",IF(INDEX('Per Invoice'!M$2:M$401,$X195)="","",INDEX('Per Invoice'!M$2:M$401,$X195)))</f>
        <v/>
      </c>
      <c r="N195">
        <f>IF($X195="","",IF(INDEX('Per Invoice'!N$2:N$401,$X195)="","",INDEX('Per Invoice'!N$2:N$401,$X195)))</f>
        <v/>
      </c>
      <c r="O195" s="7">
        <f>IF($X195="","",IF(INDEX('Per Invoice'!O$2:O$401,$X195)="","",INDEX('Per Invoice'!O$2:O$401,$X195)))</f>
        <v/>
      </c>
      <c r="P195" s="7">
        <f>IF($X195="","",IF(INDEX('Per Invoice'!P$2:P$401,$X195)="","",INDEX('Per Invoice'!P$2:P$401,$X195)))</f>
        <v/>
      </c>
      <c r="Q195">
        <f>IF($X195="","",IF(INDEX('Per Invoice'!Q$2:Q$401,$X195)="","",INDEX('Per Invoice'!Q$2:Q$401,$X195)))</f>
        <v/>
      </c>
      <c r="R195" s="7">
        <f>IF($X195="","",IF(INDEX('Per Invoice'!R$2:R$401,$X195)="","",INDEX('Per Invoice'!R$2:R$401,$X195)))</f>
        <v/>
      </c>
      <c r="S195" s="7">
        <f>IF($X195="","",IF(INDEX('Per Invoice'!S$2:S$401,$X195)="","",INDEX('Per Invoice'!S$2:S$401,$X195)))</f>
        <v/>
      </c>
      <c r="T195" s="7">
        <f>IF($X195="","",IF(INDEX('Per Invoice'!T$2:T$401,$X195)="","",INDEX('Per Invoice'!T$2:T$401,$X195)))</f>
        <v/>
      </c>
      <c r="U195" s="7">
        <f>IF($X195="","",IF(INDEX('Per Invoice'!U$2:U$401,$X195)="","",INDEX('Per Invoice'!U$2:U$401,$X195)))</f>
        <v/>
      </c>
      <c r="V195" s="7">
        <f>IF($X195="","",IF(INDEX('Per Invoice'!V$2:V$401,$X195)="","",INDEX('Per Invoice'!V$2:V$401,$X195)))</f>
        <v/>
      </c>
      <c r="W195" s="7">
        <f>IF($X195="","",IF(INDEX('Per Invoice'!W$2:W$401,$X195)="","",INDEX('Per Invoice'!W$2:W$401,$X195)))</f>
        <v/>
      </c>
      <c r="X195" s="16">
        <f>IFERROR(MATCH(Settings!$C$33&amp;"|"&amp;ROWS($X$2:$X195),'Per Invoice'!$Y$2:$Y$401,0),"")</f>
        <v/>
      </c>
    </row>
    <row r="196">
      <c r="A196">
        <f>IF($X196="","",IF(INDEX('Per Invoice'!A$2:A$401,$X196)="","",INDEX('Per Invoice'!A$2:A$401,$X196)))</f>
        <v/>
      </c>
      <c r="B196">
        <f>IF($X196="","",IF(INDEX('Per Invoice'!B$2:B$401,$X196)="","",INDEX('Per Invoice'!B$2:B$401,$X196)))</f>
        <v/>
      </c>
      <c r="C196">
        <f>IF($X196="","",IF(INDEX('Per Invoice'!C$2:C$401,$X196)="","",INDEX('Per Invoice'!C$2:C$401,$X196)))</f>
        <v/>
      </c>
      <c r="D196">
        <f>IF($X196="","",IF(INDEX('Per Invoice'!D$2:D$401,$X196)="","",INDEX('Per Invoice'!D$2:D$401,$X196)))</f>
        <v/>
      </c>
      <c r="E196">
        <f>IF($X196="","",IF(INDEX('Per Invoice'!E$2:E$401,$X196)="","",INDEX('Per Invoice'!E$2:E$401,$X196)))</f>
        <v/>
      </c>
      <c r="F196">
        <f>IF($X196="","",IF(INDEX('Per Invoice'!F$2:F$401,$X196)="","",INDEX('Per Invoice'!F$2:F$401,$X196)))</f>
        <v/>
      </c>
      <c r="G196">
        <f>IF($X196="","",IF(INDEX('Per Invoice'!G$2:G$401,$X196)="","",INDEX('Per Invoice'!G$2:G$401,$X196)))</f>
        <v/>
      </c>
      <c r="H196">
        <f>IF($X196="","",IF(INDEX('Per Invoice'!H$2:H$401,$X196)="","",INDEX('Per Invoice'!H$2:H$401,$X196)))</f>
        <v/>
      </c>
      <c r="I196">
        <f>IF($X196="","",IF(INDEX('Per Invoice'!I$2:I$401,$X196)="","",INDEX('Per Invoice'!I$2:I$401,$X196)))</f>
        <v/>
      </c>
      <c r="J196">
        <f>IF($X196="","",IF(INDEX('Per Invoice'!J$2:J$401,$X196)="","",INDEX('Per Invoice'!J$2:J$401,$X196)))</f>
        <v/>
      </c>
      <c r="K196" s="14">
        <f>IF($X196="","",IF(INDEX('Per Invoice'!K$2:K$401,$X196)="","",INDEX('Per Invoice'!K$2:K$401,$X196)))</f>
        <v/>
      </c>
      <c r="L196">
        <f>IF($X196="","",IF(INDEX('Per Invoice'!L$2:L$401,$X196)="","",INDEX('Per Invoice'!L$2:L$401,$X196)))</f>
        <v/>
      </c>
      <c r="M196" s="7">
        <f>IF($X196="","",IF(INDEX('Per Invoice'!M$2:M$401,$X196)="","",INDEX('Per Invoice'!M$2:M$401,$X196)))</f>
        <v/>
      </c>
      <c r="N196">
        <f>IF($X196="","",IF(INDEX('Per Invoice'!N$2:N$401,$X196)="","",INDEX('Per Invoice'!N$2:N$401,$X196)))</f>
        <v/>
      </c>
      <c r="O196" s="7">
        <f>IF($X196="","",IF(INDEX('Per Invoice'!O$2:O$401,$X196)="","",INDEX('Per Invoice'!O$2:O$401,$X196)))</f>
        <v/>
      </c>
      <c r="P196" s="7">
        <f>IF($X196="","",IF(INDEX('Per Invoice'!P$2:P$401,$X196)="","",INDEX('Per Invoice'!P$2:P$401,$X196)))</f>
        <v/>
      </c>
      <c r="Q196">
        <f>IF($X196="","",IF(INDEX('Per Invoice'!Q$2:Q$401,$X196)="","",INDEX('Per Invoice'!Q$2:Q$401,$X196)))</f>
        <v/>
      </c>
      <c r="R196" s="7">
        <f>IF($X196="","",IF(INDEX('Per Invoice'!R$2:R$401,$X196)="","",INDEX('Per Invoice'!R$2:R$401,$X196)))</f>
        <v/>
      </c>
      <c r="S196" s="7">
        <f>IF($X196="","",IF(INDEX('Per Invoice'!S$2:S$401,$X196)="","",INDEX('Per Invoice'!S$2:S$401,$X196)))</f>
        <v/>
      </c>
      <c r="T196" s="7">
        <f>IF($X196="","",IF(INDEX('Per Invoice'!T$2:T$401,$X196)="","",INDEX('Per Invoice'!T$2:T$401,$X196)))</f>
        <v/>
      </c>
      <c r="U196" s="7">
        <f>IF($X196="","",IF(INDEX('Per Invoice'!U$2:U$401,$X196)="","",INDEX('Per Invoice'!U$2:U$401,$X196)))</f>
        <v/>
      </c>
      <c r="V196" s="7">
        <f>IF($X196="","",IF(INDEX('Per Invoice'!V$2:V$401,$X196)="","",INDEX('Per Invoice'!V$2:V$401,$X196)))</f>
        <v/>
      </c>
      <c r="W196" s="7">
        <f>IF($X196="","",IF(INDEX('Per Invoice'!W$2:W$401,$X196)="","",INDEX('Per Invoice'!W$2:W$401,$X196)))</f>
        <v/>
      </c>
      <c r="X196" s="16">
        <f>IFERROR(MATCH(Settings!$C$33&amp;"|"&amp;ROWS($X$2:$X196),'Per Invoice'!$Y$2:$Y$401,0),"")</f>
        <v/>
      </c>
    </row>
    <row r="197">
      <c r="A197">
        <f>IF($X197="","",IF(INDEX('Per Invoice'!A$2:A$401,$X197)="","",INDEX('Per Invoice'!A$2:A$401,$X197)))</f>
        <v/>
      </c>
      <c r="B197">
        <f>IF($X197="","",IF(INDEX('Per Invoice'!B$2:B$401,$X197)="","",INDEX('Per Invoice'!B$2:B$401,$X197)))</f>
        <v/>
      </c>
      <c r="C197">
        <f>IF($X197="","",IF(INDEX('Per Invoice'!C$2:C$401,$X197)="","",INDEX('Per Invoice'!C$2:C$401,$X197)))</f>
        <v/>
      </c>
      <c r="D197">
        <f>IF($X197="","",IF(INDEX('Per Invoice'!D$2:D$401,$X197)="","",INDEX('Per Invoice'!D$2:D$401,$X197)))</f>
        <v/>
      </c>
      <c r="E197">
        <f>IF($X197="","",IF(INDEX('Per Invoice'!E$2:E$401,$X197)="","",INDEX('Per Invoice'!E$2:E$401,$X197)))</f>
        <v/>
      </c>
      <c r="F197">
        <f>IF($X197="","",IF(INDEX('Per Invoice'!F$2:F$401,$X197)="","",INDEX('Per Invoice'!F$2:F$401,$X197)))</f>
        <v/>
      </c>
      <c r="G197">
        <f>IF($X197="","",IF(INDEX('Per Invoice'!G$2:G$401,$X197)="","",INDEX('Per Invoice'!G$2:G$401,$X197)))</f>
        <v/>
      </c>
      <c r="H197">
        <f>IF($X197="","",IF(INDEX('Per Invoice'!H$2:H$401,$X197)="","",INDEX('Per Invoice'!H$2:H$401,$X197)))</f>
        <v/>
      </c>
      <c r="I197">
        <f>IF($X197="","",IF(INDEX('Per Invoice'!I$2:I$401,$X197)="","",INDEX('Per Invoice'!I$2:I$401,$X197)))</f>
        <v/>
      </c>
      <c r="J197">
        <f>IF($X197="","",IF(INDEX('Per Invoice'!J$2:J$401,$X197)="","",INDEX('Per Invoice'!J$2:J$401,$X197)))</f>
        <v/>
      </c>
      <c r="K197" s="14">
        <f>IF($X197="","",IF(INDEX('Per Invoice'!K$2:K$401,$X197)="","",INDEX('Per Invoice'!K$2:K$401,$X197)))</f>
        <v/>
      </c>
      <c r="L197">
        <f>IF($X197="","",IF(INDEX('Per Invoice'!L$2:L$401,$X197)="","",INDEX('Per Invoice'!L$2:L$401,$X197)))</f>
        <v/>
      </c>
      <c r="M197" s="7">
        <f>IF($X197="","",IF(INDEX('Per Invoice'!M$2:M$401,$X197)="","",INDEX('Per Invoice'!M$2:M$401,$X197)))</f>
        <v/>
      </c>
      <c r="N197">
        <f>IF($X197="","",IF(INDEX('Per Invoice'!N$2:N$401,$X197)="","",INDEX('Per Invoice'!N$2:N$401,$X197)))</f>
        <v/>
      </c>
      <c r="O197" s="7">
        <f>IF($X197="","",IF(INDEX('Per Invoice'!O$2:O$401,$X197)="","",INDEX('Per Invoice'!O$2:O$401,$X197)))</f>
        <v/>
      </c>
      <c r="P197" s="7">
        <f>IF($X197="","",IF(INDEX('Per Invoice'!P$2:P$401,$X197)="","",INDEX('Per Invoice'!P$2:P$401,$X197)))</f>
        <v/>
      </c>
      <c r="Q197">
        <f>IF($X197="","",IF(INDEX('Per Invoice'!Q$2:Q$401,$X197)="","",INDEX('Per Invoice'!Q$2:Q$401,$X197)))</f>
        <v/>
      </c>
      <c r="R197" s="7">
        <f>IF($X197="","",IF(INDEX('Per Invoice'!R$2:R$401,$X197)="","",INDEX('Per Invoice'!R$2:R$401,$X197)))</f>
        <v/>
      </c>
      <c r="S197" s="7">
        <f>IF($X197="","",IF(INDEX('Per Invoice'!S$2:S$401,$X197)="","",INDEX('Per Invoice'!S$2:S$401,$X197)))</f>
        <v/>
      </c>
      <c r="T197" s="7">
        <f>IF($X197="","",IF(INDEX('Per Invoice'!T$2:T$401,$X197)="","",INDEX('Per Invoice'!T$2:T$401,$X197)))</f>
        <v/>
      </c>
      <c r="U197" s="7">
        <f>IF($X197="","",IF(INDEX('Per Invoice'!U$2:U$401,$X197)="","",INDEX('Per Invoice'!U$2:U$401,$X197)))</f>
        <v/>
      </c>
      <c r="V197" s="7">
        <f>IF($X197="","",IF(INDEX('Per Invoice'!V$2:V$401,$X197)="","",INDEX('Per Invoice'!V$2:V$401,$X197)))</f>
        <v/>
      </c>
      <c r="W197" s="7">
        <f>IF($X197="","",IF(INDEX('Per Invoice'!W$2:W$401,$X197)="","",INDEX('Per Invoice'!W$2:W$401,$X197)))</f>
        <v/>
      </c>
      <c r="X197" s="16">
        <f>IFERROR(MATCH(Settings!$C$33&amp;"|"&amp;ROWS($X$2:$X197),'Per Invoice'!$Y$2:$Y$401,0),"")</f>
        <v/>
      </c>
    </row>
    <row r="198">
      <c r="A198">
        <f>IF($X198="","",IF(INDEX('Per Invoice'!A$2:A$401,$X198)="","",INDEX('Per Invoice'!A$2:A$401,$X198)))</f>
        <v/>
      </c>
      <c r="B198">
        <f>IF($X198="","",IF(INDEX('Per Invoice'!B$2:B$401,$X198)="","",INDEX('Per Invoice'!B$2:B$401,$X198)))</f>
        <v/>
      </c>
      <c r="C198">
        <f>IF($X198="","",IF(INDEX('Per Invoice'!C$2:C$401,$X198)="","",INDEX('Per Invoice'!C$2:C$401,$X198)))</f>
        <v/>
      </c>
      <c r="D198">
        <f>IF($X198="","",IF(INDEX('Per Invoice'!D$2:D$401,$X198)="","",INDEX('Per Invoice'!D$2:D$401,$X198)))</f>
        <v/>
      </c>
      <c r="E198">
        <f>IF($X198="","",IF(INDEX('Per Invoice'!E$2:E$401,$X198)="","",INDEX('Per Invoice'!E$2:E$401,$X198)))</f>
        <v/>
      </c>
      <c r="F198">
        <f>IF($X198="","",IF(INDEX('Per Invoice'!F$2:F$401,$X198)="","",INDEX('Per Invoice'!F$2:F$401,$X198)))</f>
        <v/>
      </c>
      <c r="G198">
        <f>IF($X198="","",IF(INDEX('Per Invoice'!G$2:G$401,$X198)="","",INDEX('Per Invoice'!G$2:G$401,$X198)))</f>
        <v/>
      </c>
      <c r="H198">
        <f>IF($X198="","",IF(INDEX('Per Invoice'!H$2:H$401,$X198)="","",INDEX('Per Invoice'!H$2:H$401,$X198)))</f>
        <v/>
      </c>
      <c r="I198">
        <f>IF($X198="","",IF(INDEX('Per Invoice'!I$2:I$401,$X198)="","",INDEX('Per Invoice'!I$2:I$401,$X198)))</f>
        <v/>
      </c>
      <c r="J198">
        <f>IF($X198="","",IF(INDEX('Per Invoice'!J$2:J$401,$X198)="","",INDEX('Per Invoice'!J$2:J$401,$X198)))</f>
        <v/>
      </c>
      <c r="K198" s="14">
        <f>IF($X198="","",IF(INDEX('Per Invoice'!K$2:K$401,$X198)="","",INDEX('Per Invoice'!K$2:K$401,$X198)))</f>
        <v/>
      </c>
      <c r="L198">
        <f>IF($X198="","",IF(INDEX('Per Invoice'!L$2:L$401,$X198)="","",INDEX('Per Invoice'!L$2:L$401,$X198)))</f>
        <v/>
      </c>
      <c r="M198" s="7">
        <f>IF($X198="","",IF(INDEX('Per Invoice'!M$2:M$401,$X198)="","",INDEX('Per Invoice'!M$2:M$401,$X198)))</f>
        <v/>
      </c>
      <c r="N198">
        <f>IF($X198="","",IF(INDEX('Per Invoice'!N$2:N$401,$X198)="","",INDEX('Per Invoice'!N$2:N$401,$X198)))</f>
        <v/>
      </c>
      <c r="O198" s="7">
        <f>IF($X198="","",IF(INDEX('Per Invoice'!O$2:O$401,$X198)="","",INDEX('Per Invoice'!O$2:O$401,$X198)))</f>
        <v/>
      </c>
      <c r="P198" s="7">
        <f>IF($X198="","",IF(INDEX('Per Invoice'!P$2:P$401,$X198)="","",INDEX('Per Invoice'!P$2:P$401,$X198)))</f>
        <v/>
      </c>
      <c r="Q198">
        <f>IF($X198="","",IF(INDEX('Per Invoice'!Q$2:Q$401,$X198)="","",INDEX('Per Invoice'!Q$2:Q$401,$X198)))</f>
        <v/>
      </c>
      <c r="R198" s="7">
        <f>IF($X198="","",IF(INDEX('Per Invoice'!R$2:R$401,$X198)="","",INDEX('Per Invoice'!R$2:R$401,$X198)))</f>
        <v/>
      </c>
      <c r="S198" s="7">
        <f>IF($X198="","",IF(INDEX('Per Invoice'!S$2:S$401,$X198)="","",INDEX('Per Invoice'!S$2:S$401,$X198)))</f>
        <v/>
      </c>
      <c r="T198" s="7">
        <f>IF($X198="","",IF(INDEX('Per Invoice'!T$2:T$401,$X198)="","",INDEX('Per Invoice'!T$2:T$401,$X198)))</f>
        <v/>
      </c>
      <c r="U198" s="7">
        <f>IF($X198="","",IF(INDEX('Per Invoice'!U$2:U$401,$X198)="","",INDEX('Per Invoice'!U$2:U$401,$X198)))</f>
        <v/>
      </c>
      <c r="V198" s="7">
        <f>IF($X198="","",IF(INDEX('Per Invoice'!V$2:V$401,$X198)="","",INDEX('Per Invoice'!V$2:V$401,$X198)))</f>
        <v/>
      </c>
      <c r="W198" s="7">
        <f>IF($X198="","",IF(INDEX('Per Invoice'!W$2:W$401,$X198)="","",INDEX('Per Invoice'!W$2:W$401,$X198)))</f>
        <v/>
      </c>
      <c r="X198" s="16">
        <f>IFERROR(MATCH(Settings!$C$33&amp;"|"&amp;ROWS($X$2:$X198),'Per Invoice'!$Y$2:$Y$401,0),"")</f>
        <v/>
      </c>
    </row>
    <row r="199">
      <c r="A199">
        <f>IF($X199="","",IF(INDEX('Per Invoice'!A$2:A$401,$X199)="","",INDEX('Per Invoice'!A$2:A$401,$X199)))</f>
        <v/>
      </c>
      <c r="B199">
        <f>IF($X199="","",IF(INDEX('Per Invoice'!B$2:B$401,$X199)="","",INDEX('Per Invoice'!B$2:B$401,$X199)))</f>
        <v/>
      </c>
      <c r="C199">
        <f>IF($X199="","",IF(INDEX('Per Invoice'!C$2:C$401,$X199)="","",INDEX('Per Invoice'!C$2:C$401,$X199)))</f>
        <v/>
      </c>
      <c r="D199">
        <f>IF($X199="","",IF(INDEX('Per Invoice'!D$2:D$401,$X199)="","",INDEX('Per Invoice'!D$2:D$401,$X199)))</f>
        <v/>
      </c>
      <c r="E199">
        <f>IF($X199="","",IF(INDEX('Per Invoice'!E$2:E$401,$X199)="","",INDEX('Per Invoice'!E$2:E$401,$X199)))</f>
        <v/>
      </c>
      <c r="F199">
        <f>IF($X199="","",IF(INDEX('Per Invoice'!F$2:F$401,$X199)="","",INDEX('Per Invoice'!F$2:F$401,$X199)))</f>
        <v/>
      </c>
      <c r="G199">
        <f>IF($X199="","",IF(INDEX('Per Invoice'!G$2:G$401,$X199)="","",INDEX('Per Invoice'!G$2:G$401,$X199)))</f>
        <v/>
      </c>
      <c r="H199">
        <f>IF($X199="","",IF(INDEX('Per Invoice'!H$2:H$401,$X199)="","",INDEX('Per Invoice'!H$2:H$401,$X199)))</f>
        <v/>
      </c>
      <c r="I199">
        <f>IF($X199="","",IF(INDEX('Per Invoice'!I$2:I$401,$X199)="","",INDEX('Per Invoice'!I$2:I$401,$X199)))</f>
        <v/>
      </c>
      <c r="J199">
        <f>IF($X199="","",IF(INDEX('Per Invoice'!J$2:J$401,$X199)="","",INDEX('Per Invoice'!J$2:J$401,$X199)))</f>
        <v/>
      </c>
      <c r="K199" s="14">
        <f>IF($X199="","",IF(INDEX('Per Invoice'!K$2:K$401,$X199)="","",INDEX('Per Invoice'!K$2:K$401,$X199)))</f>
        <v/>
      </c>
      <c r="L199">
        <f>IF($X199="","",IF(INDEX('Per Invoice'!L$2:L$401,$X199)="","",INDEX('Per Invoice'!L$2:L$401,$X199)))</f>
        <v/>
      </c>
      <c r="M199" s="7">
        <f>IF($X199="","",IF(INDEX('Per Invoice'!M$2:M$401,$X199)="","",INDEX('Per Invoice'!M$2:M$401,$X199)))</f>
        <v/>
      </c>
      <c r="N199">
        <f>IF($X199="","",IF(INDEX('Per Invoice'!N$2:N$401,$X199)="","",INDEX('Per Invoice'!N$2:N$401,$X199)))</f>
        <v/>
      </c>
      <c r="O199" s="7">
        <f>IF($X199="","",IF(INDEX('Per Invoice'!O$2:O$401,$X199)="","",INDEX('Per Invoice'!O$2:O$401,$X199)))</f>
        <v/>
      </c>
      <c r="P199" s="7">
        <f>IF($X199="","",IF(INDEX('Per Invoice'!P$2:P$401,$X199)="","",INDEX('Per Invoice'!P$2:P$401,$X199)))</f>
        <v/>
      </c>
      <c r="Q199">
        <f>IF($X199="","",IF(INDEX('Per Invoice'!Q$2:Q$401,$X199)="","",INDEX('Per Invoice'!Q$2:Q$401,$X199)))</f>
        <v/>
      </c>
      <c r="R199" s="7">
        <f>IF($X199="","",IF(INDEX('Per Invoice'!R$2:R$401,$X199)="","",INDEX('Per Invoice'!R$2:R$401,$X199)))</f>
        <v/>
      </c>
      <c r="S199" s="7">
        <f>IF($X199="","",IF(INDEX('Per Invoice'!S$2:S$401,$X199)="","",INDEX('Per Invoice'!S$2:S$401,$X199)))</f>
        <v/>
      </c>
      <c r="T199" s="7">
        <f>IF($X199="","",IF(INDEX('Per Invoice'!T$2:T$401,$X199)="","",INDEX('Per Invoice'!T$2:T$401,$X199)))</f>
        <v/>
      </c>
      <c r="U199" s="7">
        <f>IF($X199="","",IF(INDEX('Per Invoice'!U$2:U$401,$X199)="","",INDEX('Per Invoice'!U$2:U$401,$X199)))</f>
        <v/>
      </c>
      <c r="V199" s="7">
        <f>IF($X199="","",IF(INDEX('Per Invoice'!V$2:V$401,$X199)="","",INDEX('Per Invoice'!V$2:V$401,$X199)))</f>
        <v/>
      </c>
      <c r="W199" s="7">
        <f>IF($X199="","",IF(INDEX('Per Invoice'!W$2:W$401,$X199)="","",INDEX('Per Invoice'!W$2:W$401,$X199)))</f>
        <v/>
      </c>
      <c r="X199" s="16">
        <f>IFERROR(MATCH(Settings!$C$33&amp;"|"&amp;ROWS($X$2:$X199),'Per Invoice'!$Y$2:$Y$401,0),"")</f>
        <v/>
      </c>
    </row>
    <row r="200">
      <c r="A200">
        <f>IF($X200="","",IF(INDEX('Per Invoice'!A$2:A$401,$X200)="","",INDEX('Per Invoice'!A$2:A$401,$X200)))</f>
        <v/>
      </c>
      <c r="B200">
        <f>IF($X200="","",IF(INDEX('Per Invoice'!B$2:B$401,$X200)="","",INDEX('Per Invoice'!B$2:B$401,$X200)))</f>
        <v/>
      </c>
      <c r="C200">
        <f>IF($X200="","",IF(INDEX('Per Invoice'!C$2:C$401,$X200)="","",INDEX('Per Invoice'!C$2:C$401,$X200)))</f>
        <v/>
      </c>
      <c r="D200">
        <f>IF($X200="","",IF(INDEX('Per Invoice'!D$2:D$401,$X200)="","",INDEX('Per Invoice'!D$2:D$401,$X200)))</f>
        <v/>
      </c>
      <c r="E200">
        <f>IF($X200="","",IF(INDEX('Per Invoice'!E$2:E$401,$X200)="","",INDEX('Per Invoice'!E$2:E$401,$X200)))</f>
        <v/>
      </c>
      <c r="F200">
        <f>IF($X200="","",IF(INDEX('Per Invoice'!F$2:F$401,$X200)="","",INDEX('Per Invoice'!F$2:F$401,$X200)))</f>
        <v/>
      </c>
      <c r="G200">
        <f>IF($X200="","",IF(INDEX('Per Invoice'!G$2:G$401,$X200)="","",INDEX('Per Invoice'!G$2:G$401,$X200)))</f>
        <v/>
      </c>
      <c r="H200">
        <f>IF($X200="","",IF(INDEX('Per Invoice'!H$2:H$401,$X200)="","",INDEX('Per Invoice'!H$2:H$401,$X200)))</f>
        <v/>
      </c>
      <c r="I200">
        <f>IF($X200="","",IF(INDEX('Per Invoice'!I$2:I$401,$X200)="","",INDEX('Per Invoice'!I$2:I$401,$X200)))</f>
        <v/>
      </c>
      <c r="J200">
        <f>IF($X200="","",IF(INDEX('Per Invoice'!J$2:J$401,$X200)="","",INDEX('Per Invoice'!J$2:J$401,$X200)))</f>
        <v/>
      </c>
      <c r="K200" s="14">
        <f>IF($X200="","",IF(INDEX('Per Invoice'!K$2:K$401,$X200)="","",INDEX('Per Invoice'!K$2:K$401,$X200)))</f>
        <v/>
      </c>
      <c r="L200">
        <f>IF($X200="","",IF(INDEX('Per Invoice'!L$2:L$401,$X200)="","",INDEX('Per Invoice'!L$2:L$401,$X200)))</f>
        <v/>
      </c>
      <c r="M200" s="7">
        <f>IF($X200="","",IF(INDEX('Per Invoice'!M$2:M$401,$X200)="","",INDEX('Per Invoice'!M$2:M$401,$X200)))</f>
        <v/>
      </c>
      <c r="N200">
        <f>IF($X200="","",IF(INDEX('Per Invoice'!N$2:N$401,$X200)="","",INDEX('Per Invoice'!N$2:N$401,$X200)))</f>
        <v/>
      </c>
      <c r="O200" s="7">
        <f>IF($X200="","",IF(INDEX('Per Invoice'!O$2:O$401,$X200)="","",INDEX('Per Invoice'!O$2:O$401,$X200)))</f>
        <v/>
      </c>
      <c r="P200" s="7">
        <f>IF($X200="","",IF(INDEX('Per Invoice'!P$2:P$401,$X200)="","",INDEX('Per Invoice'!P$2:P$401,$X200)))</f>
        <v/>
      </c>
      <c r="Q200">
        <f>IF($X200="","",IF(INDEX('Per Invoice'!Q$2:Q$401,$X200)="","",INDEX('Per Invoice'!Q$2:Q$401,$X200)))</f>
        <v/>
      </c>
      <c r="R200" s="7">
        <f>IF($X200="","",IF(INDEX('Per Invoice'!R$2:R$401,$X200)="","",INDEX('Per Invoice'!R$2:R$401,$X200)))</f>
        <v/>
      </c>
      <c r="S200" s="7">
        <f>IF($X200="","",IF(INDEX('Per Invoice'!S$2:S$401,$X200)="","",INDEX('Per Invoice'!S$2:S$401,$X200)))</f>
        <v/>
      </c>
      <c r="T200" s="7">
        <f>IF($X200="","",IF(INDEX('Per Invoice'!T$2:T$401,$X200)="","",INDEX('Per Invoice'!T$2:T$401,$X200)))</f>
        <v/>
      </c>
      <c r="U200" s="7">
        <f>IF($X200="","",IF(INDEX('Per Invoice'!U$2:U$401,$X200)="","",INDEX('Per Invoice'!U$2:U$401,$X200)))</f>
        <v/>
      </c>
      <c r="V200" s="7">
        <f>IF($X200="","",IF(INDEX('Per Invoice'!V$2:V$401,$X200)="","",INDEX('Per Invoice'!V$2:V$401,$X200)))</f>
        <v/>
      </c>
      <c r="W200" s="7">
        <f>IF($X200="","",IF(INDEX('Per Invoice'!W$2:W$401,$X200)="","",INDEX('Per Invoice'!W$2:W$401,$X200)))</f>
        <v/>
      </c>
      <c r="X200" s="16">
        <f>IFERROR(MATCH(Settings!$C$33&amp;"|"&amp;ROWS($X$2:$X200),'Per Invoice'!$Y$2:$Y$401,0),"")</f>
        <v/>
      </c>
    </row>
    <row r="201">
      <c r="A201">
        <f>IF($X201="","",IF(INDEX('Per Invoice'!A$2:A$401,$X201)="","",INDEX('Per Invoice'!A$2:A$401,$X201)))</f>
        <v/>
      </c>
      <c r="B201">
        <f>IF($X201="","",IF(INDEX('Per Invoice'!B$2:B$401,$X201)="","",INDEX('Per Invoice'!B$2:B$401,$X201)))</f>
        <v/>
      </c>
      <c r="C201">
        <f>IF($X201="","",IF(INDEX('Per Invoice'!C$2:C$401,$X201)="","",INDEX('Per Invoice'!C$2:C$401,$X201)))</f>
        <v/>
      </c>
      <c r="D201">
        <f>IF($X201="","",IF(INDEX('Per Invoice'!D$2:D$401,$X201)="","",INDEX('Per Invoice'!D$2:D$401,$X201)))</f>
        <v/>
      </c>
      <c r="E201">
        <f>IF($X201="","",IF(INDEX('Per Invoice'!E$2:E$401,$X201)="","",INDEX('Per Invoice'!E$2:E$401,$X201)))</f>
        <v/>
      </c>
      <c r="F201">
        <f>IF($X201="","",IF(INDEX('Per Invoice'!F$2:F$401,$X201)="","",INDEX('Per Invoice'!F$2:F$401,$X201)))</f>
        <v/>
      </c>
      <c r="G201">
        <f>IF($X201="","",IF(INDEX('Per Invoice'!G$2:G$401,$X201)="","",INDEX('Per Invoice'!G$2:G$401,$X201)))</f>
        <v/>
      </c>
      <c r="H201">
        <f>IF($X201="","",IF(INDEX('Per Invoice'!H$2:H$401,$X201)="","",INDEX('Per Invoice'!H$2:H$401,$X201)))</f>
        <v/>
      </c>
      <c r="I201">
        <f>IF($X201="","",IF(INDEX('Per Invoice'!I$2:I$401,$X201)="","",INDEX('Per Invoice'!I$2:I$401,$X201)))</f>
        <v/>
      </c>
      <c r="J201">
        <f>IF($X201="","",IF(INDEX('Per Invoice'!J$2:J$401,$X201)="","",INDEX('Per Invoice'!J$2:J$401,$X201)))</f>
        <v/>
      </c>
      <c r="K201" s="14">
        <f>IF($X201="","",IF(INDEX('Per Invoice'!K$2:K$401,$X201)="","",INDEX('Per Invoice'!K$2:K$401,$X201)))</f>
        <v/>
      </c>
      <c r="L201">
        <f>IF($X201="","",IF(INDEX('Per Invoice'!L$2:L$401,$X201)="","",INDEX('Per Invoice'!L$2:L$401,$X201)))</f>
        <v/>
      </c>
      <c r="M201" s="7">
        <f>IF($X201="","",IF(INDEX('Per Invoice'!M$2:M$401,$X201)="","",INDEX('Per Invoice'!M$2:M$401,$X201)))</f>
        <v/>
      </c>
      <c r="N201">
        <f>IF($X201="","",IF(INDEX('Per Invoice'!N$2:N$401,$X201)="","",INDEX('Per Invoice'!N$2:N$401,$X201)))</f>
        <v/>
      </c>
      <c r="O201" s="7">
        <f>IF($X201="","",IF(INDEX('Per Invoice'!O$2:O$401,$X201)="","",INDEX('Per Invoice'!O$2:O$401,$X201)))</f>
        <v/>
      </c>
      <c r="P201" s="7">
        <f>IF($X201="","",IF(INDEX('Per Invoice'!P$2:P$401,$X201)="","",INDEX('Per Invoice'!P$2:P$401,$X201)))</f>
        <v/>
      </c>
      <c r="Q201">
        <f>IF($X201="","",IF(INDEX('Per Invoice'!Q$2:Q$401,$X201)="","",INDEX('Per Invoice'!Q$2:Q$401,$X201)))</f>
        <v/>
      </c>
      <c r="R201" s="7">
        <f>IF($X201="","",IF(INDEX('Per Invoice'!R$2:R$401,$X201)="","",INDEX('Per Invoice'!R$2:R$401,$X201)))</f>
        <v/>
      </c>
      <c r="S201" s="7">
        <f>IF($X201="","",IF(INDEX('Per Invoice'!S$2:S$401,$X201)="","",INDEX('Per Invoice'!S$2:S$401,$X201)))</f>
        <v/>
      </c>
      <c r="T201" s="7">
        <f>IF($X201="","",IF(INDEX('Per Invoice'!T$2:T$401,$X201)="","",INDEX('Per Invoice'!T$2:T$401,$X201)))</f>
        <v/>
      </c>
      <c r="U201" s="7">
        <f>IF($X201="","",IF(INDEX('Per Invoice'!U$2:U$401,$X201)="","",INDEX('Per Invoice'!U$2:U$401,$X201)))</f>
        <v/>
      </c>
      <c r="V201" s="7">
        <f>IF($X201="","",IF(INDEX('Per Invoice'!V$2:V$401,$X201)="","",INDEX('Per Invoice'!V$2:V$401,$X201)))</f>
        <v/>
      </c>
      <c r="W201" s="7">
        <f>IF($X201="","",IF(INDEX('Per Invoice'!W$2:W$401,$X201)="","",INDEX('Per Invoice'!W$2:W$401,$X201)))</f>
        <v/>
      </c>
      <c r="X201" s="16">
        <f>IFERROR(MATCH(Settings!$C$33&amp;"|"&amp;ROWS($X$2:$X201),'Per Invoice'!$Y$2:$Y$401,0),"")</f>
        <v/>
      </c>
    </row>
    <row r="202">
      <c r="A202">
        <f>IF($X202="","",IF(INDEX('Per Invoice'!A$2:A$401,$X202)="","",INDEX('Per Invoice'!A$2:A$401,$X202)))</f>
        <v/>
      </c>
      <c r="B202">
        <f>IF($X202="","",IF(INDEX('Per Invoice'!B$2:B$401,$X202)="","",INDEX('Per Invoice'!B$2:B$401,$X202)))</f>
        <v/>
      </c>
      <c r="C202">
        <f>IF($X202="","",IF(INDEX('Per Invoice'!C$2:C$401,$X202)="","",INDEX('Per Invoice'!C$2:C$401,$X202)))</f>
        <v/>
      </c>
      <c r="D202">
        <f>IF($X202="","",IF(INDEX('Per Invoice'!D$2:D$401,$X202)="","",INDEX('Per Invoice'!D$2:D$401,$X202)))</f>
        <v/>
      </c>
      <c r="E202">
        <f>IF($X202="","",IF(INDEX('Per Invoice'!E$2:E$401,$X202)="","",INDEX('Per Invoice'!E$2:E$401,$X202)))</f>
        <v/>
      </c>
      <c r="F202">
        <f>IF($X202="","",IF(INDEX('Per Invoice'!F$2:F$401,$X202)="","",INDEX('Per Invoice'!F$2:F$401,$X202)))</f>
        <v/>
      </c>
      <c r="G202">
        <f>IF($X202="","",IF(INDEX('Per Invoice'!G$2:G$401,$X202)="","",INDEX('Per Invoice'!G$2:G$401,$X202)))</f>
        <v/>
      </c>
      <c r="H202">
        <f>IF($X202="","",IF(INDEX('Per Invoice'!H$2:H$401,$X202)="","",INDEX('Per Invoice'!H$2:H$401,$X202)))</f>
        <v/>
      </c>
      <c r="I202">
        <f>IF($X202="","",IF(INDEX('Per Invoice'!I$2:I$401,$X202)="","",INDEX('Per Invoice'!I$2:I$401,$X202)))</f>
        <v/>
      </c>
      <c r="J202">
        <f>IF($X202="","",IF(INDEX('Per Invoice'!J$2:J$401,$X202)="","",INDEX('Per Invoice'!J$2:J$401,$X202)))</f>
        <v/>
      </c>
      <c r="K202" s="14">
        <f>IF($X202="","",IF(INDEX('Per Invoice'!K$2:K$401,$X202)="","",INDEX('Per Invoice'!K$2:K$401,$X202)))</f>
        <v/>
      </c>
      <c r="L202">
        <f>IF($X202="","",IF(INDEX('Per Invoice'!L$2:L$401,$X202)="","",INDEX('Per Invoice'!L$2:L$401,$X202)))</f>
        <v/>
      </c>
      <c r="M202" s="7">
        <f>IF($X202="","",IF(INDEX('Per Invoice'!M$2:M$401,$X202)="","",INDEX('Per Invoice'!M$2:M$401,$X202)))</f>
        <v/>
      </c>
      <c r="N202">
        <f>IF($X202="","",IF(INDEX('Per Invoice'!N$2:N$401,$X202)="","",INDEX('Per Invoice'!N$2:N$401,$X202)))</f>
        <v/>
      </c>
      <c r="O202" s="7">
        <f>IF($X202="","",IF(INDEX('Per Invoice'!O$2:O$401,$X202)="","",INDEX('Per Invoice'!O$2:O$401,$X202)))</f>
        <v/>
      </c>
      <c r="P202" s="7">
        <f>IF($X202="","",IF(INDEX('Per Invoice'!P$2:P$401,$X202)="","",INDEX('Per Invoice'!P$2:P$401,$X202)))</f>
        <v/>
      </c>
      <c r="Q202">
        <f>IF($X202="","",IF(INDEX('Per Invoice'!Q$2:Q$401,$X202)="","",INDEX('Per Invoice'!Q$2:Q$401,$X202)))</f>
        <v/>
      </c>
      <c r="R202" s="7">
        <f>IF($X202="","",IF(INDEX('Per Invoice'!R$2:R$401,$X202)="","",INDEX('Per Invoice'!R$2:R$401,$X202)))</f>
        <v/>
      </c>
      <c r="S202" s="7">
        <f>IF($X202="","",IF(INDEX('Per Invoice'!S$2:S$401,$X202)="","",INDEX('Per Invoice'!S$2:S$401,$X202)))</f>
        <v/>
      </c>
      <c r="T202" s="7">
        <f>IF($X202="","",IF(INDEX('Per Invoice'!T$2:T$401,$X202)="","",INDEX('Per Invoice'!T$2:T$401,$X202)))</f>
        <v/>
      </c>
      <c r="U202" s="7">
        <f>IF($X202="","",IF(INDEX('Per Invoice'!U$2:U$401,$X202)="","",INDEX('Per Invoice'!U$2:U$401,$X202)))</f>
        <v/>
      </c>
      <c r="V202" s="7">
        <f>IF($X202="","",IF(INDEX('Per Invoice'!V$2:V$401,$X202)="","",INDEX('Per Invoice'!V$2:V$401,$X202)))</f>
        <v/>
      </c>
      <c r="W202" s="7">
        <f>IF($X202="","",IF(INDEX('Per Invoice'!W$2:W$401,$X202)="","",INDEX('Per Invoice'!W$2:W$401,$X202)))</f>
        <v/>
      </c>
      <c r="X202" s="16">
        <f>IFERROR(MATCH(Settings!$C$33&amp;"|"&amp;ROWS($X$2:$X202),'Per Invoice'!$Y$2:$Y$401,0),"")</f>
        <v/>
      </c>
    </row>
    <row r="203">
      <c r="A203">
        <f>IF($X203="","",IF(INDEX('Per Invoice'!A$2:A$401,$X203)="","",INDEX('Per Invoice'!A$2:A$401,$X203)))</f>
        <v/>
      </c>
      <c r="B203">
        <f>IF($X203="","",IF(INDEX('Per Invoice'!B$2:B$401,$X203)="","",INDEX('Per Invoice'!B$2:B$401,$X203)))</f>
        <v/>
      </c>
      <c r="C203">
        <f>IF($X203="","",IF(INDEX('Per Invoice'!C$2:C$401,$X203)="","",INDEX('Per Invoice'!C$2:C$401,$X203)))</f>
        <v/>
      </c>
      <c r="D203">
        <f>IF($X203="","",IF(INDEX('Per Invoice'!D$2:D$401,$X203)="","",INDEX('Per Invoice'!D$2:D$401,$X203)))</f>
        <v/>
      </c>
      <c r="E203">
        <f>IF($X203="","",IF(INDEX('Per Invoice'!E$2:E$401,$X203)="","",INDEX('Per Invoice'!E$2:E$401,$X203)))</f>
        <v/>
      </c>
      <c r="F203">
        <f>IF($X203="","",IF(INDEX('Per Invoice'!F$2:F$401,$X203)="","",INDEX('Per Invoice'!F$2:F$401,$X203)))</f>
        <v/>
      </c>
      <c r="G203">
        <f>IF($X203="","",IF(INDEX('Per Invoice'!G$2:G$401,$X203)="","",INDEX('Per Invoice'!G$2:G$401,$X203)))</f>
        <v/>
      </c>
      <c r="H203">
        <f>IF($X203="","",IF(INDEX('Per Invoice'!H$2:H$401,$X203)="","",INDEX('Per Invoice'!H$2:H$401,$X203)))</f>
        <v/>
      </c>
      <c r="I203">
        <f>IF($X203="","",IF(INDEX('Per Invoice'!I$2:I$401,$X203)="","",INDEX('Per Invoice'!I$2:I$401,$X203)))</f>
        <v/>
      </c>
      <c r="J203">
        <f>IF($X203="","",IF(INDEX('Per Invoice'!J$2:J$401,$X203)="","",INDEX('Per Invoice'!J$2:J$401,$X203)))</f>
        <v/>
      </c>
      <c r="K203" s="14">
        <f>IF($X203="","",IF(INDEX('Per Invoice'!K$2:K$401,$X203)="","",INDEX('Per Invoice'!K$2:K$401,$X203)))</f>
        <v/>
      </c>
      <c r="L203">
        <f>IF($X203="","",IF(INDEX('Per Invoice'!L$2:L$401,$X203)="","",INDEX('Per Invoice'!L$2:L$401,$X203)))</f>
        <v/>
      </c>
      <c r="M203" s="7">
        <f>IF($X203="","",IF(INDEX('Per Invoice'!M$2:M$401,$X203)="","",INDEX('Per Invoice'!M$2:M$401,$X203)))</f>
        <v/>
      </c>
      <c r="N203">
        <f>IF($X203="","",IF(INDEX('Per Invoice'!N$2:N$401,$X203)="","",INDEX('Per Invoice'!N$2:N$401,$X203)))</f>
        <v/>
      </c>
      <c r="O203" s="7">
        <f>IF($X203="","",IF(INDEX('Per Invoice'!O$2:O$401,$X203)="","",INDEX('Per Invoice'!O$2:O$401,$X203)))</f>
        <v/>
      </c>
      <c r="P203" s="7">
        <f>IF($X203="","",IF(INDEX('Per Invoice'!P$2:P$401,$X203)="","",INDEX('Per Invoice'!P$2:P$401,$X203)))</f>
        <v/>
      </c>
      <c r="Q203">
        <f>IF($X203="","",IF(INDEX('Per Invoice'!Q$2:Q$401,$X203)="","",INDEX('Per Invoice'!Q$2:Q$401,$X203)))</f>
        <v/>
      </c>
      <c r="R203" s="7">
        <f>IF($X203="","",IF(INDEX('Per Invoice'!R$2:R$401,$X203)="","",INDEX('Per Invoice'!R$2:R$401,$X203)))</f>
        <v/>
      </c>
      <c r="S203" s="7">
        <f>IF($X203="","",IF(INDEX('Per Invoice'!S$2:S$401,$X203)="","",INDEX('Per Invoice'!S$2:S$401,$X203)))</f>
        <v/>
      </c>
      <c r="T203" s="7">
        <f>IF($X203="","",IF(INDEX('Per Invoice'!T$2:T$401,$X203)="","",INDEX('Per Invoice'!T$2:T$401,$X203)))</f>
        <v/>
      </c>
      <c r="U203" s="7">
        <f>IF($X203="","",IF(INDEX('Per Invoice'!U$2:U$401,$X203)="","",INDEX('Per Invoice'!U$2:U$401,$X203)))</f>
        <v/>
      </c>
      <c r="V203" s="7">
        <f>IF($X203="","",IF(INDEX('Per Invoice'!V$2:V$401,$X203)="","",INDEX('Per Invoice'!V$2:V$401,$X203)))</f>
        <v/>
      </c>
      <c r="W203" s="7">
        <f>IF($X203="","",IF(INDEX('Per Invoice'!W$2:W$401,$X203)="","",INDEX('Per Invoice'!W$2:W$401,$X203)))</f>
        <v/>
      </c>
      <c r="X203" s="16">
        <f>IFERROR(MATCH(Settings!$C$33&amp;"|"&amp;ROWS($X$2:$X203),'Per Invoice'!$Y$2:$Y$401,0),"")</f>
        <v/>
      </c>
    </row>
    <row r="204">
      <c r="A204">
        <f>IF($X204="","",IF(INDEX('Per Invoice'!A$2:A$401,$X204)="","",INDEX('Per Invoice'!A$2:A$401,$X204)))</f>
        <v/>
      </c>
      <c r="B204">
        <f>IF($X204="","",IF(INDEX('Per Invoice'!B$2:B$401,$X204)="","",INDEX('Per Invoice'!B$2:B$401,$X204)))</f>
        <v/>
      </c>
      <c r="C204">
        <f>IF($X204="","",IF(INDEX('Per Invoice'!C$2:C$401,$X204)="","",INDEX('Per Invoice'!C$2:C$401,$X204)))</f>
        <v/>
      </c>
      <c r="D204">
        <f>IF($X204="","",IF(INDEX('Per Invoice'!D$2:D$401,$X204)="","",INDEX('Per Invoice'!D$2:D$401,$X204)))</f>
        <v/>
      </c>
      <c r="E204">
        <f>IF($X204="","",IF(INDEX('Per Invoice'!E$2:E$401,$X204)="","",INDEX('Per Invoice'!E$2:E$401,$X204)))</f>
        <v/>
      </c>
      <c r="F204">
        <f>IF($X204="","",IF(INDEX('Per Invoice'!F$2:F$401,$X204)="","",INDEX('Per Invoice'!F$2:F$401,$X204)))</f>
        <v/>
      </c>
      <c r="G204">
        <f>IF($X204="","",IF(INDEX('Per Invoice'!G$2:G$401,$X204)="","",INDEX('Per Invoice'!G$2:G$401,$X204)))</f>
        <v/>
      </c>
      <c r="H204">
        <f>IF($X204="","",IF(INDEX('Per Invoice'!H$2:H$401,$X204)="","",INDEX('Per Invoice'!H$2:H$401,$X204)))</f>
        <v/>
      </c>
      <c r="I204">
        <f>IF($X204="","",IF(INDEX('Per Invoice'!I$2:I$401,$X204)="","",INDEX('Per Invoice'!I$2:I$401,$X204)))</f>
        <v/>
      </c>
      <c r="J204">
        <f>IF($X204="","",IF(INDEX('Per Invoice'!J$2:J$401,$X204)="","",INDEX('Per Invoice'!J$2:J$401,$X204)))</f>
        <v/>
      </c>
      <c r="K204" s="14">
        <f>IF($X204="","",IF(INDEX('Per Invoice'!K$2:K$401,$X204)="","",INDEX('Per Invoice'!K$2:K$401,$X204)))</f>
        <v/>
      </c>
      <c r="L204">
        <f>IF($X204="","",IF(INDEX('Per Invoice'!L$2:L$401,$X204)="","",INDEX('Per Invoice'!L$2:L$401,$X204)))</f>
        <v/>
      </c>
      <c r="M204" s="7">
        <f>IF($X204="","",IF(INDEX('Per Invoice'!M$2:M$401,$X204)="","",INDEX('Per Invoice'!M$2:M$401,$X204)))</f>
        <v/>
      </c>
      <c r="N204">
        <f>IF($X204="","",IF(INDEX('Per Invoice'!N$2:N$401,$X204)="","",INDEX('Per Invoice'!N$2:N$401,$X204)))</f>
        <v/>
      </c>
      <c r="O204" s="7">
        <f>IF($X204="","",IF(INDEX('Per Invoice'!O$2:O$401,$X204)="","",INDEX('Per Invoice'!O$2:O$401,$X204)))</f>
        <v/>
      </c>
      <c r="P204" s="7">
        <f>IF($X204="","",IF(INDEX('Per Invoice'!P$2:P$401,$X204)="","",INDEX('Per Invoice'!P$2:P$401,$X204)))</f>
        <v/>
      </c>
      <c r="Q204">
        <f>IF($X204="","",IF(INDEX('Per Invoice'!Q$2:Q$401,$X204)="","",INDEX('Per Invoice'!Q$2:Q$401,$X204)))</f>
        <v/>
      </c>
      <c r="R204" s="7">
        <f>IF($X204="","",IF(INDEX('Per Invoice'!R$2:R$401,$X204)="","",INDEX('Per Invoice'!R$2:R$401,$X204)))</f>
        <v/>
      </c>
      <c r="S204" s="7">
        <f>IF($X204="","",IF(INDEX('Per Invoice'!S$2:S$401,$X204)="","",INDEX('Per Invoice'!S$2:S$401,$X204)))</f>
        <v/>
      </c>
      <c r="T204" s="7">
        <f>IF($X204="","",IF(INDEX('Per Invoice'!T$2:T$401,$X204)="","",INDEX('Per Invoice'!T$2:T$401,$X204)))</f>
        <v/>
      </c>
      <c r="U204" s="7">
        <f>IF($X204="","",IF(INDEX('Per Invoice'!U$2:U$401,$X204)="","",INDEX('Per Invoice'!U$2:U$401,$X204)))</f>
        <v/>
      </c>
      <c r="V204" s="7">
        <f>IF($X204="","",IF(INDEX('Per Invoice'!V$2:V$401,$X204)="","",INDEX('Per Invoice'!V$2:V$401,$X204)))</f>
        <v/>
      </c>
      <c r="W204" s="7">
        <f>IF($X204="","",IF(INDEX('Per Invoice'!W$2:W$401,$X204)="","",INDEX('Per Invoice'!W$2:W$401,$X204)))</f>
        <v/>
      </c>
      <c r="X204" s="16">
        <f>IFERROR(MATCH(Settings!$C$33&amp;"|"&amp;ROWS($X$2:$X204),'Per Invoice'!$Y$2:$Y$401,0),"")</f>
        <v/>
      </c>
    </row>
    <row r="205">
      <c r="A205">
        <f>IF($X205="","",IF(INDEX('Per Invoice'!A$2:A$401,$X205)="","",INDEX('Per Invoice'!A$2:A$401,$X205)))</f>
        <v/>
      </c>
      <c r="B205">
        <f>IF($X205="","",IF(INDEX('Per Invoice'!B$2:B$401,$X205)="","",INDEX('Per Invoice'!B$2:B$401,$X205)))</f>
        <v/>
      </c>
      <c r="C205">
        <f>IF($X205="","",IF(INDEX('Per Invoice'!C$2:C$401,$X205)="","",INDEX('Per Invoice'!C$2:C$401,$X205)))</f>
        <v/>
      </c>
      <c r="D205">
        <f>IF($X205="","",IF(INDEX('Per Invoice'!D$2:D$401,$X205)="","",INDEX('Per Invoice'!D$2:D$401,$X205)))</f>
        <v/>
      </c>
      <c r="E205">
        <f>IF($X205="","",IF(INDEX('Per Invoice'!E$2:E$401,$X205)="","",INDEX('Per Invoice'!E$2:E$401,$X205)))</f>
        <v/>
      </c>
      <c r="F205">
        <f>IF($X205="","",IF(INDEX('Per Invoice'!F$2:F$401,$X205)="","",INDEX('Per Invoice'!F$2:F$401,$X205)))</f>
        <v/>
      </c>
      <c r="G205">
        <f>IF($X205="","",IF(INDEX('Per Invoice'!G$2:G$401,$X205)="","",INDEX('Per Invoice'!G$2:G$401,$X205)))</f>
        <v/>
      </c>
      <c r="H205">
        <f>IF($X205="","",IF(INDEX('Per Invoice'!H$2:H$401,$X205)="","",INDEX('Per Invoice'!H$2:H$401,$X205)))</f>
        <v/>
      </c>
      <c r="I205">
        <f>IF($X205="","",IF(INDEX('Per Invoice'!I$2:I$401,$X205)="","",INDEX('Per Invoice'!I$2:I$401,$X205)))</f>
        <v/>
      </c>
      <c r="J205">
        <f>IF($X205="","",IF(INDEX('Per Invoice'!J$2:J$401,$X205)="","",INDEX('Per Invoice'!J$2:J$401,$X205)))</f>
        <v/>
      </c>
      <c r="K205" s="14">
        <f>IF($X205="","",IF(INDEX('Per Invoice'!K$2:K$401,$X205)="","",INDEX('Per Invoice'!K$2:K$401,$X205)))</f>
        <v/>
      </c>
      <c r="L205">
        <f>IF($X205="","",IF(INDEX('Per Invoice'!L$2:L$401,$X205)="","",INDEX('Per Invoice'!L$2:L$401,$X205)))</f>
        <v/>
      </c>
      <c r="M205" s="7">
        <f>IF($X205="","",IF(INDEX('Per Invoice'!M$2:M$401,$X205)="","",INDEX('Per Invoice'!M$2:M$401,$X205)))</f>
        <v/>
      </c>
      <c r="N205">
        <f>IF($X205="","",IF(INDEX('Per Invoice'!N$2:N$401,$X205)="","",INDEX('Per Invoice'!N$2:N$401,$X205)))</f>
        <v/>
      </c>
      <c r="O205" s="7">
        <f>IF($X205="","",IF(INDEX('Per Invoice'!O$2:O$401,$X205)="","",INDEX('Per Invoice'!O$2:O$401,$X205)))</f>
        <v/>
      </c>
      <c r="P205" s="7">
        <f>IF($X205="","",IF(INDEX('Per Invoice'!P$2:P$401,$X205)="","",INDEX('Per Invoice'!P$2:P$401,$X205)))</f>
        <v/>
      </c>
      <c r="Q205">
        <f>IF($X205="","",IF(INDEX('Per Invoice'!Q$2:Q$401,$X205)="","",INDEX('Per Invoice'!Q$2:Q$401,$X205)))</f>
        <v/>
      </c>
      <c r="R205" s="7">
        <f>IF($X205="","",IF(INDEX('Per Invoice'!R$2:R$401,$X205)="","",INDEX('Per Invoice'!R$2:R$401,$X205)))</f>
        <v/>
      </c>
      <c r="S205" s="7">
        <f>IF($X205="","",IF(INDEX('Per Invoice'!S$2:S$401,$X205)="","",INDEX('Per Invoice'!S$2:S$401,$X205)))</f>
        <v/>
      </c>
      <c r="T205" s="7">
        <f>IF($X205="","",IF(INDEX('Per Invoice'!T$2:T$401,$X205)="","",INDEX('Per Invoice'!T$2:T$401,$X205)))</f>
        <v/>
      </c>
      <c r="U205" s="7">
        <f>IF($X205="","",IF(INDEX('Per Invoice'!U$2:U$401,$X205)="","",INDEX('Per Invoice'!U$2:U$401,$X205)))</f>
        <v/>
      </c>
      <c r="V205" s="7">
        <f>IF($X205="","",IF(INDEX('Per Invoice'!V$2:V$401,$X205)="","",INDEX('Per Invoice'!V$2:V$401,$X205)))</f>
        <v/>
      </c>
      <c r="W205" s="7">
        <f>IF($X205="","",IF(INDEX('Per Invoice'!W$2:W$401,$X205)="","",INDEX('Per Invoice'!W$2:W$401,$X205)))</f>
        <v/>
      </c>
      <c r="X205" s="16">
        <f>IFERROR(MATCH(Settings!$C$33&amp;"|"&amp;ROWS($X$2:$X205),'Per Invoice'!$Y$2:$Y$401,0),"")</f>
        <v/>
      </c>
    </row>
    <row r="206">
      <c r="A206">
        <f>IF($X206="","",IF(INDEX('Per Invoice'!A$2:A$401,$X206)="","",INDEX('Per Invoice'!A$2:A$401,$X206)))</f>
        <v/>
      </c>
      <c r="B206">
        <f>IF($X206="","",IF(INDEX('Per Invoice'!B$2:B$401,$X206)="","",INDEX('Per Invoice'!B$2:B$401,$X206)))</f>
        <v/>
      </c>
      <c r="C206">
        <f>IF($X206="","",IF(INDEX('Per Invoice'!C$2:C$401,$X206)="","",INDEX('Per Invoice'!C$2:C$401,$X206)))</f>
        <v/>
      </c>
      <c r="D206">
        <f>IF($X206="","",IF(INDEX('Per Invoice'!D$2:D$401,$X206)="","",INDEX('Per Invoice'!D$2:D$401,$X206)))</f>
        <v/>
      </c>
      <c r="E206">
        <f>IF($X206="","",IF(INDEX('Per Invoice'!E$2:E$401,$X206)="","",INDEX('Per Invoice'!E$2:E$401,$X206)))</f>
        <v/>
      </c>
      <c r="F206">
        <f>IF($X206="","",IF(INDEX('Per Invoice'!F$2:F$401,$X206)="","",INDEX('Per Invoice'!F$2:F$401,$X206)))</f>
        <v/>
      </c>
      <c r="G206">
        <f>IF($X206="","",IF(INDEX('Per Invoice'!G$2:G$401,$X206)="","",INDEX('Per Invoice'!G$2:G$401,$X206)))</f>
        <v/>
      </c>
      <c r="H206">
        <f>IF($X206="","",IF(INDEX('Per Invoice'!H$2:H$401,$X206)="","",INDEX('Per Invoice'!H$2:H$401,$X206)))</f>
        <v/>
      </c>
      <c r="I206">
        <f>IF($X206="","",IF(INDEX('Per Invoice'!I$2:I$401,$X206)="","",INDEX('Per Invoice'!I$2:I$401,$X206)))</f>
        <v/>
      </c>
      <c r="J206">
        <f>IF($X206="","",IF(INDEX('Per Invoice'!J$2:J$401,$X206)="","",INDEX('Per Invoice'!J$2:J$401,$X206)))</f>
        <v/>
      </c>
      <c r="K206" s="14">
        <f>IF($X206="","",IF(INDEX('Per Invoice'!K$2:K$401,$X206)="","",INDEX('Per Invoice'!K$2:K$401,$X206)))</f>
        <v/>
      </c>
      <c r="L206">
        <f>IF($X206="","",IF(INDEX('Per Invoice'!L$2:L$401,$X206)="","",INDEX('Per Invoice'!L$2:L$401,$X206)))</f>
        <v/>
      </c>
      <c r="M206" s="7">
        <f>IF($X206="","",IF(INDEX('Per Invoice'!M$2:M$401,$X206)="","",INDEX('Per Invoice'!M$2:M$401,$X206)))</f>
        <v/>
      </c>
      <c r="N206">
        <f>IF($X206="","",IF(INDEX('Per Invoice'!N$2:N$401,$X206)="","",INDEX('Per Invoice'!N$2:N$401,$X206)))</f>
        <v/>
      </c>
      <c r="O206" s="7">
        <f>IF($X206="","",IF(INDEX('Per Invoice'!O$2:O$401,$X206)="","",INDEX('Per Invoice'!O$2:O$401,$X206)))</f>
        <v/>
      </c>
      <c r="P206" s="7">
        <f>IF($X206="","",IF(INDEX('Per Invoice'!P$2:P$401,$X206)="","",INDEX('Per Invoice'!P$2:P$401,$X206)))</f>
        <v/>
      </c>
      <c r="Q206">
        <f>IF($X206="","",IF(INDEX('Per Invoice'!Q$2:Q$401,$X206)="","",INDEX('Per Invoice'!Q$2:Q$401,$X206)))</f>
        <v/>
      </c>
      <c r="R206" s="7">
        <f>IF($X206="","",IF(INDEX('Per Invoice'!R$2:R$401,$X206)="","",INDEX('Per Invoice'!R$2:R$401,$X206)))</f>
        <v/>
      </c>
      <c r="S206" s="7">
        <f>IF($X206="","",IF(INDEX('Per Invoice'!S$2:S$401,$X206)="","",INDEX('Per Invoice'!S$2:S$401,$X206)))</f>
        <v/>
      </c>
      <c r="T206" s="7">
        <f>IF($X206="","",IF(INDEX('Per Invoice'!T$2:T$401,$X206)="","",INDEX('Per Invoice'!T$2:T$401,$X206)))</f>
        <v/>
      </c>
      <c r="U206" s="7">
        <f>IF($X206="","",IF(INDEX('Per Invoice'!U$2:U$401,$X206)="","",INDEX('Per Invoice'!U$2:U$401,$X206)))</f>
        <v/>
      </c>
      <c r="V206" s="7">
        <f>IF($X206="","",IF(INDEX('Per Invoice'!V$2:V$401,$X206)="","",INDEX('Per Invoice'!V$2:V$401,$X206)))</f>
        <v/>
      </c>
      <c r="W206" s="7">
        <f>IF($X206="","",IF(INDEX('Per Invoice'!W$2:W$401,$X206)="","",INDEX('Per Invoice'!W$2:W$401,$X206)))</f>
        <v/>
      </c>
      <c r="X206" s="16">
        <f>IFERROR(MATCH(Settings!$C$33&amp;"|"&amp;ROWS($X$2:$X206),'Per Invoice'!$Y$2:$Y$401,0),"")</f>
        <v/>
      </c>
    </row>
    <row r="207">
      <c r="A207">
        <f>IF($X207="","",IF(INDEX('Per Invoice'!A$2:A$401,$X207)="","",INDEX('Per Invoice'!A$2:A$401,$X207)))</f>
        <v/>
      </c>
      <c r="B207">
        <f>IF($X207="","",IF(INDEX('Per Invoice'!B$2:B$401,$X207)="","",INDEX('Per Invoice'!B$2:B$401,$X207)))</f>
        <v/>
      </c>
      <c r="C207">
        <f>IF($X207="","",IF(INDEX('Per Invoice'!C$2:C$401,$X207)="","",INDEX('Per Invoice'!C$2:C$401,$X207)))</f>
        <v/>
      </c>
      <c r="D207">
        <f>IF($X207="","",IF(INDEX('Per Invoice'!D$2:D$401,$X207)="","",INDEX('Per Invoice'!D$2:D$401,$X207)))</f>
        <v/>
      </c>
      <c r="E207">
        <f>IF($X207="","",IF(INDEX('Per Invoice'!E$2:E$401,$X207)="","",INDEX('Per Invoice'!E$2:E$401,$X207)))</f>
        <v/>
      </c>
      <c r="F207">
        <f>IF($X207="","",IF(INDEX('Per Invoice'!F$2:F$401,$X207)="","",INDEX('Per Invoice'!F$2:F$401,$X207)))</f>
        <v/>
      </c>
      <c r="G207">
        <f>IF($X207="","",IF(INDEX('Per Invoice'!G$2:G$401,$X207)="","",INDEX('Per Invoice'!G$2:G$401,$X207)))</f>
        <v/>
      </c>
      <c r="H207">
        <f>IF($X207="","",IF(INDEX('Per Invoice'!H$2:H$401,$X207)="","",INDEX('Per Invoice'!H$2:H$401,$X207)))</f>
        <v/>
      </c>
      <c r="I207">
        <f>IF($X207="","",IF(INDEX('Per Invoice'!I$2:I$401,$X207)="","",INDEX('Per Invoice'!I$2:I$401,$X207)))</f>
        <v/>
      </c>
      <c r="J207">
        <f>IF($X207="","",IF(INDEX('Per Invoice'!J$2:J$401,$X207)="","",INDEX('Per Invoice'!J$2:J$401,$X207)))</f>
        <v/>
      </c>
      <c r="K207" s="14">
        <f>IF($X207="","",IF(INDEX('Per Invoice'!K$2:K$401,$X207)="","",INDEX('Per Invoice'!K$2:K$401,$X207)))</f>
        <v/>
      </c>
      <c r="L207">
        <f>IF($X207="","",IF(INDEX('Per Invoice'!L$2:L$401,$X207)="","",INDEX('Per Invoice'!L$2:L$401,$X207)))</f>
        <v/>
      </c>
      <c r="M207" s="7">
        <f>IF($X207="","",IF(INDEX('Per Invoice'!M$2:M$401,$X207)="","",INDEX('Per Invoice'!M$2:M$401,$X207)))</f>
        <v/>
      </c>
      <c r="N207">
        <f>IF($X207="","",IF(INDEX('Per Invoice'!N$2:N$401,$X207)="","",INDEX('Per Invoice'!N$2:N$401,$X207)))</f>
        <v/>
      </c>
      <c r="O207" s="7">
        <f>IF($X207="","",IF(INDEX('Per Invoice'!O$2:O$401,$X207)="","",INDEX('Per Invoice'!O$2:O$401,$X207)))</f>
        <v/>
      </c>
      <c r="P207" s="7">
        <f>IF($X207="","",IF(INDEX('Per Invoice'!P$2:P$401,$X207)="","",INDEX('Per Invoice'!P$2:P$401,$X207)))</f>
        <v/>
      </c>
      <c r="Q207">
        <f>IF($X207="","",IF(INDEX('Per Invoice'!Q$2:Q$401,$X207)="","",INDEX('Per Invoice'!Q$2:Q$401,$X207)))</f>
        <v/>
      </c>
      <c r="R207" s="7">
        <f>IF($X207="","",IF(INDEX('Per Invoice'!R$2:R$401,$X207)="","",INDEX('Per Invoice'!R$2:R$401,$X207)))</f>
        <v/>
      </c>
      <c r="S207" s="7">
        <f>IF($X207="","",IF(INDEX('Per Invoice'!S$2:S$401,$X207)="","",INDEX('Per Invoice'!S$2:S$401,$X207)))</f>
        <v/>
      </c>
      <c r="T207" s="7">
        <f>IF($X207="","",IF(INDEX('Per Invoice'!T$2:T$401,$X207)="","",INDEX('Per Invoice'!T$2:T$401,$X207)))</f>
        <v/>
      </c>
      <c r="U207" s="7">
        <f>IF($X207="","",IF(INDEX('Per Invoice'!U$2:U$401,$X207)="","",INDEX('Per Invoice'!U$2:U$401,$X207)))</f>
        <v/>
      </c>
      <c r="V207" s="7">
        <f>IF($X207="","",IF(INDEX('Per Invoice'!V$2:V$401,$X207)="","",INDEX('Per Invoice'!V$2:V$401,$X207)))</f>
        <v/>
      </c>
      <c r="W207" s="7">
        <f>IF($X207="","",IF(INDEX('Per Invoice'!W$2:W$401,$X207)="","",INDEX('Per Invoice'!W$2:W$401,$X207)))</f>
        <v/>
      </c>
      <c r="X207" s="16">
        <f>IFERROR(MATCH(Settings!$C$33&amp;"|"&amp;ROWS($X$2:$X207),'Per Invoice'!$Y$2:$Y$401,0),"")</f>
        <v/>
      </c>
    </row>
    <row r="208">
      <c r="A208">
        <f>IF($X208="","",IF(INDEX('Per Invoice'!A$2:A$401,$X208)="","",INDEX('Per Invoice'!A$2:A$401,$X208)))</f>
        <v/>
      </c>
      <c r="B208">
        <f>IF($X208="","",IF(INDEX('Per Invoice'!B$2:B$401,$X208)="","",INDEX('Per Invoice'!B$2:B$401,$X208)))</f>
        <v/>
      </c>
      <c r="C208">
        <f>IF($X208="","",IF(INDEX('Per Invoice'!C$2:C$401,$X208)="","",INDEX('Per Invoice'!C$2:C$401,$X208)))</f>
        <v/>
      </c>
      <c r="D208">
        <f>IF($X208="","",IF(INDEX('Per Invoice'!D$2:D$401,$X208)="","",INDEX('Per Invoice'!D$2:D$401,$X208)))</f>
        <v/>
      </c>
      <c r="E208">
        <f>IF($X208="","",IF(INDEX('Per Invoice'!E$2:E$401,$X208)="","",INDEX('Per Invoice'!E$2:E$401,$X208)))</f>
        <v/>
      </c>
      <c r="F208">
        <f>IF($X208="","",IF(INDEX('Per Invoice'!F$2:F$401,$X208)="","",INDEX('Per Invoice'!F$2:F$401,$X208)))</f>
        <v/>
      </c>
      <c r="G208">
        <f>IF($X208="","",IF(INDEX('Per Invoice'!G$2:G$401,$X208)="","",INDEX('Per Invoice'!G$2:G$401,$X208)))</f>
        <v/>
      </c>
      <c r="H208">
        <f>IF($X208="","",IF(INDEX('Per Invoice'!H$2:H$401,$X208)="","",INDEX('Per Invoice'!H$2:H$401,$X208)))</f>
        <v/>
      </c>
      <c r="I208">
        <f>IF($X208="","",IF(INDEX('Per Invoice'!I$2:I$401,$X208)="","",INDEX('Per Invoice'!I$2:I$401,$X208)))</f>
        <v/>
      </c>
      <c r="J208">
        <f>IF($X208="","",IF(INDEX('Per Invoice'!J$2:J$401,$X208)="","",INDEX('Per Invoice'!J$2:J$401,$X208)))</f>
        <v/>
      </c>
      <c r="K208" s="14">
        <f>IF($X208="","",IF(INDEX('Per Invoice'!K$2:K$401,$X208)="","",INDEX('Per Invoice'!K$2:K$401,$X208)))</f>
        <v/>
      </c>
      <c r="L208">
        <f>IF($X208="","",IF(INDEX('Per Invoice'!L$2:L$401,$X208)="","",INDEX('Per Invoice'!L$2:L$401,$X208)))</f>
        <v/>
      </c>
      <c r="M208" s="7">
        <f>IF($X208="","",IF(INDEX('Per Invoice'!M$2:M$401,$X208)="","",INDEX('Per Invoice'!M$2:M$401,$X208)))</f>
        <v/>
      </c>
      <c r="N208">
        <f>IF($X208="","",IF(INDEX('Per Invoice'!N$2:N$401,$X208)="","",INDEX('Per Invoice'!N$2:N$401,$X208)))</f>
        <v/>
      </c>
      <c r="O208" s="7">
        <f>IF($X208="","",IF(INDEX('Per Invoice'!O$2:O$401,$X208)="","",INDEX('Per Invoice'!O$2:O$401,$X208)))</f>
        <v/>
      </c>
      <c r="P208" s="7">
        <f>IF($X208="","",IF(INDEX('Per Invoice'!P$2:P$401,$X208)="","",INDEX('Per Invoice'!P$2:P$401,$X208)))</f>
        <v/>
      </c>
      <c r="Q208">
        <f>IF($X208="","",IF(INDEX('Per Invoice'!Q$2:Q$401,$X208)="","",INDEX('Per Invoice'!Q$2:Q$401,$X208)))</f>
        <v/>
      </c>
      <c r="R208" s="7">
        <f>IF($X208="","",IF(INDEX('Per Invoice'!R$2:R$401,$X208)="","",INDEX('Per Invoice'!R$2:R$401,$X208)))</f>
        <v/>
      </c>
      <c r="S208" s="7">
        <f>IF($X208="","",IF(INDEX('Per Invoice'!S$2:S$401,$X208)="","",INDEX('Per Invoice'!S$2:S$401,$X208)))</f>
        <v/>
      </c>
      <c r="T208" s="7">
        <f>IF($X208="","",IF(INDEX('Per Invoice'!T$2:T$401,$X208)="","",INDEX('Per Invoice'!T$2:T$401,$X208)))</f>
        <v/>
      </c>
      <c r="U208" s="7">
        <f>IF($X208="","",IF(INDEX('Per Invoice'!U$2:U$401,$X208)="","",INDEX('Per Invoice'!U$2:U$401,$X208)))</f>
        <v/>
      </c>
      <c r="V208" s="7">
        <f>IF($X208="","",IF(INDEX('Per Invoice'!V$2:V$401,$X208)="","",INDEX('Per Invoice'!V$2:V$401,$X208)))</f>
        <v/>
      </c>
      <c r="W208" s="7">
        <f>IF($X208="","",IF(INDEX('Per Invoice'!W$2:W$401,$X208)="","",INDEX('Per Invoice'!W$2:W$401,$X208)))</f>
        <v/>
      </c>
      <c r="X208" s="16">
        <f>IFERROR(MATCH(Settings!$C$33&amp;"|"&amp;ROWS($X$2:$X208),'Per Invoice'!$Y$2:$Y$401,0),"")</f>
        <v/>
      </c>
    </row>
    <row r="209">
      <c r="A209">
        <f>IF($X209="","",IF(INDEX('Per Invoice'!A$2:A$401,$X209)="","",INDEX('Per Invoice'!A$2:A$401,$X209)))</f>
        <v/>
      </c>
      <c r="B209">
        <f>IF($X209="","",IF(INDEX('Per Invoice'!B$2:B$401,$X209)="","",INDEX('Per Invoice'!B$2:B$401,$X209)))</f>
        <v/>
      </c>
      <c r="C209">
        <f>IF($X209="","",IF(INDEX('Per Invoice'!C$2:C$401,$X209)="","",INDEX('Per Invoice'!C$2:C$401,$X209)))</f>
        <v/>
      </c>
      <c r="D209">
        <f>IF($X209="","",IF(INDEX('Per Invoice'!D$2:D$401,$X209)="","",INDEX('Per Invoice'!D$2:D$401,$X209)))</f>
        <v/>
      </c>
      <c r="E209">
        <f>IF($X209="","",IF(INDEX('Per Invoice'!E$2:E$401,$X209)="","",INDEX('Per Invoice'!E$2:E$401,$X209)))</f>
        <v/>
      </c>
      <c r="F209">
        <f>IF($X209="","",IF(INDEX('Per Invoice'!F$2:F$401,$X209)="","",INDEX('Per Invoice'!F$2:F$401,$X209)))</f>
        <v/>
      </c>
      <c r="G209">
        <f>IF($X209="","",IF(INDEX('Per Invoice'!G$2:G$401,$X209)="","",INDEX('Per Invoice'!G$2:G$401,$X209)))</f>
        <v/>
      </c>
      <c r="H209">
        <f>IF($X209="","",IF(INDEX('Per Invoice'!H$2:H$401,$X209)="","",INDEX('Per Invoice'!H$2:H$401,$X209)))</f>
        <v/>
      </c>
      <c r="I209">
        <f>IF($X209="","",IF(INDEX('Per Invoice'!I$2:I$401,$X209)="","",INDEX('Per Invoice'!I$2:I$401,$X209)))</f>
        <v/>
      </c>
      <c r="J209">
        <f>IF($X209="","",IF(INDEX('Per Invoice'!J$2:J$401,$X209)="","",INDEX('Per Invoice'!J$2:J$401,$X209)))</f>
        <v/>
      </c>
      <c r="K209" s="14">
        <f>IF($X209="","",IF(INDEX('Per Invoice'!K$2:K$401,$X209)="","",INDEX('Per Invoice'!K$2:K$401,$X209)))</f>
        <v/>
      </c>
      <c r="L209">
        <f>IF($X209="","",IF(INDEX('Per Invoice'!L$2:L$401,$X209)="","",INDEX('Per Invoice'!L$2:L$401,$X209)))</f>
        <v/>
      </c>
      <c r="M209" s="7">
        <f>IF($X209="","",IF(INDEX('Per Invoice'!M$2:M$401,$X209)="","",INDEX('Per Invoice'!M$2:M$401,$X209)))</f>
        <v/>
      </c>
      <c r="N209">
        <f>IF($X209="","",IF(INDEX('Per Invoice'!N$2:N$401,$X209)="","",INDEX('Per Invoice'!N$2:N$401,$X209)))</f>
        <v/>
      </c>
      <c r="O209" s="7">
        <f>IF($X209="","",IF(INDEX('Per Invoice'!O$2:O$401,$X209)="","",INDEX('Per Invoice'!O$2:O$401,$X209)))</f>
        <v/>
      </c>
      <c r="P209" s="7">
        <f>IF($X209="","",IF(INDEX('Per Invoice'!P$2:P$401,$X209)="","",INDEX('Per Invoice'!P$2:P$401,$X209)))</f>
        <v/>
      </c>
      <c r="Q209">
        <f>IF($X209="","",IF(INDEX('Per Invoice'!Q$2:Q$401,$X209)="","",INDEX('Per Invoice'!Q$2:Q$401,$X209)))</f>
        <v/>
      </c>
      <c r="R209" s="7">
        <f>IF($X209="","",IF(INDEX('Per Invoice'!R$2:R$401,$X209)="","",INDEX('Per Invoice'!R$2:R$401,$X209)))</f>
        <v/>
      </c>
      <c r="S209" s="7">
        <f>IF($X209="","",IF(INDEX('Per Invoice'!S$2:S$401,$X209)="","",INDEX('Per Invoice'!S$2:S$401,$X209)))</f>
        <v/>
      </c>
      <c r="T209" s="7">
        <f>IF($X209="","",IF(INDEX('Per Invoice'!T$2:T$401,$X209)="","",INDEX('Per Invoice'!T$2:T$401,$X209)))</f>
        <v/>
      </c>
      <c r="U209" s="7">
        <f>IF($X209="","",IF(INDEX('Per Invoice'!U$2:U$401,$X209)="","",INDEX('Per Invoice'!U$2:U$401,$X209)))</f>
        <v/>
      </c>
      <c r="V209" s="7">
        <f>IF($X209="","",IF(INDEX('Per Invoice'!V$2:V$401,$X209)="","",INDEX('Per Invoice'!V$2:V$401,$X209)))</f>
        <v/>
      </c>
      <c r="W209" s="7">
        <f>IF($X209="","",IF(INDEX('Per Invoice'!W$2:W$401,$X209)="","",INDEX('Per Invoice'!W$2:W$401,$X209)))</f>
        <v/>
      </c>
      <c r="X209" s="16">
        <f>IFERROR(MATCH(Settings!$C$33&amp;"|"&amp;ROWS($X$2:$X209),'Per Invoice'!$Y$2:$Y$401,0),"")</f>
        <v/>
      </c>
    </row>
    <row r="210">
      <c r="A210">
        <f>IF($X210="","",IF(INDEX('Per Invoice'!A$2:A$401,$X210)="","",INDEX('Per Invoice'!A$2:A$401,$X210)))</f>
        <v/>
      </c>
      <c r="B210">
        <f>IF($X210="","",IF(INDEX('Per Invoice'!B$2:B$401,$X210)="","",INDEX('Per Invoice'!B$2:B$401,$X210)))</f>
        <v/>
      </c>
      <c r="C210">
        <f>IF($X210="","",IF(INDEX('Per Invoice'!C$2:C$401,$X210)="","",INDEX('Per Invoice'!C$2:C$401,$X210)))</f>
        <v/>
      </c>
      <c r="D210">
        <f>IF($X210="","",IF(INDEX('Per Invoice'!D$2:D$401,$X210)="","",INDEX('Per Invoice'!D$2:D$401,$X210)))</f>
        <v/>
      </c>
      <c r="E210">
        <f>IF($X210="","",IF(INDEX('Per Invoice'!E$2:E$401,$X210)="","",INDEX('Per Invoice'!E$2:E$401,$X210)))</f>
        <v/>
      </c>
      <c r="F210">
        <f>IF($X210="","",IF(INDEX('Per Invoice'!F$2:F$401,$X210)="","",INDEX('Per Invoice'!F$2:F$401,$X210)))</f>
        <v/>
      </c>
      <c r="G210">
        <f>IF($X210="","",IF(INDEX('Per Invoice'!G$2:G$401,$X210)="","",INDEX('Per Invoice'!G$2:G$401,$X210)))</f>
        <v/>
      </c>
      <c r="H210">
        <f>IF($X210="","",IF(INDEX('Per Invoice'!H$2:H$401,$X210)="","",INDEX('Per Invoice'!H$2:H$401,$X210)))</f>
        <v/>
      </c>
      <c r="I210">
        <f>IF($X210="","",IF(INDEX('Per Invoice'!I$2:I$401,$X210)="","",INDEX('Per Invoice'!I$2:I$401,$X210)))</f>
        <v/>
      </c>
      <c r="J210">
        <f>IF($X210="","",IF(INDEX('Per Invoice'!J$2:J$401,$X210)="","",INDEX('Per Invoice'!J$2:J$401,$X210)))</f>
        <v/>
      </c>
      <c r="K210" s="14">
        <f>IF($X210="","",IF(INDEX('Per Invoice'!K$2:K$401,$X210)="","",INDEX('Per Invoice'!K$2:K$401,$X210)))</f>
        <v/>
      </c>
      <c r="L210">
        <f>IF($X210="","",IF(INDEX('Per Invoice'!L$2:L$401,$X210)="","",INDEX('Per Invoice'!L$2:L$401,$X210)))</f>
        <v/>
      </c>
      <c r="M210" s="7">
        <f>IF($X210="","",IF(INDEX('Per Invoice'!M$2:M$401,$X210)="","",INDEX('Per Invoice'!M$2:M$401,$X210)))</f>
        <v/>
      </c>
      <c r="N210">
        <f>IF($X210="","",IF(INDEX('Per Invoice'!N$2:N$401,$X210)="","",INDEX('Per Invoice'!N$2:N$401,$X210)))</f>
        <v/>
      </c>
      <c r="O210" s="7">
        <f>IF($X210="","",IF(INDEX('Per Invoice'!O$2:O$401,$X210)="","",INDEX('Per Invoice'!O$2:O$401,$X210)))</f>
        <v/>
      </c>
      <c r="P210" s="7">
        <f>IF($X210="","",IF(INDEX('Per Invoice'!P$2:P$401,$X210)="","",INDEX('Per Invoice'!P$2:P$401,$X210)))</f>
        <v/>
      </c>
      <c r="Q210">
        <f>IF($X210="","",IF(INDEX('Per Invoice'!Q$2:Q$401,$X210)="","",INDEX('Per Invoice'!Q$2:Q$401,$X210)))</f>
        <v/>
      </c>
      <c r="R210" s="7">
        <f>IF($X210="","",IF(INDEX('Per Invoice'!R$2:R$401,$X210)="","",INDEX('Per Invoice'!R$2:R$401,$X210)))</f>
        <v/>
      </c>
      <c r="S210" s="7">
        <f>IF($X210="","",IF(INDEX('Per Invoice'!S$2:S$401,$X210)="","",INDEX('Per Invoice'!S$2:S$401,$X210)))</f>
        <v/>
      </c>
      <c r="T210" s="7">
        <f>IF($X210="","",IF(INDEX('Per Invoice'!T$2:T$401,$X210)="","",INDEX('Per Invoice'!T$2:T$401,$X210)))</f>
        <v/>
      </c>
      <c r="U210" s="7">
        <f>IF($X210="","",IF(INDEX('Per Invoice'!U$2:U$401,$X210)="","",INDEX('Per Invoice'!U$2:U$401,$X210)))</f>
        <v/>
      </c>
      <c r="V210" s="7">
        <f>IF($X210="","",IF(INDEX('Per Invoice'!V$2:V$401,$X210)="","",INDEX('Per Invoice'!V$2:V$401,$X210)))</f>
        <v/>
      </c>
      <c r="W210" s="7">
        <f>IF($X210="","",IF(INDEX('Per Invoice'!W$2:W$401,$X210)="","",INDEX('Per Invoice'!W$2:W$401,$X210)))</f>
        <v/>
      </c>
      <c r="X210" s="16">
        <f>IFERROR(MATCH(Settings!$C$33&amp;"|"&amp;ROWS($X$2:$X210),'Per Invoice'!$Y$2:$Y$401,0),"")</f>
        <v/>
      </c>
    </row>
    <row r="211">
      <c r="A211">
        <f>IF($X211="","",IF(INDEX('Per Invoice'!A$2:A$401,$X211)="","",INDEX('Per Invoice'!A$2:A$401,$X211)))</f>
        <v/>
      </c>
      <c r="B211">
        <f>IF($X211="","",IF(INDEX('Per Invoice'!B$2:B$401,$X211)="","",INDEX('Per Invoice'!B$2:B$401,$X211)))</f>
        <v/>
      </c>
      <c r="C211">
        <f>IF($X211="","",IF(INDEX('Per Invoice'!C$2:C$401,$X211)="","",INDEX('Per Invoice'!C$2:C$401,$X211)))</f>
        <v/>
      </c>
      <c r="D211">
        <f>IF($X211="","",IF(INDEX('Per Invoice'!D$2:D$401,$X211)="","",INDEX('Per Invoice'!D$2:D$401,$X211)))</f>
        <v/>
      </c>
      <c r="E211">
        <f>IF($X211="","",IF(INDEX('Per Invoice'!E$2:E$401,$X211)="","",INDEX('Per Invoice'!E$2:E$401,$X211)))</f>
        <v/>
      </c>
      <c r="F211">
        <f>IF($X211="","",IF(INDEX('Per Invoice'!F$2:F$401,$X211)="","",INDEX('Per Invoice'!F$2:F$401,$X211)))</f>
        <v/>
      </c>
      <c r="G211">
        <f>IF($X211="","",IF(INDEX('Per Invoice'!G$2:G$401,$X211)="","",INDEX('Per Invoice'!G$2:G$401,$X211)))</f>
        <v/>
      </c>
      <c r="H211">
        <f>IF($X211="","",IF(INDEX('Per Invoice'!H$2:H$401,$X211)="","",INDEX('Per Invoice'!H$2:H$401,$X211)))</f>
        <v/>
      </c>
      <c r="I211">
        <f>IF($X211="","",IF(INDEX('Per Invoice'!I$2:I$401,$X211)="","",INDEX('Per Invoice'!I$2:I$401,$X211)))</f>
        <v/>
      </c>
      <c r="J211">
        <f>IF($X211="","",IF(INDEX('Per Invoice'!J$2:J$401,$X211)="","",INDEX('Per Invoice'!J$2:J$401,$X211)))</f>
        <v/>
      </c>
      <c r="K211" s="14">
        <f>IF($X211="","",IF(INDEX('Per Invoice'!K$2:K$401,$X211)="","",INDEX('Per Invoice'!K$2:K$401,$X211)))</f>
        <v/>
      </c>
      <c r="L211">
        <f>IF($X211="","",IF(INDEX('Per Invoice'!L$2:L$401,$X211)="","",INDEX('Per Invoice'!L$2:L$401,$X211)))</f>
        <v/>
      </c>
      <c r="M211" s="7">
        <f>IF($X211="","",IF(INDEX('Per Invoice'!M$2:M$401,$X211)="","",INDEX('Per Invoice'!M$2:M$401,$X211)))</f>
        <v/>
      </c>
      <c r="N211">
        <f>IF($X211="","",IF(INDEX('Per Invoice'!N$2:N$401,$X211)="","",INDEX('Per Invoice'!N$2:N$401,$X211)))</f>
        <v/>
      </c>
      <c r="O211" s="7">
        <f>IF($X211="","",IF(INDEX('Per Invoice'!O$2:O$401,$X211)="","",INDEX('Per Invoice'!O$2:O$401,$X211)))</f>
        <v/>
      </c>
      <c r="P211" s="7">
        <f>IF($X211="","",IF(INDEX('Per Invoice'!P$2:P$401,$X211)="","",INDEX('Per Invoice'!P$2:P$401,$X211)))</f>
        <v/>
      </c>
      <c r="Q211">
        <f>IF($X211="","",IF(INDEX('Per Invoice'!Q$2:Q$401,$X211)="","",INDEX('Per Invoice'!Q$2:Q$401,$X211)))</f>
        <v/>
      </c>
      <c r="R211" s="7">
        <f>IF($X211="","",IF(INDEX('Per Invoice'!R$2:R$401,$X211)="","",INDEX('Per Invoice'!R$2:R$401,$X211)))</f>
        <v/>
      </c>
      <c r="S211" s="7">
        <f>IF($X211="","",IF(INDEX('Per Invoice'!S$2:S$401,$X211)="","",INDEX('Per Invoice'!S$2:S$401,$X211)))</f>
        <v/>
      </c>
      <c r="T211" s="7">
        <f>IF($X211="","",IF(INDEX('Per Invoice'!T$2:T$401,$X211)="","",INDEX('Per Invoice'!T$2:T$401,$X211)))</f>
        <v/>
      </c>
      <c r="U211" s="7">
        <f>IF($X211="","",IF(INDEX('Per Invoice'!U$2:U$401,$X211)="","",INDEX('Per Invoice'!U$2:U$401,$X211)))</f>
        <v/>
      </c>
      <c r="V211" s="7">
        <f>IF($X211="","",IF(INDEX('Per Invoice'!V$2:V$401,$X211)="","",INDEX('Per Invoice'!V$2:V$401,$X211)))</f>
        <v/>
      </c>
      <c r="W211" s="7">
        <f>IF($X211="","",IF(INDEX('Per Invoice'!W$2:W$401,$X211)="","",INDEX('Per Invoice'!W$2:W$401,$X211)))</f>
        <v/>
      </c>
      <c r="X211" s="16">
        <f>IFERROR(MATCH(Settings!$C$33&amp;"|"&amp;ROWS($X$2:$X211),'Per Invoice'!$Y$2:$Y$401,0),"")</f>
        <v/>
      </c>
    </row>
    <row r="212">
      <c r="A212">
        <f>IF($X212="","",IF(INDEX('Per Invoice'!A$2:A$401,$X212)="","",INDEX('Per Invoice'!A$2:A$401,$X212)))</f>
        <v/>
      </c>
      <c r="B212">
        <f>IF($X212="","",IF(INDEX('Per Invoice'!B$2:B$401,$X212)="","",INDEX('Per Invoice'!B$2:B$401,$X212)))</f>
        <v/>
      </c>
      <c r="C212">
        <f>IF($X212="","",IF(INDEX('Per Invoice'!C$2:C$401,$X212)="","",INDEX('Per Invoice'!C$2:C$401,$X212)))</f>
        <v/>
      </c>
      <c r="D212">
        <f>IF($X212="","",IF(INDEX('Per Invoice'!D$2:D$401,$X212)="","",INDEX('Per Invoice'!D$2:D$401,$X212)))</f>
        <v/>
      </c>
      <c r="E212">
        <f>IF($X212="","",IF(INDEX('Per Invoice'!E$2:E$401,$X212)="","",INDEX('Per Invoice'!E$2:E$401,$X212)))</f>
        <v/>
      </c>
      <c r="F212">
        <f>IF($X212="","",IF(INDEX('Per Invoice'!F$2:F$401,$X212)="","",INDEX('Per Invoice'!F$2:F$401,$X212)))</f>
        <v/>
      </c>
      <c r="G212">
        <f>IF($X212="","",IF(INDEX('Per Invoice'!G$2:G$401,$X212)="","",INDEX('Per Invoice'!G$2:G$401,$X212)))</f>
        <v/>
      </c>
      <c r="H212">
        <f>IF($X212="","",IF(INDEX('Per Invoice'!H$2:H$401,$X212)="","",INDEX('Per Invoice'!H$2:H$401,$X212)))</f>
        <v/>
      </c>
      <c r="I212">
        <f>IF($X212="","",IF(INDEX('Per Invoice'!I$2:I$401,$X212)="","",INDEX('Per Invoice'!I$2:I$401,$X212)))</f>
        <v/>
      </c>
      <c r="J212">
        <f>IF($X212="","",IF(INDEX('Per Invoice'!J$2:J$401,$X212)="","",INDEX('Per Invoice'!J$2:J$401,$X212)))</f>
        <v/>
      </c>
      <c r="K212" s="14">
        <f>IF($X212="","",IF(INDEX('Per Invoice'!K$2:K$401,$X212)="","",INDEX('Per Invoice'!K$2:K$401,$X212)))</f>
        <v/>
      </c>
      <c r="L212">
        <f>IF($X212="","",IF(INDEX('Per Invoice'!L$2:L$401,$X212)="","",INDEX('Per Invoice'!L$2:L$401,$X212)))</f>
        <v/>
      </c>
      <c r="M212" s="7">
        <f>IF($X212="","",IF(INDEX('Per Invoice'!M$2:M$401,$X212)="","",INDEX('Per Invoice'!M$2:M$401,$X212)))</f>
        <v/>
      </c>
      <c r="N212">
        <f>IF($X212="","",IF(INDEX('Per Invoice'!N$2:N$401,$X212)="","",INDEX('Per Invoice'!N$2:N$401,$X212)))</f>
        <v/>
      </c>
      <c r="O212" s="7">
        <f>IF($X212="","",IF(INDEX('Per Invoice'!O$2:O$401,$X212)="","",INDEX('Per Invoice'!O$2:O$401,$X212)))</f>
        <v/>
      </c>
      <c r="P212" s="7">
        <f>IF($X212="","",IF(INDEX('Per Invoice'!P$2:P$401,$X212)="","",INDEX('Per Invoice'!P$2:P$401,$X212)))</f>
        <v/>
      </c>
      <c r="Q212">
        <f>IF($X212="","",IF(INDEX('Per Invoice'!Q$2:Q$401,$X212)="","",INDEX('Per Invoice'!Q$2:Q$401,$X212)))</f>
        <v/>
      </c>
      <c r="R212" s="7">
        <f>IF($X212="","",IF(INDEX('Per Invoice'!R$2:R$401,$X212)="","",INDEX('Per Invoice'!R$2:R$401,$X212)))</f>
        <v/>
      </c>
      <c r="S212" s="7">
        <f>IF($X212="","",IF(INDEX('Per Invoice'!S$2:S$401,$X212)="","",INDEX('Per Invoice'!S$2:S$401,$X212)))</f>
        <v/>
      </c>
      <c r="T212" s="7">
        <f>IF($X212="","",IF(INDEX('Per Invoice'!T$2:T$401,$X212)="","",INDEX('Per Invoice'!T$2:T$401,$X212)))</f>
        <v/>
      </c>
      <c r="U212" s="7">
        <f>IF($X212="","",IF(INDEX('Per Invoice'!U$2:U$401,$X212)="","",INDEX('Per Invoice'!U$2:U$401,$X212)))</f>
        <v/>
      </c>
      <c r="V212" s="7">
        <f>IF($X212="","",IF(INDEX('Per Invoice'!V$2:V$401,$X212)="","",INDEX('Per Invoice'!V$2:V$401,$X212)))</f>
        <v/>
      </c>
      <c r="W212" s="7">
        <f>IF($X212="","",IF(INDEX('Per Invoice'!W$2:W$401,$X212)="","",INDEX('Per Invoice'!W$2:W$401,$X212)))</f>
        <v/>
      </c>
      <c r="X212" s="16">
        <f>IFERROR(MATCH(Settings!$C$33&amp;"|"&amp;ROWS($X$2:$X212),'Per Invoice'!$Y$2:$Y$401,0),"")</f>
        <v/>
      </c>
    </row>
    <row r="213">
      <c r="A213">
        <f>IF($X213="","",IF(INDEX('Per Invoice'!A$2:A$401,$X213)="","",INDEX('Per Invoice'!A$2:A$401,$X213)))</f>
        <v/>
      </c>
      <c r="B213">
        <f>IF($X213="","",IF(INDEX('Per Invoice'!B$2:B$401,$X213)="","",INDEX('Per Invoice'!B$2:B$401,$X213)))</f>
        <v/>
      </c>
      <c r="C213">
        <f>IF($X213="","",IF(INDEX('Per Invoice'!C$2:C$401,$X213)="","",INDEX('Per Invoice'!C$2:C$401,$X213)))</f>
        <v/>
      </c>
      <c r="D213">
        <f>IF($X213="","",IF(INDEX('Per Invoice'!D$2:D$401,$X213)="","",INDEX('Per Invoice'!D$2:D$401,$X213)))</f>
        <v/>
      </c>
      <c r="E213">
        <f>IF($X213="","",IF(INDEX('Per Invoice'!E$2:E$401,$X213)="","",INDEX('Per Invoice'!E$2:E$401,$X213)))</f>
        <v/>
      </c>
      <c r="F213">
        <f>IF($X213="","",IF(INDEX('Per Invoice'!F$2:F$401,$X213)="","",INDEX('Per Invoice'!F$2:F$401,$X213)))</f>
        <v/>
      </c>
      <c r="G213">
        <f>IF($X213="","",IF(INDEX('Per Invoice'!G$2:G$401,$X213)="","",INDEX('Per Invoice'!G$2:G$401,$X213)))</f>
        <v/>
      </c>
      <c r="H213">
        <f>IF($X213="","",IF(INDEX('Per Invoice'!H$2:H$401,$X213)="","",INDEX('Per Invoice'!H$2:H$401,$X213)))</f>
        <v/>
      </c>
      <c r="I213">
        <f>IF($X213="","",IF(INDEX('Per Invoice'!I$2:I$401,$X213)="","",INDEX('Per Invoice'!I$2:I$401,$X213)))</f>
        <v/>
      </c>
      <c r="J213">
        <f>IF($X213="","",IF(INDEX('Per Invoice'!J$2:J$401,$X213)="","",INDEX('Per Invoice'!J$2:J$401,$X213)))</f>
        <v/>
      </c>
      <c r="K213" s="14">
        <f>IF($X213="","",IF(INDEX('Per Invoice'!K$2:K$401,$X213)="","",INDEX('Per Invoice'!K$2:K$401,$X213)))</f>
        <v/>
      </c>
      <c r="L213">
        <f>IF($X213="","",IF(INDEX('Per Invoice'!L$2:L$401,$X213)="","",INDEX('Per Invoice'!L$2:L$401,$X213)))</f>
        <v/>
      </c>
      <c r="M213" s="7">
        <f>IF($X213="","",IF(INDEX('Per Invoice'!M$2:M$401,$X213)="","",INDEX('Per Invoice'!M$2:M$401,$X213)))</f>
        <v/>
      </c>
      <c r="N213">
        <f>IF($X213="","",IF(INDEX('Per Invoice'!N$2:N$401,$X213)="","",INDEX('Per Invoice'!N$2:N$401,$X213)))</f>
        <v/>
      </c>
      <c r="O213" s="7">
        <f>IF($X213="","",IF(INDEX('Per Invoice'!O$2:O$401,$X213)="","",INDEX('Per Invoice'!O$2:O$401,$X213)))</f>
        <v/>
      </c>
      <c r="P213" s="7">
        <f>IF($X213="","",IF(INDEX('Per Invoice'!P$2:P$401,$X213)="","",INDEX('Per Invoice'!P$2:P$401,$X213)))</f>
        <v/>
      </c>
      <c r="Q213">
        <f>IF($X213="","",IF(INDEX('Per Invoice'!Q$2:Q$401,$X213)="","",INDEX('Per Invoice'!Q$2:Q$401,$X213)))</f>
        <v/>
      </c>
      <c r="R213" s="7">
        <f>IF($X213="","",IF(INDEX('Per Invoice'!R$2:R$401,$X213)="","",INDEX('Per Invoice'!R$2:R$401,$X213)))</f>
        <v/>
      </c>
      <c r="S213" s="7">
        <f>IF($X213="","",IF(INDEX('Per Invoice'!S$2:S$401,$X213)="","",INDEX('Per Invoice'!S$2:S$401,$X213)))</f>
        <v/>
      </c>
      <c r="T213" s="7">
        <f>IF($X213="","",IF(INDEX('Per Invoice'!T$2:T$401,$X213)="","",INDEX('Per Invoice'!T$2:T$401,$X213)))</f>
        <v/>
      </c>
      <c r="U213" s="7">
        <f>IF($X213="","",IF(INDEX('Per Invoice'!U$2:U$401,$X213)="","",INDEX('Per Invoice'!U$2:U$401,$X213)))</f>
        <v/>
      </c>
      <c r="V213" s="7">
        <f>IF($X213="","",IF(INDEX('Per Invoice'!V$2:V$401,$X213)="","",INDEX('Per Invoice'!V$2:V$401,$X213)))</f>
        <v/>
      </c>
      <c r="W213" s="7">
        <f>IF($X213="","",IF(INDEX('Per Invoice'!W$2:W$401,$X213)="","",INDEX('Per Invoice'!W$2:W$401,$X213)))</f>
        <v/>
      </c>
      <c r="X213" s="16">
        <f>IFERROR(MATCH(Settings!$C$33&amp;"|"&amp;ROWS($X$2:$X213),'Per Invoice'!$Y$2:$Y$401,0),"")</f>
        <v/>
      </c>
    </row>
    <row r="214">
      <c r="A214">
        <f>IF($X214="","",IF(INDEX('Per Invoice'!A$2:A$401,$X214)="","",INDEX('Per Invoice'!A$2:A$401,$X214)))</f>
        <v/>
      </c>
      <c r="B214">
        <f>IF($X214="","",IF(INDEX('Per Invoice'!B$2:B$401,$X214)="","",INDEX('Per Invoice'!B$2:B$401,$X214)))</f>
        <v/>
      </c>
      <c r="C214">
        <f>IF($X214="","",IF(INDEX('Per Invoice'!C$2:C$401,$X214)="","",INDEX('Per Invoice'!C$2:C$401,$X214)))</f>
        <v/>
      </c>
      <c r="D214">
        <f>IF($X214="","",IF(INDEX('Per Invoice'!D$2:D$401,$X214)="","",INDEX('Per Invoice'!D$2:D$401,$X214)))</f>
        <v/>
      </c>
      <c r="E214">
        <f>IF($X214="","",IF(INDEX('Per Invoice'!E$2:E$401,$X214)="","",INDEX('Per Invoice'!E$2:E$401,$X214)))</f>
        <v/>
      </c>
      <c r="F214">
        <f>IF($X214="","",IF(INDEX('Per Invoice'!F$2:F$401,$X214)="","",INDEX('Per Invoice'!F$2:F$401,$X214)))</f>
        <v/>
      </c>
      <c r="G214">
        <f>IF($X214="","",IF(INDEX('Per Invoice'!G$2:G$401,$X214)="","",INDEX('Per Invoice'!G$2:G$401,$X214)))</f>
        <v/>
      </c>
      <c r="H214">
        <f>IF($X214="","",IF(INDEX('Per Invoice'!H$2:H$401,$X214)="","",INDEX('Per Invoice'!H$2:H$401,$X214)))</f>
        <v/>
      </c>
      <c r="I214">
        <f>IF($X214="","",IF(INDEX('Per Invoice'!I$2:I$401,$X214)="","",INDEX('Per Invoice'!I$2:I$401,$X214)))</f>
        <v/>
      </c>
      <c r="J214">
        <f>IF($X214="","",IF(INDEX('Per Invoice'!J$2:J$401,$X214)="","",INDEX('Per Invoice'!J$2:J$401,$X214)))</f>
        <v/>
      </c>
      <c r="K214" s="14">
        <f>IF($X214="","",IF(INDEX('Per Invoice'!K$2:K$401,$X214)="","",INDEX('Per Invoice'!K$2:K$401,$X214)))</f>
        <v/>
      </c>
      <c r="L214">
        <f>IF($X214="","",IF(INDEX('Per Invoice'!L$2:L$401,$X214)="","",INDEX('Per Invoice'!L$2:L$401,$X214)))</f>
        <v/>
      </c>
      <c r="M214" s="7">
        <f>IF($X214="","",IF(INDEX('Per Invoice'!M$2:M$401,$X214)="","",INDEX('Per Invoice'!M$2:M$401,$X214)))</f>
        <v/>
      </c>
      <c r="N214">
        <f>IF($X214="","",IF(INDEX('Per Invoice'!N$2:N$401,$X214)="","",INDEX('Per Invoice'!N$2:N$401,$X214)))</f>
        <v/>
      </c>
      <c r="O214" s="7">
        <f>IF($X214="","",IF(INDEX('Per Invoice'!O$2:O$401,$X214)="","",INDEX('Per Invoice'!O$2:O$401,$X214)))</f>
        <v/>
      </c>
      <c r="P214" s="7">
        <f>IF($X214="","",IF(INDEX('Per Invoice'!P$2:P$401,$X214)="","",INDEX('Per Invoice'!P$2:P$401,$X214)))</f>
        <v/>
      </c>
      <c r="Q214">
        <f>IF($X214="","",IF(INDEX('Per Invoice'!Q$2:Q$401,$X214)="","",INDEX('Per Invoice'!Q$2:Q$401,$X214)))</f>
        <v/>
      </c>
      <c r="R214" s="7">
        <f>IF($X214="","",IF(INDEX('Per Invoice'!R$2:R$401,$X214)="","",INDEX('Per Invoice'!R$2:R$401,$X214)))</f>
        <v/>
      </c>
      <c r="S214" s="7">
        <f>IF($X214="","",IF(INDEX('Per Invoice'!S$2:S$401,$X214)="","",INDEX('Per Invoice'!S$2:S$401,$X214)))</f>
        <v/>
      </c>
      <c r="T214" s="7">
        <f>IF($X214="","",IF(INDEX('Per Invoice'!T$2:T$401,$X214)="","",INDEX('Per Invoice'!T$2:T$401,$X214)))</f>
        <v/>
      </c>
      <c r="U214" s="7">
        <f>IF($X214="","",IF(INDEX('Per Invoice'!U$2:U$401,$X214)="","",INDEX('Per Invoice'!U$2:U$401,$X214)))</f>
        <v/>
      </c>
      <c r="V214" s="7">
        <f>IF($X214="","",IF(INDEX('Per Invoice'!V$2:V$401,$X214)="","",INDEX('Per Invoice'!V$2:V$401,$X214)))</f>
        <v/>
      </c>
      <c r="W214" s="7">
        <f>IF($X214="","",IF(INDEX('Per Invoice'!W$2:W$401,$X214)="","",INDEX('Per Invoice'!W$2:W$401,$X214)))</f>
        <v/>
      </c>
      <c r="X214" s="16">
        <f>IFERROR(MATCH(Settings!$C$33&amp;"|"&amp;ROWS($X$2:$X214),'Per Invoice'!$Y$2:$Y$401,0),"")</f>
        <v/>
      </c>
    </row>
    <row r="215">
      <c r="A215">
        <f>IF($X215="","",IF(INDEX('Per Invoice'!A$2:A$401,$X215)="","",INDEX('Per Invoice'!A$2:A$401,$X215)))</f>
        <v/>
      </c>
      <c r="B215">
        <f>IF($X215="","",IF(INDEX('Per Invoice'!B$2:B$401,$X215)="","",INDEX('Per Invoice'!B$2:B$401,$X215)))</f>
        <v/>
      </c>
      <c r="C215">
        <f>IF($X215="","",IF(INDEX('Per Invoice'!C$2:C$401,$X215)="","",INDEX('Per Invoice'!C$2:C$401,$X215)))</f>
        <v/>
      </c>
      <c r="D215">
        <f>IF($X215="","",IF(INDEX('Per Invoice'!D$2:D$401,$X215)="","",INDEX('Per Invoice'!D$2:D$401,$X215)))</f>
        <v/>
      </c>
      <c r="E215">
        <f>IF($X215="","",IF(INDEX('Per Invoice'!E$2:E$401,$X215)="","",INDEX('Per Invoice'!E$2:E$401,$X215)))</f>
        <v/>
      </c>
      <c r="F215">
        <f>IF($X215="","",IF(INDEX('Per Invoice'!F$2:F$401,$X215)="","",INDEX('Per Invoice'!F$2:F$401,$X215)))</f>
        <v/>
      </c>
      <c r="G215">
        <f>IF($X215="","",IF(INDEX('Per Invoice'!G$2:G$401,$X215)="","",INDEX('Per Invoice'!G$2:G$401,$X215)))</f>
        <v/>
      </c>
      <c r="H215">
        <f>IF($X215="","",IF(INDEX('Per Invoice'!H$2:H$401,$X215)="","",INDEX('Per Invoice'!H$2:H$401,$X215)))</f>
        <v/>
      </c>
      <c r="I215">
        <f>IF($X215="","",IF(INDEX('Per Invoice'!I$2:I$401,$X215)="","",INDEX('Per Invoice'!I$2:I$401,$X215)))</f>
        <v/>
      </c>
      <c r="J215">
        <f>IF($X215="","",IF(INDEX('Per Invoice'!J$2:J$401,$X215)="","",INDEX('Per Invoice'!J$2:J$401,$X215)))</f>
        <v/>
      </c>
      <c r="K215" s="14">
        <f>IF($X215="","",IF(INDEX('Per Invoice'!K$2:K$401,$X215)="","",INDEX('Per Invoice'!K$2:K$401,$X215)))</f>
        <v/>
      </c>
      <c r="L215">
        <f>IF($X215="","",IF(INDEX('Per Invoice'!L$2:L$401,$X215)="","",INDEX('Per Invoice'!L$2:L$401,$X215)))</f>
        <v/>
      </c>
      <c r="M215" s="7">
        <f>IF($X215="","",IF(INDEX('Per Invoice'!M$2:M$401,$X215)="","",INDEX('Per Invoice'!M$2:M$401,$X215)))</f>
        <v/>
      </c>
      <c r="N215">
        <f>IF($X215="","",IF(INDEX('Per Invoice'!N$2:N$401,$X215)="","",INDEX('Per Invoice'!N$2:N$401,$X215)))</f>
        <v/>
      </c>
      <c r="O215" s="7">
        <f>IF($X215="","",IF(INDEX('Per Invoice'!O$2:O$401,$X215)="","",INDEX('Per Invoice'!O$2:O$401,$X215)))</f>
        <v/>
      </c>
      <c r="P215" s="7">
        <f>IF($X215="","",IF(INDEX('Per Invoice'!P$2:P$401,$X215)="","",INDEX('Per Invoice'!P$2:P$401,$X215)))</f>
        <v/>
      </c>
      <c r="Q215">
        <f>IF($X215="","",IF(INDEX('Per Invoice'!Q$2:Q$401,$X215)="","",INDEX('Per Invoice'!Q$2:Q$401,$X215)))</f>
        <v/>
      </c>
      <c r="R215" s="7">
        <f>IF($X215="","",IF(INDEX('Per Invoice'!R$2:R$401,$X215)="","",INDEX('Per Invoice'!R$2:R$401,$X215)))</f>
        <v/>
      </c>
      <c r="S215" s="7">
        <f>IF($X215="","",IF(INDEX('Per Invoice'!S$2:S$401,$X215)="","",INDEX('Per Invoice'!S$2:S$401,$X215)))</f>
        <v/>
      </c>
      <c r="T215" s="7">
        <f>IF($X215="","",IF(INDEX('Per Invoice'!T$2:T$401,$X215)="","",INDEX('Per Invoice'!T$2:T$401,$X215)))</f>
        <v/>
      </c>
      <c r="U215" s="7">
        <f>IF($X215="","",IF(INDEX('Per Invoice'!U$2:U$401,$X215)="","",INDEX('Per Invoice'!U$2:U$401,$X215)))</f>
        <v/>
      </c>
      <c r="V215" s="7">
        <f>IF($X215="","",IF(INDEX('Per Invoice'!V$2:V$401,$X215)="","",INDEX('Per Invoice'!V$2:V$401,$X215)))</f>
        <v/>
      </c>
      <c r="W215" s="7">
        <f>IF($X215="","",IF(INDEX('Per Invoice'!W$2:W$401,$X215)="","",INDEX('Per Invoice'!W$2:W$401,$X215)))</f>
        <v/>
      </c>
      <c r="X215" s="16">
        <f>IFERROR(MATCH(Settings!$C$33&amp;"|"&amp;ROWS($X$2:$X215),'Per Invoice'!$Y$2:$Y$401,0),"")</f>
        <v/>
      </c>
    </row>
    <row r="216">
      <c r="A216">
        <f>IF($X216="","",IF(INDEX('Per Invoice'!A$2:A$401,$X216)="","",INDEX('Per Invoice'!A$2:A$401,$X216)))</f>
        <v/>
      </c>
      <c r="B216">
        <f>IF($X216="","",IF(INDEX('Per Invoice'!B$2:B$401,$X216)="","",INDEX('Per Invoice'!B$2:B$401,$X216)))</f>
        <v/>
      </c>
      <c r="C216">
        <f>IF($X216="","",IF(INDEX('Per Invoice'!C$2:C$401,$X216)="","",INDEX('Per Invoice'!C$2:C$401,$X216)))</f>
        <v/>
      </c>
      <c r="D216">
        <f>IF($X216="","",IF(INDEX('Per Invoice'!D$2:D$401,$X216)="","",INDEX('Per Invoice'!D$2:D$401,$X216)))</f>
        <v/>
      </c>
      <c r="E216">
        <f>IF($X216="","",IF(INDEX('Per Invoice'!E$2:E$401,$X216)="","",INDEX('Per Invoice'!E$2:E$401,$X216)))</f>
        <v/>
      </c>
      <c r="F216">
        <f>IF($X216="","",IF(INDEX('Per Invoice'!F$2:F$401,$X216)="","",INDEX('Per Invoice'!F$2:F$401,$X216)))</f>
        <v/>
      </c>
      <c r="G216">
        <f>IF($X216="","",IF(INDEX('Per Invoice'!G$2:G$401,$X216)="","",INDEX('Per Invoice'!G$2:G$401,$X216)))</f>
        <v/>
      </c>
      <c r="H216">
        <f>IF($X216="","",IF(INDEX('Per Invoice'!H$2:H$401,$X216)="","",INDEX('Per Invoice'!H$2:H$401,$X216)))</f>
        <v/>
      </c>
      <c r="I216">
        <f>IF($X216="","",IF(INDEX('Per Invoice'!I$2:I$401,$X216)="","",INDEX('Per Invoice'!I$2:I$401,$X216)))</f>
        <v/>
      </c>
      <c r="J216">
        <f>IF($X216="","",IF(INDEX('Per Invoice'!J$2:J$401,$X216)="","",INDEX('Per Invoice'!J$2:J$401,$X216)))</f>
        <v/>
      </c>
      <c r="K216" s="14">
        <f>IF($X216="","",IF(INDEX('Per Invoice'!K$2:K$401,$X216)="","",INDEX('Per Invoice'!K$2:K$401,$X216)))</f>
        <v/>
      </c>
      <c r="L216">
        <f>IF($X216="","",IF(INDEX('Per Invoice'!L$2:L$401,$X216)="","",INDEX('Per Invoice'!L$2:L$401,$X216)))</f>
        <v/>
      </c>
      <c r="M216" s="7">
        <f>IF($X216="","",IF(INDEX('Per Invoice'!M$2:M$401,$X216)="","",INDEX('Per Invoice'!M$2:M$401,$X216)))</f>
        <v/>
      </c>
      <c r="N216">
        <f>IF($X216="","",IF(INDEX('Per Invoice'!N$2:N$401,$X216)="","",INDEX('Per Invoice'!N$2:N$401,$X216)))</f>
        <v/>
      </c>
      <c r="O216" s="7">
        <f>IF($X216="","",IF(INDEX('Per Invoice'!O$2:O$401,$X216)="","",INDEX('Per Invoice'!O$2:O$401,$X216)))</f>
        <v/>
      </c>
      <c r="P216" s="7">
        <f>IF($X216="","",IF(INDEX('Per Invoice'!P$2:P$401,$X216)="","",INDEX('Per Invoice'!P$2:P$401,$X216)))</f>
        <v/>
      </c>
      <c r="Q216">
        <f>IF($X216="","",IF(INDEX('Per Invoice'!Q$2:Q$401,$X216)="","",INDEX('Per Invoice'!Q$2:Q$401,$X216)))</f>
        <v/>
      </c>
      <c r="R216" s="7">
        <f>IF($X216="","",IF(INDEX('Per Invoice'!R$2:R$401,$X216)="","",INDEX('Per Invoice'!R$2:R$401,$X216)))</f>
        <v/>
      </c>
      <c r="S216" s="7">
        <f>IF($X216="","",IF(INDEX('Per Invoice'!S$2:S$401,$X216)="","",INDEX('Per Invoice'!S$2:S$401,$X216)))</f>
        <v/>
      </c>
      <c r="T216" s="7">
        <f>IF($X216="","",IF(INDEX('Per Invoice'!T$2:T$401,$X216)="","",INDEX('Per Invoice'!T$2:T$401,$X216)))</f>
        <v/>
      </c>
      <c r="U216" s="7">
        <f>IF($X216="","",IF(INDEX('Per Invoice'!U$2:U$401,$X216)="","",INDEX('Per Invoice'!U$2:U$401,$X216)))</f>
        <v/>
      </c>
      <c r="V216" s="7">
        <f>IF($X216="","",IF(INDEX('Per Invoice'!V$2:V$401,$X216)="","",INDEX('Per Invoice'!V$2:V$401,$X216)))</f>
        <v/>
      </c>
      <c r="W216" s="7">
        <f>IF($X216="","",IF(INDEX('Per Invoice'!W$2:W$401,$X216)="","",INDEX('Per Invoice'!W$2:W$401,$X216)))</f>
        <v/>
      </c>
      <c r="X216" s="16">
        <f>IFERROR(MATCH(Settings!$C$33&amp;"|"&amp;ROWS($X$2:$X216),'Per Invoice'!$Y$2:$Y$401,0),"")</f>
        <v/>
      </c>
    </row>
    <row r="217">
      <c r="A217">
        <f>IF($X217="","",IF(INDEX('Per Invoice'!A$2:A$401,$X217)="","",INDEX('Per Invoice'!A$2:A$401,$X217)))</f>
        <v/>
      </c>
      <c r="B217">
        <f>IF($X217="","",IF(INDEX('Per Invoice'!B$2:B$401,$X217)="","",INDEX('Per Invoice'!B$2:B$401,$X217)))</f>
        <v/>
      </c>
      <c r="C217">
        <f>IF($X217="","",IF(INDEX('Per Invoice'!C$2:C$401,$X217)="","",INDEX('Per Invoice'!C$2:C$401,$X217)))</f>
        <v/>
      </c>
      <c r="D217">
        <f>IF($X217="","",IF(INDEX('Per Invoice'!D$2:D$401,$X217)="","",INDEX('Per Invoice'!D$2:D$401,$X217)))</f>
        <v/>
      </c>
      <c r="E217">
        <f>IF($X217="","",IF(INDEX('Per Invoice'!E$2:E$401,$X217)="","",INDEX('Per Invoice'!E$2:E$401,$X217)))</f>
        <v/>
      </c>
      <c r="F217">
        <f>IF($X217="","",IF(INDEX('Per Invoice'!F$2:F$401,$X217)="","",INDEX('Per Invoice'!F$2:F$401,$X217)))</f>
        <v/>
      </c>
      <c r="G217">
        <f>IF($X217="","",IF(INDEX('Per Invoice'!G$2:G$401,$X217)="","",INDEX('Per Invoice'!G$2:G$401,$X217)))</f>
        <v/>
      </c>
      <c r="H217">
        <f>IF($X217="","",IF(INDEX('Per Invoice'!H$2:H$401,$X217)="","",INDEX('Per Invoice'!H$2:H$401,$X217)))</f>
        <v/>
      </c>
      <c r="I217">
        <f>IF($X217="","",IF(INDEX('Per Invoice'!I$2:I$401,$X217)="","",INDEX('Per Invoice'!I$2:I$401,$X217)))</f>
        <v/>
      </c>
      <c r="J217">
        <f>IF($X217="","",IF(INDEX('Per Invoice'!J$2:J$401,$X217)="","",INDEX('Per Invoice'!J$2:J$401,$X217)))</f>
        <v/>
      </c>
      <c r="K217" s="14">
        <f>IF($X217="","",IF(INDEX('Per Invoice'!K$2:K$401,$X217)="","",INDEX('Per Invoice'!K$2:K$401,$X217)))</f>
        <v/>
      </c>
      <c r="L217">
        <f>IF($X217="","",IF(INDEX('Per Invoice'!L$2:L$401,$X217)="","",INDEX('Per Invoice'!L$2:L$401,$X217)))</f>
        <v/>
      </c>
      <c r="M217" s="7">
        <f>IF($X217="","",IF(INDEX('Per Invoice'!M$2:M$401,$X217)="","",INDEX('Per Invoice'!M$2:M$401,$X217)))</f>
        <v/>
      </c>
      <c r="N217">
        <f>IF($X217="","",IF(INDEX('Per Invoice'!N$2:N$401,$X217)="","",INDEX('Per Invoice'!N$2:N$401,$X217)))</f>
        <v/>
      </c>
      <c r="O217" s="7">
        <f>IF($X217="","",IF(INDEX('Per Invoice'!O$2:O$401,$X217)="","",INDEX('Per Invoice'!O$2:O$401,$X217)))</f>
        <v/>
      </c>
      <c r="P217" s="7">
        <f>IF($X217="","",IF(INDEX('Per Invoice'!P$2:P$401,$X217)="","",INDEX('Per Invoice'!P$2:P$401,$X217)))</f>
        <v/>
      </c>
      <c r="Q217">
        <f>IF($X217="","",IF(INDEX('Per Invoice'!Q$2:Q$401,$X217)="","",INDEX('Per Invoice'!Q$2:Q$401,$X217)))</f>
        <v/>
      </c>
      <c r="R217" s="7">
        <f>IF($X217="","",IF(INDEX('Per Invoice'!R$2:R$401,$X217)="","",INDEX('Per Invoice'!R$2:R$401,$X217)))</f>
        <v/>
      </c>
      <c r="S217" s="7">
        <f>IF($X217="","",IF(INDEX('Per Invoice'!S$2:S$401,$X217)="","",INDEX('Per Invoice'!S$2:S$401,$X217)))</f>
        <v/>
      </c>
      <c r="T217" s="7">
        <f>IF($X217="","",IF(INDEX('Per Invoice'!T$2:T$401,$X217)="","",INDEX('Per Invoice'!T$2:T$401,$X217)))</f>
        <v/>
      </c>
      <c r="U217" s="7">
        <f>IF($X217="","",IF(INDEX('Per Invoice'!U$2:U$401,$X217)="","",INDEX('Per Invoice'!U$2:U$401,$X217)))</f>
        <v/>
      </c>
      <c r="V217" s="7">
        <f>IF($X217="","",IF(INDEX('Per Invoice'!V$2:V$401,$X217)="","",INDEX('Per Invoice'!V$2:V$401,$X217)))</f>
        <v/>
      </c>
      <c r="W217" s="7">
        <f>IF($X217="","",IF(INDEX('Per Invoice'!W$2:W$401,$X217)="","",INDEX('Per Invoice'!W$2:W$401,$X217)))</f>
        <v/>
      </c>
      <c r="X217" s="16">
        <f>IFERROR(MATCH(Settings!$C$33&amp;"|"&amp;ROWS($X$2:$X217),'Per Invoice'!$Y$2:$Y$401,0),"")</f>
        <v/>
      </c>
    </row>
    <row r="218">
      <c r="A218">
        <f>IF($X218="","",IF(INDEX('Per Invoice'!A$2:A$401,$X218)="","",INDEX('Per Invoice'!A$2:A$401,$X218)))</f>
        <v/>
      </c>
      <c r="B218">
        <f>IF($X218="","",IF(INDEX('Per Invoice'!B$2:B$401,$X218)="","",INDEX('Per Invoice'!B$2:B$401,$X218)))</f>
        <v/>
      </c>
      <c r="C218">
        <f>IF($X218="","",IF(INDEX('Per Invoice'!C$2:C$401,$X218)="","",INDEX('Per Invoice'!C$2:C$401,$X218)))</f>
        <v/>
      </c>
      <c r="D218">
        <f>IF($X218="","",IF(INDEX('Per Invoice'!D$2:D$401,$X218)="","",INDEX('Per Invoice'!D$2:D$401,$X218)))</f>
        <v/>
      </c>
      <c r="E218">
        <f>IF($X218="","",IF(INDEX('Per Invoice'!E$2:E$401,$X218)="","",INDEX('Per Invoice'!E$2:E$401,$X218)))</f>
        <v/>
      </c>
      <c r="F218">
        <f>IF($X218="","",IF(INDEX('Per Invoice'!F$2:F$401,$X218)="","",INDEX('Per Invoice'!F$2:F$401,$X218)))</f>
        <v/>
      </c>
      <c r="G218">
        <f>IF($X218="","",IF(INDEX('Per Invoice'!G$2:G$401,$X218)="","",INDEX('Per Invoice'!G$2:G$401,$X218)))</f>
        <v/>
      </c>
      <c r="H218">
        <f>IF($X218="","",IF(INDEX('Per Invoice'!H$2:H$401,$X218)="","",INDEX('Per Invoice'!H$2:H$401,$X218)))</f>
        <v/>
      </c>
      <c r="I218">
        <f>IF($X218="","",IF(INDEX('Per Invoice'!I$2:I$401,$X218)="","",INDEX('Per Invoice'!I$2:I$401,$X218)))</f>
        <v/>
      </c>
      <c r="J218">
        <f>IF($X218="","",IF(INDEX('Per Invoice'!J$2:J$401,$X218)="","",INDEX('Per Invoice'!J$2:J$401,$X218)))</f>
        <v/>
      </c>
      <c r="K218" s="14">
        <f>IF($X218="","",IF(INDEX('Per Invoice'!K$2:K$401,$X218)="","",INDEX('Per Invoice'!K$2:K$401,$X218)))</f>
        <v/>
      </c>
      <c r="L218">
        <f>IF($X218="","",IF(INDEX('Per Invoice'!L$2:L$401,$X218)="","",INDEX('Per Invoice'!L$2:L$401,$X218)))</f>
        <v/>
      </c>
      <c r="M218" s="7">
        <f>IF($X218="","",IF(INDEX('Per Invoice'!M$2:M$401,$X218)="","",INDEX('Per Invoice'!M$2:M$401,$X218)))</f>
        <v/>
      </c>
      <c r="N218">
        <f>IF($X218="","",IF(INDEX('Per Invoice'!N$2:N$401,$X218)="","",INDEX('Per Invoice'!N$2:N$401,$X218)))</f>
        <v/>
      </c>
      <c r="O218" s="7">
        <f>IF($X218="","",IF(INDEX('Per Invoice'!O$2:O$401,$X218)="","",INDEX('Per Invoice'!O$2:O$401,$X218)))</f>
        <v/>
      </c>
      <c r="P218" s="7">
        <f>IF($X218="","",IF(INDEX('Per Invoice'!P$2:P$401,$X218)="","",INDEX('Per Invoice'!P$2:P$401,$X218)))</f>
        <v/>
      </c>
      <c r="Q218">
        <f>IF($X218="","",IF(INDEX('Per Invoice'!Q$2:Q$401,$X218)="","",INDEX('Per Invoice'!Q$2:Q$401,$X218)))</f>
        <v/>
      </c>
      <c r="R218" s="7">
        <f>IF($X218="","",IF(INDEX('Per Invoice'!R$2:R$401,$X218)="","",INDEX('Per Invoice'!R$2:R$401,$X218)))</f>
        <v/>
      </c>
      <c r="S218" s="7">
        <f>IF($X218="","",IF(INDEX('Per Invoice'!S$2:S$401,$X218)="","",INDEX('Per Invoice'!S$2:S$401,$X218)))</f>
        <v/>
      </c>
      <c r="T218" s="7">
        <f>IF($X218="","",IF(INDEX('Per Invoice'!T$2:T$401,$X218)="","",INDEX('Per Invoice'!T$2:T$401,$X218)))</f>
        <v/>
      </c>
      <c r="U218" s="7">
        <f>IF($X218="","",IF(INDEX('Per Invoice'!U$2:U$401,$X218)="","",INDEX('Per Invoice'!U$2:U$401,$X218)))</f>
        <v/>
      </c>
      <c r="V218" s="7">
        <f>IF($X218="","",IF(INDEX('Per Invoice'!V$2:V$401,$X218)="","",INDEX('Per Invoice'!V$2:V$401,$X218)))</f>
        <v/>
      </c>
      <c r="W218" s="7">
        <f>IF($X218="","",IF(INDEX('Per Invoice'!W$2:W$401,$X218)="","",INDEX('Per Invoice'!W$2:W$401,$X218)))</f>
        <v/>
      </c>
      <c r="X218" s="16">
        <f>IFERROR(MATCH(Settings!$C$33&amp;"|"&amp;ROWS($X$2:$X218),'Per Invoice'!$Y$2:$Y$401,0),"")</f>
        <v/>
      </c>
    </row>
    <row r="219">
      <c r="A219">
        <f>IF($X219="","",IF(INDEX('Per Invoice'!A$2:A$401,$X219)="","",INDEX('Per Invoice'!A$2:A$401,$X219)))</f>
        <v/>
      </c>
      <c r="B219">
        <f>IF($X219="","",IF(INDEX('Per Invoice'!B$2:B$401,$X219)="","",INDEX('Per Invoice'!B$2:B$401,$X219)))</f>
        <v/>
      </c>
      <c r="C219">
        <f>IF($X219="","",IF(INDEX('Per Invoice'!C$2:C$401,$X219)="","",INDEX('Per Invoice'!C$2:C$401,$X219)))</f>
        <v/>
      </c>
      <c r="D219">
        <f>IF($X219="","",IF(INDEX('Per Invoice'!D$2:D$401,$X219)="","",INDEX('Per Invoice'!D$2:D$401,$X219)))</f>
        <v/>
      </c>
      <c r="E219">
        <f>IF($X219="","",IF(INDEX('Per Invoice'!E$2:E$401,$X219)="","",INDEX('Per Invoice'!E$2:E$401,$X219)))</f>
        <v/>
      </c>
      <c r="F219">
        <f>IF($X219="","",IF(INDEX('Per Invoice'!F$2:F$401,$X219)="","",INDEX('Per Invoice'!F$2:F$401,$X219)))</f>
        <v/>
      </c>
      <c r="G219">
        <f>IF($X219="","",IF(INDEX('Per Invoice'!G$2:G$401,$X219)="","",INDEX('Per Invoice'!G$2:G$401,$X219)))</f>
        <v/>
      </c>
      <c r="H219">
        <f>IF($X219="","",IF(INDEX('Per Invoice'!H$2:H$401,$X219)="","",INDEX('Per Invoice'!H$2:H$401,$X219)))</f>
        <v/>
      </c>
      <c r="I219">
        <f>IF($X219="","",IF(INDEX('Per Invoice'!I$2:I$401,$X219)="","",INDEX('Per Invoice'!I$2:I$401,$X219)))</f>
        <v/>
      </c>
      <c r="J219">
        <f>IF($X219="","",IF(INDEX('Per Invoice'!J$2:J$401,$X219)="","",INDEX('Per Invoice'!J$2:J$401,$X219)))</f>
        <v/>
      </c>
      <c r="K219" s="14">
        <f>IF($X219="","",IF(INDEX('Per Invoice'!K$2:K$401,$X219)="","",INDEX('Per Invoice'!K$2:K$401,$X219)))</f>
        <v/>
      </c>
      <c r="L219">
        <f>IF($X219="","",IF(INDEX('Per Invoice'!L$2:L$401,$X219)="","",INDEX('Per Invoice'!L$2:L$401,$X219)))</f>
        <v/>
      </c>
      <c r="M219" s="7">
        <f>IF($X219="","",IF(INDEX('Per Invoice'!M$2:M$401,$X219)="","",INDEX('Per Invoice'!M$2:M$401,$X219)))</f>
        <v/>
      </c>
      <c r="N219">
        <f>IF($X219="","",IF(INDEX('Per Invoice'!N$2:N$401,$X219)="","",INDEX('Per Invoice'!N$2:N$401,$X219)))</f>
        <v/>
      </c>
      <c r="O219" s="7">
        <f>IF($X219="","",IF(INDEX('Per Invoice'!O$2:O$401,$X219)="","",INDEX('Per Invoice'!O$2:O$401,$X219)))</f>
        <v/>
      </c>
      <c r="P219" s="7">
        <f>IF($X219="","",IF(INDEX('Per Invoice'!P$2:P$401,$X219)="","",INDEX('Per Invoice'!P$2:P$401,$X219)))</f>
        <v/>
      </c>
      <c r="Q219">
        <f>IF($X219="","",IF(INDEX('Per Invoice'!Q$2:Q$401,$X219)="","",INDEX('Per Invoice'!Q$2:Q$401,$X219)))</f>
        <v/>
      </c>
      <c r="R219" s="7">
        <f>IF($X219="","",IF(INDEX('Per Invoice'!R$2:R$401,$X219)="","",INDEX('Per Invoice'!R$2:R$401,$X219)))</f>
        <v/>
      </c>
      <c r="S219" s="7">
        <f>IF($X219="","",IF(INDEX('Per Invoice'!S$2:S$401,$X219)="","",INDEX('Per Invoice'!S$2:S$401,$X219)))</f>
        <v/>
      </c>
      <c r="T219" s="7">
        <f>IF($X219="","",IF(INDEX('Per Invoice'!T$2:T$401,$X219)="","",INDEX('Per Invoice'!T$2:T$401,$X219)))</f>
        <v/>
      </c>
      <c r="U219" s="7">
        <f>IF($X219="","",IF(INDEX('Per Invoice'!U$2:U$401,$X219)="","",INDEX('Per Invoice'!U$2:U$401,$X219)))</f>
        <v/>
      </c>
      <c r="V219" s="7">
        <f>IF($X219="","",IF(INDEX('Per Invoice'!V$2:V$401,$X219)="","",INDEX('Per Invoice'!V$2:V$401,$X219)))</f>
        <v/>
      </c>
      <c r="W219" s="7">
        <f>IF($X219="","",IF(INDEX('Per Invoice'!W$2:W$401,$X219)="","",INDEX('Per Invoice'!W$2:W$401,$X219)))</f>
        <v/>
      </c>
      <c r="X219" s="16">
        <f>IFERROR(MATCH(Settings!$C$33&amp;"|"&amp;ROWS($X$2:$X219),'Per Invoice'!$Y$2:$Y$401,0),"")</f>
        <v/>
      </c>
    </row>
    <row r="220">
      <c r="A220">
        <f>IF($X220="","",IF(INDEX('Per Invoice'!A$2:A$401,$X220)="","",INDEX('Per Invoice'!A$2:A$401,$X220)))</f>
        <v/>
      </c>
      <c r="B220">
        <f>IF($X220="","",IF(INDEX('Per Invoice'!B$2:B$401,$X220)="","",INDEX('Per Invoice'!B$2:B$401,$X220)))</f>
        <v/>
      </c>
      <c r="C220">
        <f>IF($X220="","",IF(INDEX('Per Invoice'!C$2:C$401,$X220)="","",INDEX('Per Invoice'!C$2:C$401,$X220)))</f>
        <v/>
      </c>
      <c r="D220">
        <f>IF($X220="","",IF(INDEX('Per Invoice'!D$2:D$401,$X220)="","",INDEX('Per Invoice'!D$2:D$401,$X220)))</f>
        <v/>
      </c>
      <c r="E220">
        <f>IF($X220="","",IF(INDEX('Per Invoice'!E$2:E$401,$X220)="","",INDEX('Per Invoice'!E$2:E$401,$X220)))</f>
        <v/>
      </c>
      <c r="F220">
        <f>IF($X220="","",IF(INDEX('Per Invoice'!F$2:F$401,$X220)="","",INDEX('Per Invoice'!F$2:F$401,$X220)))</f>
        <v/>
      </c>
      <c r="G220">
        <f>IF($X220="","",IF(INDEX('Per Invoice'!G$2:G$401,$X220)="","",INDEX('Per Invoice'!G$2:G$401,$X220)))</f>
        <v/>
      </c>
      <c r="H220">
        <f>IF($X220="","",IF(INDEX('Per Invoice'!H$2:H$401,$X220)="","",INDEX('Per Invoice'!H$2:H$401,$X220)))</f>
        <v/>
      </c>
      <c r="I220">
        <f>IF($X220="","",IF(INDEX('Per Invoice'!I$2:I$401,$X220)="","",INDEX('Per Invoice'!I$2:I$401,$X220)))</f>
        <v/>
      </c>
      <c r="J220">
        <f>IF($X220="","",IF(INDEX('Per Invoice'!J$2:J$401,$X220)="","",INDEX('Per Invoice'!J$2:J$401,$X220)))</f>
        <v/>
      </c>
      <c r="K220" s="14">
        <f>IF($X220="","",IF(INDEX('Per Invoice'!K$2:K$401,$X220)="","",INDEX('Per Invoice'!K$2:K$401,$X220)))</f>
        <v/>
      </c>
      <c r="L220">
        <f>IF($X220="","",IF(INDEX('Per Invoice'!L$2:L$401,$X220)="","",INDEX('Per Invoice'!L$2:L$401,$X220)))</f>
        <v/>
      </c>
      <c r="M220" s="7">
        <f>IF($X220="","",IF(INDEX('Per Invoice'!M$2:M$401,$X220)="","",INDEX('Per Invoice'!M$2:M$401,$X220)))</f>
        <v/>
      </c>
      <c r="N220">
        <f>IF($X220="","",IF(INDEX('Per Invoice'!N$2:N$401,$X220)="","",INDEX('Per Invoice'!N$2:N$401,$X220)))</f>
        <v/>
      </c>
      <c r="O220" s="7">
        <f>IF($X220="","",IF(INDEX('Per Invoice'!O$2:O$401,$X220)="","",INDEX('Per Invoice'!O$2:O$401,$X220)))</f>
        <v/>
      </c>
      <c r="P220" s="7">
        <f>IF($X220="","",IF(INDEX('Per Invoice'!P$2:P$401,$X220)="","",INDEX('Per Invoice'!P$2:P$401,$X220)))</f>
        <v/>
      </c>
      <c r="Q220">
        <f>IF($X220="","",IF(INDEX('Per Invoice'!Q$2:Q$401,$X220)="","",INDEX('Per Invoice'!Q$2:Q$401,$X220)))</f>
        <v/>
      </c>
      <c r="R220" s="7">
        <f>IF($X220="","",IF(INDEX('Per Invoice'!R$2:R$401,$X220)="","",INDEX('Per Invoice'!R$2:R$401,$X220)))</f>
        <v/>
      </c>
      <c r="S220" s="7">
        <f>IF($X220="","",IF(INDEX('Per Invoice'!S$2:S$401,$X220)="","",INDEX('Per Invoice'!S$2:S$401,$X220)))</f>
        <v/>
      </c>
      <c r="T220" s="7">
        <f>IF($X220="","",IF(INDEX('Per Invoice'!T$2:T$401,$X220)="","",INDEX('Per Invoice'!T$2:T$401,$X220)))</f>
        <v/>
      </c>
      <c r="U220" s="7">
        <f>IF($X220="","",IF(INDEX('Per Invoice'!U$2:U$401,$X220)="","",INDEX('Per Invoice'!U$2:U$401,$X220)))</f>
        <v/>
      </c>
      <c r="V220" s="7">
        <f>IF($X220="","",IF(INDEX('Per Invoice'!V$2:V$401,$X220)="","",INDEX('Per Invoice'!V$2:V$401,$X220)))</f>
        <v/>
      </c>
      <c r="W220" s="7">
        <f>IF($X220="","",IF(INDEX('Per Invoice'!W$2:W$401,$X220)="","",INDEX('Per Invoice'!W$2:W$401,$X220)))</f>
        <v/>
      </c>
      <c r="X220" s="16">
        <f>IFERROR(MATCH(Settings!$C$33&amp;"|"&amp;ROWS($X$2:$X220),'Per Invoice'!$Y$2:$Y$401,0),"")</f>
        <v/>
      </c>
    </row>
    <row r="221">
      <c r="A221">
        <f>IF($X221="","",IF(INDEX('Per Invoice'!A$2:A$401,$X221)="","",INDEX('Per Invoice'!A$2:A$401,$X221)))</f>
        <v/>
      </c>
      <c r="B221">
        <f>IF($X221="","",IF(INDEX('Per Invoice'!B$2:B$401,$X221)="","",INDEX('Per Invoice'!B$2:B$401,$X221)))</f>
        <v/>
      </c>
      <c r="C221">
        <f>IF($X221="","",IF(INDEX('Per Invoice'!C$2:C$401,$X221)="","",INDEX('Per Invoice'!C$2:C$401,$X221)))</f>
        <v/>
      </c>
      <c r="D221">
        <f>IF($X221="","",IF(INDEX('Per Invoice'!D$2:D$401,$X221)="","",INDEX('Per Invoice'!D$2:D$401,$X221)))</f>
        <v/>
      </c>
      <c r="E221">
        <f>IF($X221="","",IF(INDEX('Per Invoice'!E$2:E$401,$X221)="","",INDEX('Per Invoice'!E$2:E$401,$X221)))</f>
        <v/>
      </c>
      <c r="F221">
        <f>IF($X221="","",IF(INDEX('Per Invoice'!F$2:F$401,$X221)="","",INDEX('Per Invoice'!F$2:F$401,$X221)))</f>
        <v/>
      </c>
      <c r="G221">
        <f>IF($X221="","",IF(INDEX('Per Invoice'!G$2:G$401,$X221)="","",INDEX('Per Invoice'!G$2:G$401,$X221)))</f>
        <v/>
      </c>
      <c r="H221">
        <f>IF($X221="","",IF(INDEX('Per Invoice'!H$2:H$401,$X221)="","",INDEX('Per Invoice'!H$2:H$401,$X221)))</f>
        <v/>
      </c>
      <c r="I221">
        <f>IF($X221="","",IF(INDEX('Per Invoice'!I$2:I$401,$X221)="","",INDEX('Per Invoice'!I$2:I$401,$X221)))</f>
        <v/>
      </c>
      <c r="J221">
        <f>IF($X221="","",IF(INDEX('Per Invoice'!J$2:J$401,$X221)="","",INDEX('Per Invoice'!J$2:J$401,$X221)))</f>
        <v/>
      </c>
      <c r="K221" s="14">
        <f>IF($X221="","",IF(INDEX('Per Invoice'!K$2:K$401,$X221)="","",INDEX('Per Invoice'!K$2:K$401,$X221)))</f>
        <v/>
      </c>
      <c r="L221">
        <f>IF($X221="","",IF(INDEX('Per Invoice'!L$2:L$401,$X221)="","",INDEX('Per Invoice'!L$2:L$401,$X221)))</f>
        <v/>
      </c>
      <c r="M221" s="7">
        <f>IF($X221="","",IF(INDEX('Per Invoice'!M$2:M$401,$X221)="","",INDEX('Per Invoice'!M$2:M$401,$X221)))</f>
        <v/>
      </c>
      <c r="N221">
        <f>IF($X221="","",IF(INDEX('Per Invoice'!N$2:N$401,$X221)="","",INDEX('Per Invoice'!N$2:N$401,$X221)))</f>
        <v/>
      </c>
      <c r="O221" s="7">
        <f>IF($X221="","",IF(INDEX('Per Invoice'!O$2:O$401,$X221)="","",INDEX('Per Invoice'!O$2:O$401,$X221)))</f>
        <v/>
      </c>
      <c r="P221" s="7">
        <f>IF($X221="","",IF(INDEX('Per Invoice'!P$2:P$401,$X221)="","",INDEX('Per Invoice'!P$2:P$401,$X221)))</f>
        <v/>
      </c>
      <c r="Q221">
        <f>IF($X221="","",IF(INDEX('Per Invoice'!Q$2:Q$401,$X221)="","",INDEX('Per Invoice'!Q$2:Q$401,$X221)))</f>
        <v/>
      </c>
      <c r="R221" s="7">
        <f>IF($X221="","",IF(INDEX('Per Invoice'!R$2:R$401,$X221)="","",INDEX('Per Invoice'!R$2:R$401,$X221)))</f>
        <v/>
      </c>
      <c r="S221" s="7">
        <f>IF($X221="","",IF(INDEX('Per Invoice'!S$2:S$401,$X221)="","",INDEX('Per Invoice'!S$2:S$401,$X221)))</f>
        <v/>
      </c>
      <c r="T221" s="7">
        <f>IF($X221="","",IF(INDEX('Per Invoice'!T$2:T$401,$X221)="","",INDEX('Per Invoice'!T$2:T$401,$X221)))</f>
        <v/>
      </c>
      <c r="U221" s="7">
        <f>IF($X221="","",IF(INDEX('Per Invoice'!U$2:U$401,$X221)="","",INDEX('Per Invoice'!U$2:U$401,$X221)))</f>
        <v/>
      </c>
      <c r="V221" s="7">
        <f>IF($X221="","",IF(INDEX('Per Invoice'!V$2:V$401,$X221)="","",INDEX('Per Invoice'!V$2:V$401,$X221)))</f>
        <v/>
      </c>
      <c r="W221" s="7">
        <f>IF($X221="","",IF(INDEX('Per Invoice'!W$2:W$401,$X221)="","",INDEX('Per Invoice'!W$2:W$401,$X221)))</f>
        <v/>
      </c>
      <c r="X221" s="16">
        <f>IFERROR(MATCH(Settings!$C$33&amp;"|"&amp;ROWS($X$2:$X221),'Per Invoice'!$Y$2:$Y$401,0),"")</f>
        <v/>
      </c>
    </row>
    <row r="222">
      <c r="A222">
        <f>IF($X222="","",IF(INDEX('Per Invoice'!A$2:A$401,$X222)="","",INDEX('Per Invoice'!A$2:A$401,$X222)))</f>
        <v/>
      </c>
      <c r="B222">
        <f>IF($X222="","",IF(INDEX('Per Invoice'!B$2:B$401,$X222)="","",INDEX('Per Invoice'!B$2:B$401,$X222)))</f>
        <v/>
      </c>
      <c r="C222">
        <f>IF($X222="","",IF(INDEX('Per Invoice'!C$2:C$401,$X222)="","",INDEX('Per Invoice'!C$2:C$401,$X222)))</f>
        <v/>
      </c>
      <c r="D222">
        <f>IF($X222="","",IF(INDEX('Per Invoice'!D$2:D$401,$X222)="","",INDEX('Per Invoice'!D$2:D$401,$X222)))</f>
        <v/>
      </c>
      <c r="E222">
        <f>IF($X222="","",IF(INDEX('Per Invoice'!E$2:E$401,$X222)="","",INDEX('Per Invoice'!E$2:E$401,$X222)))</f>
        <v/>
      </c>
      <c r="F222">
        <f>IF($X222="","",IF(INDEX('Per Invoice'!F$2:F$401,$X222)="","",INDEX('Per Invoice'!F$2:F$401,$X222)))</f>
        <v/>
      </c>
      <c r="G222">
        <f>IF($X222="","",IF(INDEX('Per Invoice'!G$2:G$401,$X222)="","",INDEX('Per Invoice'!G$2:G$401,$X222)))</f>
        <v/>
      </c>
      <c r="H222">
        <f>IF($X222="","",IF(INDEX('Per Invoice'!H$2:H$401,$X222)="","",INDEX('Per Invoice'!H$2:H$401,$X222)))</f>
        <v/>
      </c>
      <c r="I222">
        <f>IF($X222="","",IF(INDEX('Per Invoice'!I$2:I$401,$X222)="","",INDEX('Per Invoice'!I$2:I$401,$X222)))</f>
        <v/>
      </c>
      <c r="J222">
        <f>IF($X222="","",IF(INDEX('Per Invoice'!J$2:J$401,$X222)="","",INDEX('Per Invoice'!J$2:J$401,$X222)))</f>
        <v/>
      </c>
      <c r="K222" s="14">
        <f>IF($X222="","",IF(INDEX('Per Invoice'!K$2:K$401,$X222)="","",INDEX('Per Invoice'!K$2:K$401,$X222)))</f>
        <v/>
      </c>
      <c r="L222">
        <f>IF($X222="","",IF(INDEX('Per Invoice'!L$2:L$401,$X222)="","",INDEX('Per Invoice'!L$2:L$401,$X222)))</f>
        <v/>
      </c>
      <c r="M222" s="7">
        <f>IF($X222="","",IF(INDEX('Per Invoice'!M$2:M$401,$X222)="","",INDEX('Per Invoice'!M$2:M$401,$X222)))</f>
        <v/>
      </c>
      <c r="N222">
        <f>IF($X222="","",IF(INDEX('Per Invoice'!N$2:N$401,$X222)="","",INDEX('Per Invoice'!N$2:N$401,$X222)))</f>
        <v/>
      </c>
      <c r="O222" s="7">
        <f>IF($X222="","",IF(INDEX('Per Invoice'!O$2:O$401,$X222)="","",INDEX('Per Invoice'!O$2:O$401,$X222)))</f>
        <v/>
      </c>
      <c r="P222" s="7">
        <f>IF($X222="","",IF(INDEX('Per Invoice'!P$2:P$401,$X222)="","",INDEX('Per Invoice'!P$2:P$401,$X222)))</f>
        <v/>
      </c>
      <c r="Q222">
        <f>IF($X222="","",IF(INDEX('Per Invoice'!Q$2:Q$401,$X222)="","",INDEX('Per Invoice'!Q$2:Q$401,$X222)))</f>
        <v/>
      </c>
      <c r="R222" s="7">
        <f>IF($X222="","",IF(INDEX('Per Invoice'!R$2:R$401,$X222)="","",INDEX('Per Invoice'!R$2:R$401,$X222)))</f>
        <v/>
      </c>
      <c r="S222" s="7">
        <f>IF($X222="","",IF(INDEX('Per Invoice'!S$2:S$401,$X222)="","",INDEX('Per Invoice'!S$2:S$401,$X222)))</f>
        <v/>
      </c>
      <c r="T222" s="7">
        <f>IF($X222="","",IF(INDEX('Per Invoice'!T$2:T$401,$X222)="","",INDEX('Per Invoice'!T$2:T$401,$X222)))</f>
        <v/>
      </c>
      <c r="U222" s="7">
        <f>IF($X222="","",IF(INDEX('Per Invoice'!U$2:U$401,$X222)="","",INDEX('Per Invoice'!U$2:U$401,$X222)))</f>
        <v/>
      </c>
      <c r="V222" s="7">
        <f>IF($X222="","",IF(INDEX('Per Invoice'!V$2:V$401,$X222)="","",INDEX('Per Invoice'!V$2:V$401,$X222)))</f>
        <v/>
      </c>
      <c r="W222" s="7">
        <f>IF($X222="","",IF(INDEX('Per Invoice'!W$2:W$401,$X222)="","",INDEX('Per Invoice'!W$2:W$401,$X222)))</f>
        <v/>
      </c>
      <c r="X222" s="16">
        <f>IFERROR(MATCH(Settings!$C$33&amp;"|"&amp;ROWS($X$2:$X222),'Per Invoice'!$Y$2:$Y$401,0),"")</f>
        <v/>
      </c>
    </row>
    <row r="223">
      <c r="A223">
        <f>IF($X223="","",IF(INDEX('Per Invoice'!A$2:A$401,$X223)="","",INDEX('Per Invoice'!A$2:A$401,$X223)))</f>
        <v/>
      </c>
      <c r="B223">
        <f>IF($X223="","",IF(INDEX('Per Invoice'!B$2:B$401,$X223)="","",INDEX('Per Invoice'!B$2:B$401,$X223)))</f>
        <v/>
      </c>
      <c r="C223">
        <f>IF($X223="","",IF(INDEX('Per Invoice'!C$2:C$401,$X223)="","",INDEX('Per Invoice'!C$2:C$401,$X223)))</f>
        <v/>
      </c>
      <c r="D223">
        <f>IF($X223="","",IF(INDEX('Per Invoice'!D$2:D$401,$X223)="","",INDEX('Per Invoice'!D$2:D$401,$X223)))</f>
        <v/>
      </c>
      <c r="E223">
        <f>IF($X223="","",IF(INDEX('Per Invoice'!E$2:E$401,$X223)="","",INDEX('Per Invoice'!E$2:E$401,$X223)))</f>
        <v/>
      </c>
      <c r="F223">
        <f>IF($X223="","",IF(INDEX('Per Invoice'!F$2:F$401,$X223)="","",INDEX('Per Invoice'!F$2:F$401,$X223)))</f>
        <v/>
      </c>
      <c r="G223">
        <f>IF($X223="","",IF(INDEX('Per Invoice'!G$2:G$401,$X223)="","",INDEX('Per Invoice'!G$2:G$401,$X223)))</f>
        <v/>
      </c>
      <c r="H223">
        <f>IF($X223="","",IF(INDEX('Per Invoice'!H$2:H$401,$X223)="","",INDEX('Per Invoice'!H$2:H$401,$X223)))</f>
        <v/>
      </c>
      <c r="I223">
        <f>IF($X223="","",IF(INDEX('Per Invoice'!I$2:I$401,$X223)="","",INDEX('Per Invoice'!I$2:I$401,$X223)))</f>
        <v/>
      </c>
      <c r="J223">
        <f>IF($X223="","",IF(INDEX('Per Invoice'!J$2:J$401,$X223)="","",INDEX('Per Invoice'!J$2:J$401,$X223)))</f>
        <v/>
      </c>
      <c r="K223" s="14">
        <f>IF($X223="","",IF(INDEX('Per Invoice'!K$2:K$401,$X223)="","",INDEX('Per Invoice'!K$2:K$401,$X223)))</f>
        <v/>
      </c>
      <c r="L223">
        <f>IF($X223="","",IF(INDEX('Per Invoice'!L$2:L$401,$X223)="","",INDEX('Per Invoice'!L$2:L$401,$X223)))</f>
        <v/>
      </c>
      <c r="M223" s="7">
        <f>IF($X223="","",IF(INDEX('Per Invoice'!M$2:M$401,$X223)="","",INDEX('Per Invoice'!M$2:M$401,$X223)))</f>
        <v/>
      </c>
      <c r="N223">
        <f>IF($X223="","",IF(INDEX('Per Invoice'!N$2:N$401,$X223)="","",INDEX('Per Invoice'!N$2:N$401,$X223)))</f>
        <v/>
      </c>
      <c r="O223" s="7">
        <f>IF($X223="","",IF(INDEX('Per Invoice'!O$2:O$401,$X223)="","",INDEX('Per Invoice'!O$2:O$401,$X223)))</f>
        <v/>
      </c>
      <c r="P223" s="7">
        <f>IF($X223="","",IF(INDEX('Per Invoice'!P$2:P$401,$X223)="","",INDEX('Per Invoice'!P$2:P$401,$X223)))</f>
        <v/>
      </c>
      <c r="Q223">
        <f>IF($X223="","",IF(INDEX('Per Invoice'!Q$2:Q$401,$X223)="","",INDEX('Per Invoice'!Q$2:Q$401,$X223)))</f>
        <v/>
      </c>
      <c r="R223" s="7">
        <f>IF($X223="","",IF(INDEX('Per Invoice'!R$2:R$401,$X223)="","",INDEX('Per Invoice'!R$2:R$401,$X223)))</f>
        <v/>
      </c>
      <c r="S223" s="7">
        <f>IF($X223="","",IF(INDEX('Per Invoice'!S$2:S$401,$X223)="","",INDEX('Per Invoice'!S$2:S$401,$X223)))</f>
        <v/>
      </c>
      <c r="T223" s="7">
        <f>IF($X223="","",IF(INDEX('Per Invoice'!T$2:T$401,$X223)="","",INDEX('Per Invoice'!T$2:T$401,$X223)))</f>
        <v/>
      </c>
      <c r="U223" s="7">
        <f>IF($X223="","",IF(INDEX('Per Invoice'!U$2:U$401,$X223)="","",INDEX('Per Invoice'!U$2:U$401,$X223)))</f>
        <v/>
      </c>
      <c r="V223" s="7">
        <f>IF($X223="","",IF(INDEX('Per Invoice'!V$2:V$401,$X223)="","",INDEX('Per Invoice'!V$2:V$401,$X223)))</f>
        <v/>
      </c>
      <c r="W223" s="7">
        <f>IF($X223="","",IF(INDEX('Per Invoice'!W$2:W$401,$X223)="","",INDEX('Per Invoice'!W$2:W$401,$X223)))</f>
        <v/>
      </c>
      <c r="X223" s="16">
        <f>IFERROR(MATCH(Settings!$C$33&amp;"|"&amp;ROWS($X$2:$X223),'Per Invoice'!$Y$2:$Y$401,0),"")</f>
        <v/>
      </c>
    </row>
    <row r="224">
      <c r="A224">
        <f>IF($X224="","",IF(INDEX('Per Invoice'!A$2:A$401,$X224)="","",INDEX('Per Invoice'!A$2:A$401,$X224)))</f>
        <v/>
      </c>
      <c r="B224">
        <f>IF($X224="","",IF(INDEX('Per Invoice'!B$2:B$401,$X224)="","",INDEX('Per Invoice'!B$2:B$401,$X224)))</f>
        <v/>
      </c>
      <c r="C224">
        <f>IF($X224="","",IF(INDEX('Per Invoice'!C$2:C$401,$X224)="","",INDEX('Per Invoice'!C$2:C$401,$X224)))</f>
        <v/>
      </c>
      <c r="D224">
        <f>IF($X224="","",IF(INDEX('Per Invoice'!D$2:D$401,$X224)="","",INDEX('Per Invoice'!D$2:D$401,$X224)))</f>
        <v/>
      </c>
      <c r="E224">
        <f>IF($X224="","",IF(INDEX('Per Invoice'!E$2:E$401,$X224)="","",INDEX('Per Invoice'!E$2:E$401,$X224)))</f>
        <v/>
      </c>
      <c r="F224">
        <f>IF($X224="","",IF(INDEX('Per Invoice'!F$2:F$401,$X224)="","",INDEX('Per Invoice'!F$2:F$401,$X224)))</f>
        <v/>
      </c>
      <c r="G224">
        <f>IF($X224="","",IF(INDEX('Per Invoice'!G$2:G$401,$X224)="","",INDEX('Per Invoice'!G$2:G$401,$X224)))</f>
        <v/>
      </c>
      <c r="H224">
        <f>IF($X224="","",IF(INDEX('Per Invoice'!H$2:H$401,$X224)="","",INDEX('Per Invoice'!H$2:H$401,$X224)))</f>
        <v/>
      </c>
      <c r="I224">
        <f>IF($X224="","",IF(INDEX('Per Invoice'!I$2:I$401,$X224)="","",INDEX('Per Invoice'!I$2:I$401,$X224)))</f>
        <v/>
      </c>
      <c r="J224">
        <f>IF($X224="","",IF(INDEX('Per Invoice'!J$2:J$401,$X224)="","",INDEX('Per Invoice'!J$2:J$401,$X224)))</f>
        <v/>
      </c>
      <c r="K224" s="14">
        <f>IF($X224="","",IF(INDEX('Per Invoice'!K$2:K$401,$X224)="","",INDEX('Per Invoice'!K$2:K$401,$X224)))</f>
        <v/>
      </c>
      <c r="L224">
        <f>IF($X224="","",IF(INDEX('Per Invoice'!L$2:L$401,$X224)="","",INDEX('Per Invoice'!L$2:L$401,$X224)))</f>
        <v/>
      </c>
      <c r="M224" s="7">
        <f>IF($X224="","",IF(INDEX('Per Invoice'!M$2:M$401,$X224)="","",INDEX('Per Invoice'!M$2:M$401,$X224)))</f>
        <v/>
      </c>
      <c r="N224">
        <f>IF($X224="","",IF(INDEX('Per Invoice'!N$2:N$401,$X224)="","",INDEX('Per Invoice'!N$2:N$401,$X224)))</f>
        <v/>
      </c>
      <c r="O224" s="7">
        <f>IF($X224="","",IF(INDEX('Per Invoice'!O$2:O$401,$X224)="","",INDEX('Per Invoice'!O$2:O$401,$X224)))</f>
        <v/>
      </c>
      <c r="P224" s="7">
        <f>IF($X224="","",IF(INDEX('Per Invoice'!P$2:P$401,$X224)="","",INDEX('Per Invoice'!P$2:P$401,$X224)))</f>
        <v/>
      </c>
      <c r="Q224">
        <f>IF($X224="","",IF(INDEX('Per Invoice'!Q$2:Q$401,$X224)="","",INDEX('Per Invoice'!Q$2:Q$401,$X224)))</f>
        <v/>
      </c>
      <c r="R224" s="7">
        <f>IF($X224="","",IF(INDEX('Per Invoice'!R$2:R$401,$X224)="","",INDEX('Per Invoice'!R$2:R$401,$X224)))</f>
        <v/>
      </c>
      <c r="S224" s="7">
        <f>IF($X224="","",IF(INDEX('Per Invoice'!S$2:S$401,$X224)="","",INDEX('Per Invoice'!S$2:S$401,$X224)))</f>
        <v/>
      </c>
      <c r="T224" s="7">
        <f>IF($X224="","",IF(INDEX('Per Invoice'!T$2:T$401,$X224)="","",INDEX('Per Invoice'!T$2:T$401,$X224)))</f>
        <v/>
      </c>
      <c r="U224" s="7">
        <f>IF($X224="","",IF(INDEX('Per Invoice'!U$2:U$401,$X224)="","",INDEX('Per Invoice'!U$2:U$401,$X224)))</f>
        <v/>
      </c>
      <c r="V224" s="7">
        <f>IF($X224="","",IF(INDEX('Per Invoice'!V$2:V$401,$X224)="","",INDEX('Per Invoice'!V$2:V$401,$X224)))</f>
        <v/>
      </c>
      <c r="W224" s="7">
        <f>IF($X224="","",IF(INDEX('Per Invoice'!W$2:W$401,$X224)="","",INDEX('Per Invoice'!W$2:W$401,$X224)))</f>
        <v/>
      </c>
      <c r="X224" s="16">
        <f>IFERROR(MATCH(Settings!$C$33&amp;"|"&amp;ROWS($X$2:$X224),'Per Invoice'!$Y$2:$Y$401,0),"")</f>
        <v/>
      </c>
    </row>
    <row r="225">
      <c r="A225">
        <f>IF($X225="","",IF(INDEX('Per Invoice'!A$2:A$401,$X225)="","",INDEX('Per Invoice'!A$2:A$401,$X225)))</f>
        <v/>
      </c>
      <c r="B225">
        <f>IF($X225="","",IF(INDEX('Per Invoice'!B$2:B$401,$X225)="","",INDEX('Per Invoice'!B$2:B$401,$X225)))</f>
        <v/>
      </c>
      <c r="C225">
        <f>IF($X225="","",IF(INDEX('Per Invoice'!C$2:C$401,$X225)="","",INDEX('Per Invoice'!C$2:C$401,$X225)))</f>
        <v/>
      </c>
      <c r="D225">
        <f>IF($X225="","",IF(INDEX('Per Invoice'!D$2:D$401,$X225)="","",INDEX('Per Invoice'!D$2:D$401,$X225)))</f>
        <v/>
      </c>
      <c r="E225">
        <f>IF($X225="","",IF(INDEX('Per Invoice'!E$2:E$401,$X225)="","",INDEX('Per Invoice'!E$2:E$401,$X225)))</f>
        <v/>
      </c>
      <c r="F225">
        <f>IF($X225="","",IF(INDEX('Per Invoice'!F$2:F$401,$X225)="","",INDEX('Per Invoice'!F$2:F$401,$X225)))</f>
        <v/>
      </c>
      <c r="G225">
        <f>IF($X225="","",IF(INDEX('Per Invoice'!G$2:G$401,$X225)="","",INDEX('Per Invoice'!G$2:G$401,$X225)))</f>
        <v/>
      </c>
      <c r="H225">
        <f>IF($X225="","",IF(INDEX('Per Invoice'!H$2:H$401,$X225)="","",INDEX('Per Invoice'!H$2:H$401,$X225)))</f>
        <v/>
      </c>
      <c r="I225">
        <f>IF($X225="","",IF(INDEX('Per Invoice'!I$2:I$401,$X225)="","",INDEX('Per Invoice'!I$2:I$401,$X225)))</f>
        <v/>
      </c>
      <c r="J225">
        <f>IF($X225="","",IF(INDEX('Per Invoice'!J$2:J$401,$X225)="","",INDEX('Per Invoice'!J$2:J$401,$X225)))</f>
        <v/>
      </c>
      <c r="K225" s="14">
        <f>IF($X225="","",IF(INDEX('Per Invoice'!K$2:K$401,$X225)="","",INDEX('Per Invoice'!K$2:K$401,$X225)))</f>
        <v/>
      </c>
      <c r="L225">
        <f>IF($X225="","",IF(INDEX('Per Invoice'!L$2:L$401,$X225)="","",INDEX('Per Invoice'!L$2:L$401,$X225)))</f>
        <v/>
      </c>
      <c r="M225" s="7">
        <f>IF($X225="","",IF(INDEX('Per Invoice'!M$2:M$401,$X225)="","",INDEX('Per Invoice'!M$2:M$401,$X225)))</f>
        <v/>
      </c>
      <c r="N225">
        <f>IF($X225="","",IF(INDEX('Per Invoice'!N$2:N$401,$X225)="","",INDEX('Per Invoice'!N$2:N$401,$X225)))</f>
        <v/>
      </c>
      <c r="O225" s="7">
        <f>IF($X225="","",IF(INDEX('Per Invoice'!O$2:O$401,$X225)="","",INDEX('Per Invoice'!O$2:O$401,$X225)))</f>
        <v/>
      </c>
      <c r="P225" s="7">
        <f>IF($X225="","",IF(INDEX('Per Invoice'!P$2:P$401,$X225)="","",INDEX('Per Invoice'!P$2:P$401,$X225)))</f>
        <v/>
      </c>
      <c r="Q225">
        <f>IF($X225="","",IF(INDEX('Per Invoice'!Q$2:Q$401,$X225)="","",INDEX('Per Invoice'!Q$2:Q$401,$X225)))</f>
        <v/>
      </c>
      <c r="R225" s="7">
        <f>IF($X225="","",IF(INDEX('Per Invoice'!R$2:R$401,$X225)="","",INDEX('Per Invoice'!R$2:R$401,$X225)))</f>
        <v/>
      </c>
      <c r="S225" s="7">
        <f>IF($X225="","",IF(INDEX('Per Invoice'!S$2:S$401,$X225)="","",INDEX('Per Invoice'!S$2:S$401,$X225)))</f>
        <v/>
      </c>
      <c r="T225" s="7">
        <f>IF($X225="","",IF(INDEX('Per Invoice'!T$2:T$401,$X225)="","",INDEX('Per Invoice'!T$2:T$401,$X225)))</f>
        <v/>
      </c>
      <c r="U225" s="7">
        <f>IF($X225="","",IF(INDEX('Per Invoice'!U$2:U$401,$X225)="","",INDEX('Per Invoice'!U$2:U$401,$X225)))</f>
        <v/>
      </c>
      <c r="V225" s="7">
        <f>IF($X225="","",IF(INDEX('Per Invoice'!V$2:V$401,$X225)="","",INDEX('Per Invoice'!V$2:V$401,$X225)))</f>
        <v/>
      </c>
      <c r="W225" s="7">
        <f>IF($X225="","",IF(INDEX('Per Invoice'!W$2:W$401,$X225)="","",INDEX('Per Invoice'!W$2:W$401,$X225)))</f>
        <v/>
      </c>
      <c r="X225" s="16">
        <f>IFERROR(MATCH(Settings!$C$33&amp;"|"&amp;ROWS($X$2:$X225),'Per Invoice'!$Y$2:$Y$401,0),"")</f>
        <v/>
      </c>
    </row>
    <row r="226">
      <c r="A226">
        <f>IF($X226="","",IF(INDEX('Per Invoice'!A$2:A$401,$X226)="","",INDEX('Per Invoice'!A$2:A$401,$X226)))</f>
        <v/>
      </c>
      <c r="B226">
        <f>IF($X226="","",IF(INDEX('Per Invoice'!B$2:B$401,$X226)="","",INDEX('Per Invoice'!B$2:B$401,$X226)))</f>
        <v/>
      </c>
      <c r="C226">
        <f>IF($X226="","",IF(INDEX('Per Invoice'!C$2:C$401,$X226)="","",INDEX('Per Invoice'!C$2:C$401,$X226)))</f>
        <v/>
      </c>
      <c r="D226">
        <f>IF($X226="","",IF(INDEX('Per Invoice'!D$2:D$401,$X226)="","",INDEX('Per Invoice'!D$2:D$401,$X226)))</f>
        <v/>
      </c>
      <c r="E226">
        <f>IF($X226="","",IF(INDEX('Per Invoice'!E$2:E$401,$X226)="","",INDEX('Per Invoice'!E$2:E$401,$X226)))</f>
        <v/>
      </c>
      <c r="F226">
        <f>IF($X226="","",IF(INDEX('Per Invoice'!F$2:F$401,$X226)="","",INDEX('Per Invoice'!F$2:F$401,$X226)))</f>
        <v/>
      </c>
      <c r="G226">
        <f>IF($X226="","",IF(INDEX('Per Invoice'!G$2:G$401,$X226)="","",INDEX('Per Invoice'!G$2:G$401,$X226)))</f>
        <v/>
      </c>
      <c r="H226">
        <f>IF($X226="","",IF(INDEX('Per Invoice'!H$2:H$401,$X226)="","",INDEX('Per Invoice'!H$2:H$401,$X226)))</f>
        <v/>
      </c>
      <c r="I226">
        <f>IF($X226="","",IF(INDEX('Per Invoice'!I$2:I$401,$X226)="","",INDEX('Per Invoice'!I$2:I$401,$X226)))</f>
        <v/>
      </c>
      <c r="J226">
        <f>IF($X226="","",IF(INDEX('Per Invoice'!J$2:J$401,$X226)="","",INDEX('Per Invoice'!J$2:J$401,$X226)))</f>
        <v/>
      </c>
      <c r="K226" s="14">
        <f>IF($X226="","",IF(INDEX('Per Invoice'!K$2:K$401,$X226)="","",INDEX('Per Invoice'!K$2:K$401,$X226)))</f>
        <v/>
      </c>
      <c r="L226">
        <f>IF($X226="","",IF(INDEX('Per Invoice'!L$2:L$401,$X226)="","",INDEX('Per Invoice'!L$2:L$401,$X226)))</f>
        <v/>
      </c>
      <c r="M226" s="7">
        <f>IF($X226="","",IF(INDEX('Per Invoice'!M$2:M$401,$X226)="","",INDEX('Per Invoice'!M$2:M$401,$X226)))</f>
        <v/>
      </c>
      <c r="N226">
        <f>IF($X226="","",IF(INDEX('Per Invoice'!N$2:N$401,$X226)="","",INDEX('Per Invoice'!N$2:N$401,$X226)))</f>
        <v/>
      </c>
      <c r="O226" s="7">
        <f>IF($X226="","",IF(INDEX('Per Invoice'!O$2:O$401,$X226)="","",INDEX('Per Invoice'!O$2:O$401,$X226)))</f>
        <v/>
      </c>
      <c r="P226" s="7">
        <f>IF($X226="","",IF(INDEX('Per Invoice'!P$2:P$401,$X226)="","",INDEX('Per Invoice'!P$2:P$401,$X226)))</f>
        <v/>
      </c>
      <c r="Q226">
        <f>IF($X226="","",IF(INDEX('Per Invoice'!Q$2:Q$401,$X226)="","",INDEX('Per Invoice'!Q$2:Q$401,$X226)))</f>
        <v/>
      </c>
      <c r="R226" s="7">
        <f>IF($X226="","",IF(INDEX('Per Invoice'!R$2:R$401,$X226)="","",INDEX('Per Invoice'!R$2:R$401,$X226)))</f>
        <v/>
      </c>
      <c r="S226" s="7">
        <f>IF($X226="","",IF(INDEX('Per Invoice'!S$2:S$401,$X226)="","",INDEX('Per Invoice'!S$2:S$401,$X226)))</f>
        <v/>
      </c>
      <c r="T226" s="7">
        <f>IF($X226="","",IF(INDEX('Per Invoice'!T$2:T$401,$X226)="","",INDEX('Per Invoice'!T$2:T$401,$X226)))</f>
        <v/>
      </c>
      <c r="U226" s="7">
        <f>IF($X226="","",IF(INDEX('Per Invoice'!U$2:U$401,$X226)="","",INDEX('Per Invoice'!U$2:U$401,$X226)))</f>
        <v/>
      </c>
      <c r="V226" s="7">
        <f>IF($X226="","",IF(INDEX('Per Invoice'!V$2:V$401,$X226)="","",INDEX('Per Invoice'!V$2:V$401,$X226)))</f>
        <v/>
      </c>
      <c r="W226" s="7">
        <f>IF($X226="","",IF(INDEX('Per Invoice'!W$2:W$401,$X226)="","",INDEX('Per Invoice'!W$2:W$401,$X226)))</f>
        <v/>
      </c>
      <c r="X226" s="16">
        <f>IFERROR(MATCH(Settings!$C$33&amp;"|"&amp;ROWS($X$2:$X226),'Per Invoice'!$Y$2:$Y$401,0),"")</f>
        <v/>
      </c>
    </row>
    <row r="227">
      <c r="A227">
        <f>IF($X227="","",IF(INDEX('Per Invoice'!A$2:A$401,$X227)="","",INDEX('Per Invoice'!A$2:A$401,$X227)))</f>
        <v/>
      </c>
      <c r="B227">
        <f>IF($X227="","",IF(INDEX('Per Invoice'!B$2:B$401,$X227)="","",INDEX('Per Invoice'!B$2:B$401,$X227)))</f>
        <v/>
      </c>
      <c r="C227">
        <f>IF($X227="","",IF(INDEX('Per Invoice'!C$2:C$401,$X227)="","",INDEX('Per Invoice'!C$2:C$401,$X227)))</f>
        <v/>
      </c>
      <c r="D227">
        <f>IF($X227="","",IF(INDEX('Per Invoice'!D$2:D$401,$X227)="","",INDEX('Per Invoice'!D$2:D$401,$X227)))</f>
        <v/>
      </c>
      <c r="E227">
        <f>IF($X227="","",IF(INDEX('Per Invoice'!E$2:E$401,$X227)="","",INDEX('Per Invoice'!E$2:E$401,$X227)))</f>
        <v/>
      </c>
      <c r="F227">
        <f>IF($X227="","",IF(INDEX('Per Invoice'!F$2:F$401,$X227)="","",INDEX('Per Invoice'!F$2:F$401,$X227)))</f>
        <v/>
      </c>
      <c r="G227">
        <f>IF($X227="","",IF(INDEX('Per Invoice'!G$2:G$401,$X227)="","",INDEX('Per Invoice'!G$2:G$401,$X227)))</f>
        <v/>
      </c>
      <c r="H227">
        <f>IF($X227="","",IF(INDEX('Per Invoice'!H$2:H$401,$X227)="","",INDEX('Per Invoice'!H$2:H$401,$X227)))</f>
        <v/>
      </c>
      <c r="I227">
        <f>IF($X227="","",IF(INDEX('Per Invoice'!I$2:I$401,$X227)="","",INDEX('Per Invoice'!I$2:I$401,$X227)))</f>
        <v/>
      </c>
      <c r="J227">
        <f>IF($X227="","",IF(INDEX('Per Invoice'!J$2:J$401,$X227)="","",INDEX('Per Invoice'!J$2:J$401,$X227)))</f>
        <v/>
      </c>
      <c r="K227" s="14">
        <f>IF($X227="","",IF(INDEX('Per Invoice'!K$2:K$401,$X227)="","",INDEX('Per Invoice'!K$2:K$401,$X227)))</f>
        <v/>
      </c>
      <c r="L227">
        <f>IF($X227="","",IF(INDEX('Per Invoice'!L$2:L$401,$X227)="","",INDEX('Per Invoice'!L$2:L$401,$X227)))</f>
        <v/>
      </c>
      <c r="M227" s="7">
        <f>IF($X227="","",IF(INDEX('Per Invoice'!M$2:M$401,$X227)="","",INDEX('Per Invoice'!M$2:M$401,$X227)))</f>
        <v/>
      </c>
      <c r="N227">
        <f>IF($X227="","",IF(INDEX('Per Invoice'!N$2:N$401,$X227)="","",INDEX('Per Invoice'!N$2:N$401,$X227)))</f>
        <v/>
      </c>
      <c r="O227" s="7">
        <f>IF($X227="","",IF(INDEX('Per Invoice'!O$2:O$401,$X227)="","",INDEX('Per Invoice'!O$2:O$401,$X227)))</f>
        <v/>
      </c>
      <c r="P227" s="7">
        <f>IF($X227="","",IF(INDEX('Per Invoice'!P$2:P$401,$X227)="","",INDEX('Per Invoice'!P$2:P$401,$X227)))</f>
        <v/>
      </c>
      <c r="Q227">
        <f>IF($X227="","",IF(INDEX('Per Invoice'!Q$2:Q$401,$X227)="","",INDEX('Per Invoice'!Q$2:Q$401,$X227)))</f>
        <v/>
      </c>
      <c r="R227" s="7">
        <f>IF($X227="","",IF(INDEX('Per Invoice'!R$2:R$401,$X227)="","",INDEX('Per Invoice'!R$2:R$401,$X227)))</f>
        <v/>
      </c>
      <c r="S227" s="7">
        <f>IF($X227="","",IF(INDEX('Per Invoice'!S$2:S$401,$X227)="","",INDEX('Per Invoice'!S$2:S$401,$X227)))</f>
        <v/>
      </c>
      <c r="T227" s="7">
        <f>IF($X227="","",IF(INDEX('Per Invoice'!T$2:T$401,$X227)="","",INDEX('Per Invoice'!T$2:T$401,$X227)))</f>
        <v/>
      </c>
      <c r="U227" s="7">
        <f>IF($X227="","",IF(INDEX('Per Invoice'!U$2:U$401,$X227)="","",INDEX('Per Invoice'!U$2:U$401,$X227)))</f>
        <v/>
      </c>
      <c r="V227" s="7">
        <f>IF($X227="","",IF(INDEX('Per Invoice'!V$2:V$401,$X227)="","",INDEX('Per Invoice'!V$2:V$401,$X227)))</f>
        <v/>
      </c>
      <c r="W227" s="7">
        <f>IF($X227="","",IF(INDEX('Per Invoice'!W$2:W$401,$X227)="","",INDEX('Per Invoice'!W$2:W$401,$X227)))</f>
        <v/>
      </c>
      <c r="X227" s="16">
        <f>IFERROR(MATCH(Settings!$C$33&amp;"|"&amp;ROWS($X$2:$X227),'Per Invoice'!$Y$2:$Y$401,0),"")</f>
        <v/>
      </c>
    </row>
    <row r="228">
      <c r="A228">
        <f>IF($X228="","",IF(INDEX('Per Invoice'!A$2:A$401,$X228)="","",INDEX('Per Invoice'!A$2:A$401,$X228)))</f>
        <v/>
      </c>
      <c r="B228">
        <f>IF($X228="","",IF(INDEX('Per Invoice'!B$2:B$401,$X228)="","",INDEX('Per Invoice'!B$2:B$401,$X228)))</f>
        <v/>
      </c>
      <c r="C228">
        <f>IF($X228="","",IF(INDEX('Per Invoice'!C$2:C$401,$X228)="","",INDEX('Per Invoice'!C$2:C$401,$X228)))</f>
        <v/>
      </c>
      <c r="D228">
        <f>IF($X228="","",IF(INDEX('Per Invoice'!D$2:D$401,$X228)="","",INDEX('Per Invoice'!D$2:D$401,$X228)))</f>
        <v/>
      </c>
      <c r="E228">
        <f>IF($X228="","",IF(INDEX('Per Invoice'!E$2:E$401,$X228)="","",INDEX('Per Invoice'!E$2:E$401,$X228)))</f>
        <v/>
      </c>
      <c r="F228">
        <f>IF($X228="","",IF(INDEX('Per Invoice'!F$2:F$401,$X228)="","",INDEX('Per Invoice'!F$2:F$401,$X228)))</f>
        <v/>
      </c>
      <c r="G228">
        <f>IF($X228="","",IF(INDEX('Per Invoice'!G$2:G$401,$X228)="","",INDEX('Per Invoice'!G$2:G$401,$X228)))</f>
        <v/>
      </c>
      <c r="H228">
        <f>IF($X228="","",IF(INDEX('Per Invoice'!H$2:H$401,$X228)="","",INDEX('Per Invoice'!H$2:H$401,$X228)))</f>
        <v/>
      </c>
      <c r="I228">
        <f>IF($X228="","",IF(INDEX('Per Invoice'!I$2:I$401,$X228)="","",INDEX('Per Invoice'!I$2:I$401,$X228)))</f>
        <v/>
      </c>
      <c r="J228">
        <f>IF($X228="","",IF(INDEX('Per Invoice'!J$2:J$401,$X228)="","",INDEX('Per Invoice'!J$2:J$401,$X228)))</f>
        <v/>
      </c>
      <c r="K228" s="14">
        <f>IF($X228="","",IF(INDEX('Per Invoice'!K$2:K$401,$X228)="","",INDEX('Per Invoice'!K$2:K$401,$X228)))</f>
        <v/>
      </c>
      <c r="L228">
        <f>IF($X228="","",IF(INDEX('Per Invoice'!L$2:L$401,$X228)="","",INDEX('Per Invoice'!L$2:L$401,$X228)))</f>
        <v/>
      </c>
      <c r="M228" s="7">
        <f>IF($X228="","",IF(INDEX('Per Invoice'!M$2:M$401,$X228)="","",INDEX('Per Invoice'!M$2:M$401,$X228)))</f>
        <v/>
      </c>
      <c r="N228">
        <f>IF($X228="","",IF(INDEX('Per Invoice'!N$2:N$401,$X228)="","",INDEX('Per Invoice'!N$2:N$401,$X228)))</f>
        <v/>
      </c>
      <c r="O228" s="7">
        <f>IF($X228="","",IF(INDEX('Per Invoice'!O$2:O$401,$X228)="","",INDEX('Per Invoice'!O$2:O$401,$X228)))</f>
        <v/>
      </c>
      <c r="P228" s="7">
        <f>IF($X228="","",IF(INDEX('Per Invoice'!P$2:P$401,$X228)="","",INDEX('Per Invoice'!P$2:P$401,$X228)))</f>
        <v/>
      </c>
      <c r="Q228">
        <f>IF($X228="","",IF(INDEX('Per Invoice'!Q$2:Q$401,$X228)="","",INDEX('Per Invoice'!Q$2:Q$401,$X228)))</f>
        <v/>
      </c>
      <c r="R228" s="7">
        <f>IF($X228="","",IF(INDEX('Per Invoice'!R$2:R$401,$X228)="","",INDEX('Per Invoice'!R$2:R$401,$X228)))</f>
        <v/>
      </c>
      <c r="S228" s="7">
        <f>IF($X228="","",IF(INDEX('Per Invoice'!S$2:S$401,$X228)="","",INDEX('Per Invoice'!S$2:S$401,$X228)))</f>
        <v/>
      </c>
      <c r="T228" s="7">
        <f>IF($X228="","",IF(INDEX('Per Invoice'!T$2:T$401,$X228)="","",INDEX('Per Invoice'!T$2:T$401,$X228)))</f>
        <v/>
      </c>
      <c r="U228" s="7">
        <f>IF($X228="","",IF(INDEX('Per Invoice'!U$2:U$401,$X228)="","",INDEX('Per Invoice'!U$2:U$401,$X228)))</f>
        <v/>
      </c>
      <c r="V228" s="7">
        <f>IF($X228="","",IF(INDEX('Per Invoice'!V$2:V$401,$X228)="","",INDEX('Per Invoice'!V$2:V$401,$X228)))</f>
        <v/>
      </c>
      <c r="W228" s="7">
        <f>IF($X228="","",IF(INDEX('Per Invoice'!W$2:W$401,$X228)="","",INDEX('Per Invoice'!W$2:W$401,$X228)))</f>
        <v/>
      </c>
      <c r="X228" s="16">
        <f>IFERROR(MATCH(Settings!$C$33&amp;"|"&amp;ROWS($X$2:$X228),'Per Invoice'!$Y$2:$Y$401,0),"")</f>
        <v/>
      </c>
    </row>
    <row r="229">
      <c r="A229">
        <f>IF($X229="","",IF(INDEX('Per Invoice'!A$2:A$401,$X229)="","",INDEX('Per Invoice'!A$2:A$401,$X229)))</f>
        <v/>
      </c>
      <c r="B229">
        <f>IF($X229="","",IF(INDEX('Per Invoice'!B$2:B$401,$X229)="","",INDEX('Per Invoice'!B$2:B$401,$X229)))</f>
        <v/>
      </c>
      <c r="C229">
        <f>IF($X229="","",IF(INDEX('Per Invoice'!C$2:C$401,$X229)="","",INDEX('Per Invoice'!C$2:C$401,$X229)))</f>
        <v/>
      </c>
      <c r="D229">
        <f>IF($X229="","",IF(INDEX('Per Invoice'!D$2:D$401,$X229)="","",INDEX('Per Invoice'!D$2:D$401,$X229)))</f>
        <v/>
      </c>
      <c r="E229">
        <f>IF($X229="","",IF(INDEX('Per Invoice'!E$2:E$401,$X229)="","",INDEX('Per Invoice'!E$2:E$401,$X229)))</f>
        <v/>
      </c>
      <c r="F229">
        <f>IF($X229="","",IF(INDEX('Per Invoice'!F$2:F$401,$X229)="","",INDEX('Per Invoice'!F$2:F$401,$X229)))</f>
        <v/>
      </c>
      <c r="G229">
        <f>IF($X229="","",IF(INDEX('Per Invoice'!G$2:G$401,$X229)="","",INDEX('Per Invoice'!G$2:G$401,$X229)))</f>
        <v/>
      </c>
      <c r="H229">
        <f>IF($X229="","",IF(INDEX('Per Invoice'!H$2:H$401,$X229)="","",INDEX('Per Invoice'!H$2:H$401,$X229)))</f>
        <v/>
      </c>
      <c r="I229">
        <f>IF($X229="","",IF(INDEX('Per Invoice'!I$2:I$401,$X229)="","",INDEX('Per Invoice'!I$2:I$401,$X229)))</f>
        <v/>
      </c>
      <c r="J229">
        <f>IF($X229="","",IF(INDEX('Per Invoice'!J$2:J$401,$X229)="","",INDEX('Per Invoice'!J$2:J$401,$X229)))</f>
        <v/>
      </c>
      <c r="K229" s="14">
        <f>IF($X229="","",IF(INDEX('Per Invoice'!K$2:K$401,$X229)="","",INDEX('Per Invoice'!K$2:K$401,$X229)))</f>
        <v/>
      </c>
      <c r="L229">
        <f>IF($X229="","",IF(INDEX('Per Invoice'!L$2:L$401,$X229)="","",INDEX('Per Invoice'!L$2:L$401,$X229)))</f>
        <v/>
      </c>
      <c r="M229" s="7">
        <f>IF($X229="","",IF(INDEX('Per Invoice'!M$2:M$401,$X229)="","",INDEX('Per Invoice'!M$2:M$401,$X229)))</f>
        <v/>
      </c>
      <c r="N229">
        <f>IF($X229="","",IF(INDEX('Per Invoice'!N$2:N$401,$X229)="","",INDEX('Per Invoice'!N$2:N$401,$X229)))</f>
        <v/>
      </c>
      <c r="O229" s="7">
        <f>IF($X229="","",IF(INDEX('Per Invoice'!O$2:O$401,$X229)="","",INDEX('Per Invoice'!O$2:O$401,$X229)))</f>
        <v/>
      </c>
      <c r="P229" s="7">
        <f>IF($X229="","",IF(INDEX('Per Invoice'!P$2:P$401,$X229)="","",INDEX('Per Invoice'!P$2:P$401,$X229)))</f>
        <v/>
      </c>
      <c r="Q229">
        <f>IF($X229="","",IF(INDEX('Per Invoice'!Q$2:Q$401,$X229)="","",INDEX('Per Invoice'!Q$2:Q$401,$X229)))</f>
        <v/>
      </c>
      <c r="R229" s="7">
        <f>IF($X229="","",IF(INDEX('Per Invoice'!R$2:R$401,$X229)="","",INDEX('Per Invoice'!R$2:R$401,$X229)))</f>
        <v/>
      </c>
      <c r="S229" s="7">
        <f>IF($X229="","",IF(INDEX('Per Invoice'!S$2:S$401,$X229)="","",INDEX('Per Invoice'!S$2:S$401,$X229)))</f>
        <v/>
      </c>
      <c r="T229" s="7">
        <f>IF($X229="","",IF(INDEX('Per Invoice'!T$2:T$401,$X229)="","",INDEX('Per Invoice'!T$2:T$401,$X229)))</f>
        <v/>
      </c>
      <c r="U229" s="7">
        <f>IF($X229="","",IF(INDEX('Per Invoice'!U$2:U$401,$X229)="","",INDEX('Per Invoice'!U$2:U$401,$X229)))</f>
        <v/>
      </c>
      <c r="V229" s="7">
        <f>IF($X229="","",IF(INDEX('Per Invoice'!V$2:V$401,$X229)="","",INDEX('Per Invoice'!V$2:V$401,$X229)))</f>
        <v/>
      </c>
      <c r="W229" s="7">
        <f>IF($X229="","",IF(INDEX('Per Invoice'!W$2:W$401,$X229)="","",INDEX('Per Invoice'!W$2:W$401,$X229)))</f>
        <v/>
      </c>
      <c r="X229" s="16">
        <f>IFERROR(MATCH(Settings!$C$33&amp;"|"&amp;ROWS($X$2:$X229),'Per Invoice'!$Y$2:$Y$401,0),"")</f>
        <v/>
      </c>
    </row>
    <row r="230">
      <c r="A230">
        <f>IF($X230="","",IF(INDEX('Per Invoice'!A$2:A$401,$X230)="","",INDEX('Per Invoice'!A$2:A$401,$X230)))</f>
        <v/>
      </c>
      <c r="B230">
        <f>IF($X230="","",IF(INDEX('Per Invoice'!B$2:B$401,$X230)="","",INDEX('Per Invoice'!B$2:B$401,$X230)))</f>
        <v/>
      </c>
      <c r="C230">
        <f>IF($X230="","",IF(INDEX('Per Invoice'!C$2:C$401,$X230)="","",INDEX('Per Invoice'!C$2:C$401,$X230)))</f>
        <v/>
      </c>
      <c r="D230">
        <f>IF($X230="","",IF(INDEX('Per Invoice'!D$2:D$401,$X230)="","",INDEX('Per Invoice'!D$2:D$401,$X230)))</f>
        <v/>
      </c>
      <c r="E230">
        <f>IF($X230="","",IF(INDEX('Per Invoice'!E$2:E$401,$X230)="","",INDEX('Per Invoice'!E$2:E$401,$X230)))</f>
        <v/>
      </c>
      <c r="F230">
        <f>IF($X230="","",IF(INDEX('Per Invoice'!F$2:F$401,$X230)="","",INDEX('Per Invoice'!F$2:F$401,$X230)))</f>
        <v/>
      </c>
      <c r="G230">
        <f>IF($X230="","",IF(INDEX('Per Invoice'!G$2:G$401,$X230)="","",INDEX('Per Invoice'!G$2:G$401,$X230)))</f>
        <v/>
      </c>
      <c r="H230">
        <f>IF($X230="","",IF(INDEX('Per Invoice'!H$2:H$401,$X230)="","",INDEX('Per Invoice'!H$2:H$401,$X230)))</f>
        <v/>
      </c>
      <c r="I230">
        <f>IF($X230="","",IF(INDEX('Per Invoice'!I$2:I$401,$X230)="","",INDEX('Per Invoice'!I$2:I$401,$X230)))</f>
        <v/>
      </c>
      <c r="J230">
        <f>IF($X230="","",IF(INDEX('Per Invoice'!J$2:J$401,$X230)="","",INDEX('Per Invoice'!J$2:J$401,$X230)))</f>
        <v/>
      </c>
      <c r="K230" s="14">
        <f>IF($X230="","",IF(INDEX('Per Invoice'!K$2:K$401,$X230)="","",INDEX('Per Invoice'!K$2:K$401,$X230)))</f>
        <v/>
      </c>
      <c r="L230">
        <f>IF($X230="","",IF(INDEX('Per Invoice'!L$2:L$401,$X230)="","",INDEX('Per Invoice'!L$2:L$401,$X230)))</f>
        <v/>
      </c>
      <c r="M230" s="7">
        <f>IF($X230="","",IF(INDEX('Per Invoice'!M$2:M$401,$X230)="","",INDEX('Per Invoice'!M$2:M$401,$X230)))</f>
        <v/>
      </c>
      <c r="N230">
        <f>IF($X230="","",IF(INDEX('Per Invoice'!N$2:N$401,$X230)="","",INDEX('Per Invoice'!N$2:N$401,$X230)))</f>
        <v/>
      </c>
      <c r="O230" s="7">
        <f>IF($X230="","",IF(INDEX('Per Invoice'!O$2:O$401,$X230)="","",INDEX('Per Invoice'!O$2:O$401,$X230)))</f>
        <v/>
      </c>
      <c r="P230" s="7">
        <f>IF($X230="","",IF(INDEX('Per Invoice'!P$2:P$401,$X230)="","",INDEX('Per Invoice'!P$2:P$401,$X230)))</f>
        <v/>
      </c>
      <c r="Q230">
        <f>IF($X230="","",IF(INDEX('Per Invoice'!Q$2:Q$401,$X230)="","",INDEX('Per Invoice'!Q$2:Q$401,$X230)))</f>
        <v/>
      </c>
      <c r="R230" s="7">
        <f>IF($X230="","",IF(INDEX('Per Invoice'!R$2:R$401,$X230)="","",INDEX('Per Invoice'!R$2:R$401,$X230)))</f>
        <v/>
      </c>
      <c r="S230" s="7">
        <f>IF($X230="","",IF(INDEX('Per Invoice'!S$2:S$401,$X230)="","",INDEX('Per Invoice'!S$2:S$401,$X230)))</f>
        <v/>
      </c>
      <c r="T230" s="7">
        <f>IF($X230="","",IF(INDEX('Per Invoice'!T$2:T$401,$X230)="","",INDEX('Per Invoice'!T$2:T$401,$X230)))</f>
        <v/>
      </c>
      <c r="U230" s="7">
        <f>IF($X230="","",IF(INDEX('Per Invoice'!U$2:U$401,$X230)="","",INDEX('Per Invoice'!U$2:U$401,$X230)))</f>
        <v/>
      </c>
      <c r="V230" s="7">
        <f>IF($X230="","",IF(INDEX('Per Invoice'!V$2:V$401,$X230)="","",INDEX('Per Invoice'!V$2:V$401,$X230)))</f>
        <v/>
      </c>
      <c r="W230" s="7">
        <f>IF($X230="","",IF(INDEX('Per Invoice'!W$2:W$401,$X230)="","",INDEX('Per Invoice'!W$2:W$401,$X230)))</f>
        <v/>
      </c>
      <c r="X230" s="16">
        <f>IFERROR(MATCH(Settings!$C$33&amp;"|"&amp;ROWS($X$2:$X230),'Per Invoice'!$Y$2:$Y$401,0),"")</f>
        <v/>
      </c>
    </row>
    <row r="231">
      <c r="A231">
        <f>IF($X231="","",IF(INDEX('Per Invoice'!A$2:A$401,$X231)="","",INDEX('Per Invoice'!A$2:A$401,$X231)))</f>
        <v/>
      </c>
      <c r="B231">
        <f>IF($X231="","",IF(INDEX('Per Invoice'!B$2:B$401,$X231)="","",INDEX('Per Invoice'!B$2:B$401,$X231)))</f>
        <v/>
      </c>
      <c r="C231">
        <f>IF($X231="","",IF(INDEX('Per Invoice'!C$2:C$401,$X231)="","",INDEX('Per Invoice'!C$2:C$401,$X231)))</f>
        <v/>
      </c>
      <c r="D231">
        <f>IF($X231="","",IF(INDEX('Per Invoice'!D$2:D$401,$X231)="","",INDEX('Per Invoice'!D$2:D$401,$X231)))</f>
        <v/>
      </c>
      <c r="E231">
        <f>IF($X231="","",IF(INDEX('Per Invoice'!E$2:E$401,$X231)="","",INDEX('Per Invoice'!E$2:E$401,$X231)))</f>
        <v/>
      </c>
      <c r="F231">
        <f>IF($X231="","",IF(INDEX('Per Invoice'!F$2:F$401,$X231)="","",INDEX('Per Invoice'!F$2:F$401,$X231)))</f>
        <v/>
      </c>
      <c r="G231">
        <f>IF($X231="","",IF(INDEX('Per Invoice'!G$2:G$401,$X231)="","",INDEX('Per Invoice'!G$2:G$401,$X231)))</f>
        <v/>
      </c>
      <c r="H231">
        <f>IF($X231="","",IF(INDEX('Per Invoice'!H$2:H$401,$X231)="","",INDEX('Per Invoice'!H$2:H$401,$X231)))</f>
        <v/>
      </c>
      <c r="I231">
        <f>IF($X231="","",IF(INDEX('Per Invoice'!I$2:I$401,$X231)="","",INDEX('Per Invoice'!I$2:I$401,$X231)))</f>
        <v/>
      </c>
      <c r="J231">
        <f>IF($X231="","",IF(INDEX('Per Invoice'!J$2:J$401,$X231)="","",INDEX('Per Invoice'!J$2:J$401,$X231)))</f>
        <v/>
      </c>
      <c r="K231" s="14">
        <f>IF($X231="","",IF(INDEX('Per Invoice'!K$2:K$401,$X231)="","",INDEX('Per Invoice'!K$2:K$401,$X231)))</f>
        <v/>
      </c>
      <c r="L231">
        <f>IF($X231="","",IF(INDEX('Per Invoice'!L$2:L$401,$X231)="","",INDEX('Per Invoice'!L$2:L$401,$X231)))</f>
        <v/>
      </c>
      <c r="M231" s="7">
        <f>IF($X231="","",IF(INDEX('Per Invoice'!M$2:M$401,$X231)="","",INDEX('Per Invoice'!M$2:M$401,$X231)))</f>
        <v/>
      </c>
      <c r="N231">
        <f>IF($X231="","",IF(INDEX('Per Invoice'!N$2:N$401,$X231)="","",INDEX('Per Invoice'!N$2:N$401,$X231)))</f>
        <v/>
      </c>
      <c r="O231" s="7">
        <f>IF($X231="","",IF(INDEX('Per Invoice'!O$2:O$401,$X231)="","",INDEX('Per Invoice'!O$2:O$401,$X231)))</f>
        <v/>
      </c>
      <c r="P231" s="7">
        <f>IF($X231="","",IF(INDEX('Per Invoice'!P$2:P$401,$X231)="","",INDEX('Per Invoice'!P$2:P$401,$X231)))</f>
        <v/>
      </c>
      <c r="Q231">
        <f>IF($X231="","",IF(INDEX('Per Invoice'!Q$2:Q$401,$X231)="","",INDEX('Per Invoice'!Q$2:Q$401,$X231)))</f>
        <v/>
      </c>
      <c r="R231" s="7">
        <f>IF($X231="","",IF(INDEX('Per Invoice'!R$2:R$401,$X231)="","",INDEX('Per Invoice'!R$2:R$401,$X231)))</f>
        <v/>
      </c>
      <c r="S231" s="7">
        <f>IF($X231="","",IF(INDEX('Per Invoice'!S$2:S$401,$X231)="","",INDEX('Per Invoice'!S$2:S$401,$X231)))</f>
        <v/>
      </c>
      <c r="T231" s="7">
        <f>IF($X231="","",IF(INDEX('Per Invoice'!T$2:T$401,$X231)="","",INDEX('Per Invoice'!T$2:T$401,$X231)))</f>
        <v/>
      </c>
      <c r="U231" s="7">
        <f>IF($X231="","",IF(INDEX('Per Invoice'!U$2:U$401,$X231)="","",INDEX('Per Invoice'!U$2:U$401,$X231)))</f>
        <v/>
      </c>
      <c r="V231" s="7">
        <f>IF($X231="","",IF(INDEX('Per Invoice'!V$2:V$401,$X231)="","",INDEX('Per Invoice'!V$2:V$401,$X231)))</f>
        <v/>
      </c>
      <c r="W231" s="7">
        <f>IF($X231="","",IF(INDEX('Per Invoice'!W$2:W$401,$X231)="","",INDEX('Per Invoice'!W$2:W$401,$X231)))</f>
        <v/>
      </c>
      <c r="X231" s="16">
        <f>IFERROR(MATCH(Settings!$C$33&amp;"|"&amp;ROWS($X$2:$X231),'Per Invoice'!$Y$2:$Y$401,0),"")</f>
        <v/>
      </c>
    </row>
    <row r="232">
      <c r="A232">
        <f>IF($X232="","",IF(INDEX('Per Invoice'!A$2:A$401,$X232)="","",INDEX('Per Invoice'!A$2:A$401,$X232)))</f>
        <v/>
      </c>
      <c r="B232">
        <f>IF($X232="","",IF(INDEX('Per Invoice'!B$2:B$401,$X232)="","",INDEX('Per Invoice'!B$2:B$401,$X232)))</f>
        <v/>
      </c>
      <c r="C232">
        <f>IF($X232="","",IF(INDEX('Per Invoice'!C$2:C$401,$X232)="","",INDEX('Per Invoice'!C$2:C$401,$X232)))</f>
        <v/>
      </c>
      <c r="D232">
        <f>IF($X232="","",IF(INDEX('Per Invoice'!D$2:D$401,$X232)="","",INDEX('Per Invoice'!D$2:D$401,$X232)))</f>
        <v/>
      </c>
      <c r="E232">
        <f>IF($X232="","",IF(INDEX('Per Invoice'!E$2:E$401,$X232)="","",INDEX('Per Invoice'!E$2:E$401,$X232)))</f>
        <v/>
      </c>
      <c r="F232">
        <f>IF($X232="","",IF(INDEX('Per Invoice'!F$2:F$401,$X232)="","",INDEX('Per Invoice'!F$2:F$401,$X232)))</f>
        <v/>
      </c>
      <c r="G232">
        <f>IF($X232="","",IF(INDEX('Per Invoice'!G$2:G$401,$X232)="","",INDEX('Per Invoice'!G$2:G$401,$X232)))</f>
        <v/>
      </c>
      <c r="H232">
        <f>IF($X232="","",IF(INDEX('Per Invoice'!H$2:H$401,$X232)="","",INDEX('Per Invoice'!H$2:H$401,$X232)))</f>
        <v/>
      </c>
      <c r="I232">
        <f>IF($X232="","",IF(INDEX('Per Invoice'!I$2:I$401,$X232)="","",INDEX('Per Invoice'!I$2:I$401,$X232)))</f>
        <v/>
      </c>
      <c r="J232">
        <f>IF($X232="","",IF(INDEX('Per Invoice'!J$2:J$401,$X232)="","",INDEX('Per Invoice'!J$2:J$401,$X232)))</f>
        <v/>
      </c>
      <c r="K232" s="14">
        <f>IF($X232="","",IF(INDEX('Per Invoice'!K$2:K$401,$X232)="","",INDEX('Per Invoice'!K$2:K$401,$X232)))</f>
        <v/>
      </c>
      <c r="L232">
        <f>IF($X232="","",IF(INDEX('Per Invoice'!L$2:L$401,$X232)="","",INDEX('Per Invoice'!L$2:L$401,$X232)))</f>
        <v/>
      </c>
      <c r="M232" s="7">
        <f>IF($X232="","",IF(INDEX('Per Invoice'!M$2:M$401,$X232)="","",INDEX('Per Invoice'!M$2:M$401,$X232)))</f>
        <v/>
      </c>
      <c r="N232">
        <f>IF($X232="","",IF(INDEX('Per Invoice'!N$2:N$401,$X232)="","",INDEX('Per Invoice'!N$2:N$401,$X232)))</f>
        <v/>
      </c>
      <c r="O232" s="7">
        <f>IF($X232="","",IF(INDEX('Per Invoice'!O$2:O$401,$X232)="","",INDEX('Per Invoice'!O$2:O$401,$X232)))</f>
        <v/>
      </c>
      <c r="P232" s="7">
        <f>IF($X232="","",IF(INDEX('Per Invoice'!P$2:P$401,$X232)="","",INDEX('Per Invoice'!P$2:P$401,$X232)))</f>
        <v/>
      </c>
      <c r="Q232">
        <f>IF($X232="","",IF(INDEX('Per Invoice'!Q$2:Q$401,$X232)="","",INDEX('Per Invoice'!Q$2:Q$401,$X232)))</f>
        <v/>
      </c>
      <c r="R232" s="7">
        <f>IF($X232="","",IF(INDEX('Per Invoice'!R$2:R$401,$X232)="","",INDEX('Per Invoice'!R$2:R$401,$X232)))</f>
        <v/>
      </c>
      <c r="S232" s="7">
        <f>IF($X232="","",IF(INDEX('Per Invoice'!S$2:S$401,$X232)="","",INDEX('Per Invoice'!S$2:S$401,$X232)))</f>
        <v/>
      </c>
      <c r="T232" s="7">
        <f>IF($X232="","",IF(INDEX('Per Invoice'!T$2:T$401,$X232)="","",INDEX('Per Invoice'!T$2:T$401,$X232)))</f>
        <v/>
      </c>
      <c r="U232" s="7">
        <f>IF($X232="","",IF(INDEX('Per Invoice'!U$2:U$401,$X232)="","",INDEX('Per Invoice'!U$2:U$401,$X232)))</f>
        <v/>
      </c>
      <c r="V232" s="7">
        <f>IF($X232="","",IF(INDEX('Per Invoice'!V$2:V$401,$X232)="","",INDEX('Per Invoice'!V$2:V$401,$X232)))</f>
        <v/>
      </c>
      <c r="W232" s="7">
        <f>IF($X232="","",IF(INDEX('Per Invoice'!W$2:W$401,$X232)="","",INDEX('Per Invoice'!W$2:W$401,$X232)))</f>
        <v/>
      </c>
      <c r="X232" s="16">
        <f>IFERROR(MATCH(Settings!$C$33&amp;"|"&amp;ROWS($X$2:$X232),'Per Invoice'!$Y$2:$Y$401,0),"")</f>
        <v/>
      </c>
    </row>
    <row r="233">
      <c r="A233">
        <f>IF($X233="","",IF(INDEX('Per Invoice'!A$2:A$401,$X233)="","",INDEX('Per Invoice'!A$2:A$401,$X233)))</f>
        <v/>
      </c>
      <c r="B233">
        <f>IF($X233="","",IF(INDEX('Per Invoice'!B$2:B$401,$X233)="","",INDEX('Per Invoice'!B$2:B$401,$X233)))</f>
        <v/>
      </c>
      <c r="C233">
        <f>IF($X233="","",IF(INDEX('Per Invoice'!C$2:C$401,$X233)="","",INDEX('Per Invoice'!C$2:C$401,$X233)))</f>
        <v/>
      </c>
      <c r="D233">
        <f>IF($X233="","",IF(INDEX('Per Invoice'!D$2:D$401,$X233)="","",INDEX('Per Invoice'!D$2:D$401,$X233)))</f>
        <v/>
      </c>
      <c r="E233">
        <f>IF($X233="","",IF(INDEX('Per Invoice'!E$2:E$401,$X233)="","",INDEX('Per Invoice'!E$2:E$401,$X233)))</f>
        <v/>
      </c>
      <c r="F233">
        <f>IF($X233="","",IF(INDEX('Per Invoice'!F$2:F$401,$X233)="","",INDEX('Per Invoice'!F$2:F$401,$X233)))</f>
        <v/>
      </c>
      <c r="G233">
        <f>IF($X233="","",IF(INDEX('Per Invoice'!G$2:G$401,$X233)="","",INDEX('Per Invoice'!G$2:G$401,$X233)))</f>
        <v/>
      </c>
      <c r="H233">
        <f>IF($X233="","",IF(INDEX('Per Invoice'!H$2:H$401,$X233)="","",INDEX('Per Invoice'!H$2:H$401,$X233)))</f>
        <v/>
      </c>
      <c r="I233">
        <f>IF($X233="","",IF(INDEX('Per Invoice'!I$2:I$401,$X233)="","",INDEX('Per Invoice'!I$2:I$401,$X233)))</f>
        <v/>
      </c>
      <c r="J233">
        <f>IF($X233="","",IF(INDEX('Per Invoice'!J$2:J$401,$X233)="","",INDEX('Per Invoice'!J$2:J$401,$X233)))</f>
        <v/>
      </c>
      <c r="K233" s="14">
        <f>IF($X233="","",IF(INDEX('Per Invoice'!K$2:K$401,$X233)="","",INDEX('Per Invoice'!K$2:K$401,$X233)))</f>
        <v/>
      </c>
      <c r="L233">
        <f>IF($X233="","",IF(INDEX('Per Invoice'!L$2:L$401,$X233)="","",INDEX('Per Invoice'!L$2:L$401,$X233)))</f>
        <v/>
      </c>
      <c r="M233" s="7">
        <f>IF($X233="","",IF(INDEX('Per Invoice'!M$2:M$401,$X233)="","",INDEX('Per Invoice'!M$2:M$401,$X233)))</f>
        <v/>
      </c>
      <c r="N233">
        <f>IF($X233="","",IF(INDEX('Per Invoice'!N$2:N$401,$X233)="","",INDEX('Per Invoice'!N$2:N$401,$X233)))</f>
        <v/>
      </c>
      <c r="O233" s="7">
        <f>IF($X233="","",IF(INDEX('Per Invoice'!O$2:O$401,$X233)="","",INDEX('Per Invoice'!O$2:O$401,$X233)))</f>
        <v/>
      </c>
      <c r="P233" s="7">
        <f>IF($X233="","",IF(INDEX('Per Invoice'!P$2:P$401,$X233)="","",INDEX('Per Invoice'!P$2:P$401,$X233)))</f>
        <v/>
      </c>
      <c r="Q233">
        <f>IF($X233="","",IF(INDEX('Per Invoice'!Q$2:Q$401,$X233)="","",INDEX('Per Invoice'!Q$2:Q$401,$X233)))</f>
        <v/>
      </c>
      <c r="R233" s="7">
        <f>IF($X233="","",IF(INDEX('Per Invoice'!R$2:R$401,$X233)="","",INDEX('Per Invoice'!R$2:R$401,$X233)))</f>
        <v/>
      </c>
      <c r="S233" s="7">
        <f>IF($X233="","",IF(INDEX('Per Invoice'!S$2:S$401,$X233)="","",INDEX('Per Invoice'!S$2:S$401,$X233)))</f>
        <v/>
      </c>
      <c r="T233" s="7">
        <f>IF($X233="","",IF(INDEX('Per Invoice'!T$2:T$401,$X233)="","",INDEX('Per Invoice'!T$2:T$401,$X233)))</f>
        <v/>
      </c>
      <c r="U233" s="7">
        <f>IF($X233="","",IF(INDEX('Per Invoice'!U$2:U$401,$X233)="","",INDEX('Per Invoice'!U$2:U$401,$X233)))</f>
        <v/>
      </c>
      <c r="V233" s="7">
        <f>IF($X233="","",IF(INDEX('Per Invoice'!V$2:V$401,$X233)="","",INDEX('Per Invoice'!V$2:V$401,$X233)))</f>
        <v/>
      </c>
      <c r="W233" s="7">
        <f>IF($X233="","",IF(INDEX('Per Invoice'!W$2:W$401,$X233)="","",INDEX('Per Invoice'!W$2:W$401,$X233)))</f>
        <v/>
      </c>
      <c r="X233" s="16">
        <f>IFERROR(MATCH(Settings!$C$33&amp;"|"&amp;ROWS($X$2:$X233),'Per Invoice'!$Y$2:$Y$401,0),"")</f>
        <v/>
      </c>
    </row>
    <row r="234">
      <c r="A234">
        <f>IF($X234="","",IF(INDEX('Per Invoice'!A$2:A$401,$X234)="","",INDEX('Per Invoice'!A$2:A$401,$X234)))</f>
        <v/>
      </c>
      <c r="B234">
        <f>IF($X234="","",IF(INDEX('Per Invoice'!B$2:B$401,$X234)="","",INDEX('Per Invoice'!B$2:B$401,$X234)))</f>
        <v/>
      </c>
      <c r="C234">
        <f>IF($X234="","",IF(INDEX('Per Invoice'!C$2:C$401,$X234)="","",INDEX('Per Invoice'!C$2:C$401,$X234)))</f>
        <v/>
      </c>
      <c r="D234">
        <f>IF($X234="","",IF(INDEX('Per Invoice'!D$2:D$401,$X234)="","",INDEX('Per Invoice'!D$2:D$401,$X234)))</f>
        <v/>
      </c>
      <c r="E234">
        <f>IF($X234="","",IF(INDEX('Per Invoice'!E$2:E$401,$X234)="","",INDEX('Per Invoice'!E$2:E$401,$X234)))</f>
        <v/>
      </c>
      <c r="F234">
        <f>IF($X234="","",IF(INDEX('Per Invoice'!F$2:F$401,$X234)="","",INDEX('Per Invoice'!F$2:F$401,$X234)))</f>
        <v/>
      </c>
      <c r="G234">
        <f>IF($X234="","",IF(INDEX('Per Invoice'!G$2:G$401,$X234)="","",INDEX('Per Invoice'!G$2:G$401,$X234)))</f>
        <v/>
      </c>
      <c r="H234">
        <f>IF($X234="","",IF(INDEX('Per Invoice'!H$2:H$401,$X234)="","",INDEX('Per Invoice'!H$2:H$401,$X234)))</f>
        <v/>
      </c>
      <c r="I234">
        <f>IF($X234="","",IF(INDEX('Per Invoice'!I$2:I$401,$X234)="","",INDEX('Per Invoice'!I$2:I$401,$X234)))</f>
        <v/>
      </c>
      <c r="J234">
        <f>IF($X234="","",IF(INDEX('Per Invoice'!J$2:J$401,$X234)="","",INDEX('Per Invoice'!J$2:J$401,$X234)))</f>
        <v/>
      </c>
      <c r="K234" s="14">
        <f>IF($X234="","",IF(INDEX('Per Invoice'!K$2:K$401,$X234)="","",INDEX('Per Invoice'!K$2:K$401,$X234)))</f>
        <v/>
      </c>
      <c r="L234">
        <f>IF($X234="","",IF(INDEX('Per Invoice'!L$2:L$401,$X234)="","",INDEX('Per Invoice'!L$2:L$401,$X234)))</f>
        <v/>
      </c>
      <c r="M234" s="7">
        <f>IF($X234="","",IF(INDEX('Per Invoice'!M$2:M$401,$X234)="","",INDEX('Per Invoice'!M$2:M$401,$X234)))</f>
        <v/>
      </c>
      <c r="N234">
        <f>IF($X234="","",IF(INDEX('Per Invoice'!N$2:N$401,$X234)="","",INDEX('Per Invoice'!N$2:N$401,$X234)))</f>
        <v/>
      </c>
      <c r="O234" s="7">
        <f>IF($X234="","",IF(INDEX('Per Invoice'!O$2:O$401,$X234)="","",INDEX('Per Invoice'!O$2:O$401,$X234)))</f>
        <v/>
      </c>
      <c r="P234" s="7">
        <f>IF($X234="","",IF(INDEX('Per Invoice'!P$2:P$401,$X234)="","",INDEX('Per Invoice'!P$2:P$401,$X234)))</f>
        <v/>
      </c>
      <c r="Q234">
        <f>IF($X234="","",IF(INDEX('Per Invoice'!Q$2:Q$401,$X234)="","",INDEX('Per Invoice'!Q$2:Q$401,$X234)))</f>
        <v/>
      </c>
      <c r="R234" s="7">
        <f>IF($X234="","",IF(INDEX('Per Invoice'!R$2:R$401,$X234)="","",INDEX('Per Invoice'!R$2:R$401,$X234)))</f>
        <v/>
      </c>
      <c r="S234" s="7">
        <f>IF($X234="","",IF(INDEX('Per Invoice'!S$2:S$401,$X234)="","",INDEX('Per Invoice'!S$2:S$401,$X234)))</f>
        <v/>
      </c>
      <c r="T234" s="7">
        <f>IF($X234="","",IF(INDEX('Per Invoice'!T$2:T$401,$X234)="","",INDEX('Per Invoice'!T$2:T$401,$X234)))</f>
        <v/>
      </c>
      <c r="U234" s="7">
        <f>IF($X234="","",IF(INDEX('Per Invoice'!U$2:U$401,$X234)="","",INDEX('Per Invoice'!U$2:U$401,$X234)))</f>
        <v/>
      </c>
      <c r="V234" s="7">
        <f>IF($X234="","",IF(INDEX('Per Invoice'!V$2:V$401,$X234)="","",INDEX('Per Invoice'!V$2:V$401,$X234)))</f>
        <v/>
      </c>
      <c r="W234" s="7">
        <f>IF($X234="","",IF(INDEX('Per Invoice'!W$2:W$401,$X234)="","",INDEX('Per Invoice'!W$2:W$401,$X234)))</f>
        <v/>
      </c>
      <c r="X234" s="16">
        <f>IFERROR(MATCH(Settings!$C$33&amp;"|"&amp;ROWS($X$2:$X234),'Per Invoice'!$Y$2:$Y$401,0),"")</f>
        <v/>
      </c>
    </row>
    <row r="235">
      <c r="A235">
        <f>IF($X235="","",IF(INDEX('Per Invoice'!A$2:A$401,$X235)="","",INDEX('Per Invoice'!A$2:A$401,$X235)))</f>
        <v/>
      </c>
      <c r="B235">
        <f>IF($X235="","",IF(INDEX('Per Invoice'!B$2:B$401,$X235)="","",INDEX('Per Invoice'!B$2:B$401,$X235)))</f>
        <v/>
      </c>
      <c r="C235">
        <f>IF($X235="","",IF(INDEX('Per Invoice'!C$2:C$401,$X235)="","",INDEX('Per Invoice'!C$2:C$401,$X235)))</f>
        <v/>
      </c>
      <c r="D235">
        <f>IF($X235="","",IF(INDEX('Per Invoice'!D$2:D$401,$X235)="","",INDEX('Per Invoice'!D$2:D$401,$X235)))</f>
        <v/>
      </c>
      <c r="E235">
        <f>IF($X235="","",IF(INDEX('Per Invoice'!E$2:E$401,$X235)="","",INDEX('Per Invoice'!E$2:E$401,$X235)))</f>
        <v/>
      </c>
      <c r="F235">
        <f>IF($X235="","",IF(INDEX('Per Invoice'!F$2:F$401,$X235)="","",INDEX('Per Invoice'!F$2:F$401,$X235)))</f>
        <v/>
      </c>
      <c r="G235">
        <f>IF($X235="","",IF(INDEX('Per Invoice'!G$2:G$401,$X235)="","",INDEX('Per Invoice'!G$2:G$401,$X235)))</f>
        <v/>
      </c>
      <c r="H235">
        <f>IF($X235="","",IF(INDEX('Per Invoice'!H$2:H$401,$X235)="","",INDEX('Per Invoice'!H$2:H$401,$X235)))</f>
        <v/>
      </c>
      <c r="I235">
        <f>IF($X235="","",IF(INDEX('Per Invoice'!I$2:I$401,$X235)="","",INDEX('Per Invoice'!I$2:I$401,$X235)))</f>
        <v/>
      </c>
      <c r="J235">
        <f>IF($X235="","",IF(INDEX('Per Invoice'!J$2:J$401,$X235)="","",INDEX('Per Invoice'!J$2:J$401,$X235)))</f>
        <v/>
      </c>
      <c r="K235" s="14">
        <f>IF($X235="","",IF(INDEX('Per Invoice'!K$2:K$401,$X235)="","",INDEX('Per Invoice'!K$2:K$401,$X235)))</f>
        <v/>
      </c>
      <c r="L235">
        <f>IF($X235="","",IF(INDEX('Per Invoice'!L$2:L$401,$X235)="","",INDEX('Per Invoice'!L$2:L$401,$X235)))</f>
        <v/>
      </c>
      <c r="M235" s="7">
        <f>IF($X235="","",IF(INDEX('Per Invoice'!M$2:M$401,$X235)="","",INDEX('Per Invoice'!M$2:M$401,$X235)))</f>
        <v/>
      </c>
      <c r="N235">
        <f>IF($X235="","",IF(INDEX('Per Invoice'!N$2:N$401,$X235)="","",INDEX('Per Invoice'!N$2:N$401,$X235)))</f>
        <v/>
      </c>
      <c r="O235" s="7">
        <f>IF($X235="","",IF(INDEX('Per Invoice'!O$2:O$401,$X235)="","",INDEX('Per Invoice'!O$2:O$401,$X235)))</f>
        <v/>
      </c>
      <c r="P235" s="7">
        <f>IF($X235="","",IF(INDEX('Per Invoice'!P$2:P$401,$X235)="","",INDEX('Per Invoice'!P$2:P$401,$X235)))</f>
        <v/>
      </c>
      <c r="Q235">
        <f>IF($X235="","",IF(INDEX('Per Invoice'!Q$2:Q$401,$X235)="","",INDEX('Per Invoice'!Q$2:Q$401,$X235)))</f>
        <v/>
      </c>
      <c r="R235" s="7">
        <f>IF($X235="","",IF(INDEX('Per Invoice'!R$2:R$401,$X235)="","",INDEX('Per Invoice'!R$2:R$401,$X235)))</f>
        <v/>
      </c>
      <c r="S235" s="7">
        <f>IF($X235="","",IF(INDEX('Per Invoice'!S$2:S$401,$X235)="","",INDEX('Per Invoice'!S$2:S$401,$X235)))</f>
        <v/>
      </c>
      <c r="T235" s="7">
        <f>IF($X235="","",IF(INDEX('Per Invoice'!T$2:T$401,$X235)="","",INDEX('Per Invoice'!T$2:T$401,$X235)))</f>
        <v/>
      </c>
      <c r="U235" s="7">
        <f>IF($X235="","",IF(INDEX('Per Invoice'!U$2:U$401,$X235)="","",INDEX('Per Invoice'!U$2:U$401,$X235)))</f>
        <v/>
      </c>
      <c r="V235" s="7">
        <f>IF($X235="","",IF(INDEX('Per Invoice'!V$2:V$401,$X235)="","",INDEX('Per Invoice'!V$2:V$401,$X235)))</f>
        <v/>
      </c>
      <c r="W235" s="7">
        <f>IF($X235="","",IF(INDEX('Per Invoice'!W$2:W$401,$X235)="","",INDEX('Per Invoice'!W$2:W$401,$X235)))</f>
        <v/>
      </c>
      <c r="X235" s="16">
        <f>IFERROR(MATCH(Settings!$C$33&amp;"|"&amp;ROWS($X$2:$X235),'Per Invoice'!$Y$2:$Y$401,0),"")</f>
        <v/>
      </c>
    </row>
    <row r="236">
      <c r="A236">
        <f>IF($X236="","",IF(INDEX('Per Invoice'!A$2:A$401,$X236)="","",INDEX('Per Invoice'!A$2:A$401,$X236)))</f>
        <v/>
      </c>
      <c r="B236">
        <f>IF($X236="","",IF(INDEX('Per Invoice'!B$2:B$401,$X236)="","",INDEX('Per Invoice'!B$2:B$401,$X236)))</f>
        <v/>
      </c>
      <c r="C236">
        <f>IF($X236="","",IF(INDEX('Per Invoice'!C$2:C$401,$X236)="","",INDEX('Per Invoice'!C$2:C$401,$X236)))</f>
        <v/>
      </c>
      <c r="D236">
        <f>IF($X236="","",IF(INDEX('Per Invoice'!D$2:D$401,$X236)="","",INDEX('Per Invoice'!D$2:D$401,$X236)))</f>
        <v/>
      </c>
      <c r="E236">
        <f>IF($X236="","",IF(INDEX('Per Invoice'!E$2:E$401,$X236)="","",INDEX('Per Invoice'!E$2:E$401,$X236)))</f>
        <v/>
      </c>
      <c r="F236">
        <f>IF($X236="","",IF(INDEX('Per Invoice'!F$2:F$401,$X236)="","",INDEX('Per Invoice'!F$2:F$401,$X236)))</f>
        <v/>
      </c>
      <c r="G236">
        <f>IF($X236="","",IF(INDEX('Per Invoice'!G$2:G$401,$X236)="","",INDEX('Per Invoice'!G$2:G$401,$X236)))</f>
        <v/>
      </c>
      <c r="H236">
        <f>IF($X236="","",IF(INDEX('Per Invoice'!H$2:H$401,$X236)="","",INDEX('Per Invoice'!H$2:H$401,$X236)))</f>
        <v/>
      </c>
      <c r="I236">
        <f>IF($X236="","",IF(INDEX('Per Invoice'!I$2:I$401,$X236)="","",INDEX('Per Invoice'!I$2:I$401,$X236)))</f>
        <v/>
      </c>
      <c r="J236">
        <f>IF($X236="","",IF(INDEX('Per Invoice'!J$2:J$401,$X236)="","",INDEX('Per Invoice'!J$2:J$401,$X236)))</f>
        <v/>
      </c>
      <c r="K236" s="14">
        <f>IF($X236="","",IF(INDEX('Per Invoice'!K$2:K$401,$X236)="","",INDEX('Per Invoice'!K$2:K$401,$X236)))</f>
        <v/>
      </c>
      <c r="L236">
        <f>IF($X236="","",IF(INDEX('Per Invoice'!L$2:L$401,$X236)="","",INDEX('Per Invoice'!L$2:L$401,$X236)))</f>
        <v/>
      </c>
      <c r="M236" s="7">
        <f>IF($X236="","",IF(INDEX('Per Invoice'!M$2:M$401,$X236)="","",INDEX('Per Invoice'!M$2:M$401,$X236)))</f>
        <v/>
      </c>
      <c r="N236">
        <f>IF($X236="","",IF(INDEX('Per Invoice'!N$2:N$401,$X236)="","",INDEX('Per Invoice'!N$2:N$401,$X236)))</f>
        <v/>
      </c>
      <c r="O236" s="7">
        <f>IF($X236="","",IF(INDEX('Per Invoice'!O$2:O$401,$X236)="","",INDEX('Per Invoice'!O$2:O$401,$X236)))</f>
        <v/>
      </c>
      <c r="P236" s="7">
        <f>IF($X236="","",IF(INDEX('Per Invoice'!P$2:P$401,$X236)="","",INDEX('Per Invoice'!P$2:P$401,$X236)))</f>
        <v/>
      </c>
      <c r="Q236">
        <f>IF($X236="","",IF(INDEX('Per Invoice'!Q$2:Q$401,$X236)="","",INDEX('Per Invoice'!Q$2:Q$401,$X236)))</f>
        <v/>
      </c>
      <c r="R236" s="7">
        <f>IF($X236="","",IF(INDEX('Per Invoice'!R$2:R$401,$X236)="","",INDEX('Per Invoice'!R$2:R$401,$X236)))</f>
        <v/>
      </c>
      <c r="S236" s="7">
        <f>IF($X236="","",IF(INDEX('Per Invoice'!S$2:S$401,$X236)="","",INDEX('Per Invoice'!S$2:S$401,$X236)))</f>
        <v/>
      </c>
      <c r="T236" s="7">
        <f>IF($X236="","",IF(INDEX('Per Invoice'!T$2:T$401,$X236)="","",INDEX('Per Invoice'!T$2:T$401,$X236)))</f>
        <v/>
      </c>
      <c r="U236" s="7">
        <f>IF($X236="","",IF(INDEX('Per Invoice'!U$2:U$401,$X236)="","",INDEX('Per Invoice'!U$2:U$401,$X236)))</f>
        <v/>
      </c>
      <c r="V236" s="7">
        <f>IF($X236="","",IF(INDEX('Per Invoice'!V$2:V$401,$X236)="","",INDEX('Per Invoice'!V$2:V$401,$X236)))</f>
        <v/>
      </c>
      <c r="W236" s="7">
        <f>IF($X236="","",IF(INDEX('Per Invoice'!W$2:W$401,$X236)="","",INDEX('Per Invoice'!W$2:W$401,$X236)))</f>
        <v/>
      </c>
      <c r="X236" s="16">
        <f>IFERROR(MATCH(Settings!$C$33&amp;"|"&amp;ROWS($X$2:$X236),'Per Invoice'!$Y$2:$Y$401,0),"")</f>
        <v/>
      </c>
    </row>
    <row r="237">
      <c r="A237">
        <f>IF($X237="","",IF(INDEX('Per Invoice'!A$2:A$401,$X237)="","",INDEX('Per Invoice'!A$2:A$401,$X237)))</f>
        <v/>
      </c>
      <c r="B237">
        <f>IF($X237="","",IF(INDEX('Per Invoice'!B$2:B$401,$X237)="","",INDEX('Per Invoice'!B$2:B$401,$X237)))</f>
        <v/>
      </c>
      <c r="C237">
        <f>IF($X237="","",IF(INDEX('Per Invoice'!C$2:C$401,$X237)="","",INDEX('Per Invoice'!C$2:C$401,$X237)))</f>
        <v/>
      </c>
      <c r="D237">
        <f>IF($X237="","",IF(INDEX('Per Invoice'!D$2:D$401,$X237)="","",INDEX('Per Invoice'!D$2:D$401,$X237)))</f>
        <v/>
      </c>
      <c r="E237">
        <f>IF($X237="","",IF(INDEX('Per Invoice'!E$2:E$401,$X237)="","",INDEX('Per Invoice'!E$2:E$401,$X237)))</f>
        <v/>
      </c>
      <c r="F237">
        <f>IF($X237="","",IF(INDEX('Per Invoice'!F$2:F$401,$X237)="","",INDEX('Per Invoice'!F$2:F$401,$X237)))</f>
        <v/>
      </c>
      <c r="G237">
        <f>IF($X237="","",IF(INDEX('Per Invoice'!G$2:G$401,$X237)="","",INDEX('Per Invoice'!G$2:G$401,$X237)))</f>
        <v/>
      </c>
      <c r="H237">
        <f>IF($X237="","",IF(INDEX('Per Invoice'!H$2:H$401,$X237)="","",INDEX('Per Invoice'!H$2:H$401,$X237)))</f>
        <v/>
      </c>
      <c r="I237">
        <f>IF($X237="","",IF(INDEX('Per Invoice'!I$2:I$401,$X237)="","",INDEX('Per Invoice'!I$2:I$401,$X237)))</f>
        <v/>
      </c>
      <c r="J237">
        <f>IF($X237="","",IF(INDEX('Per Invoice'!J$2:J$401,$X237)="","",INDEX('Per Invoice'!J$2:J$401,$X237)))</f>
        <v/>
      </c>
      <c r="K237" s="14">
        <f>IF($X237="","",IF(INDEX('Per Invoice'!K$2:K$401,$X237)="","",INDEX('Per Invoice'!K$2:K$401,$X237)))</f>
        <v/>
      </c>
      <c r="L237">
        <f>IF($X237="","",IF(INDEX('Per Invoice'!L$2:L$401,$X237)="","",INDEX('Per Invoice'!L$2:L$401,$X237)))</f>
        <v/>
      </c>
      <c r="M237" s="7">
        <f>IF($X237="","",IF(INDEX('Per Invoice'!M$2:M$401,$X237)="","",INDEX('Per Invoice'!M$2:M$401,$X237)))</f>
        <v/>
      </c>
      <c r="N237">
        <f>IF($X237="","",IF(INDEX('Per Invoice'!N$2:N$401,$X237)="","",INDEX('Per Invoice'!N$2:N$401,$X237)))</f>
        <v/>
      </c>
      <c r="O237" s="7">
        <f>IF($X237="","",IF(INDEX('Per Invoice'!O$2:O$401,$X237)="","",INDEX('Per Invoice'!O$2:O$401,$X237)))</f>
        <v/>
      </c>
      <c r="P237" s="7">
        <f>IF($X237="","",IF(INDEX('Per Invoice'!P$2:P$401,$X237)="","",INDEX('Per Invoice'!P$2:P$401,$X237)))</f>
        <v/>
      </c>
      <c r="Q237">
        <f>IF($X237="","",IF(INDEX('Per Invoice'!Q$2:Q$401,$X237)="","",INDEX('Per Invoice'!Q$2:Q$401,$X237)))</f>
        <v/>
      </c>
      <c r="R237" s="7">
        <f>IF($X237="","",IF(INDEX('Per Invoice'!R$2:R$401,$X237)="","",INDEX('Per Invoice'!R$2:R$401,$X237)))</f>
        <v/>
      </c>
      <c r="S237" s="7">
        <f>IF($X237="","",IF(INDEX('Per Invoice'!S$2:S$401,$X237)="","",INDEX('Per Invoice'!S$2:S$401,$X237)))</f>
        <v/>
      </c>
      <c r="T237" s="7">
        <f>IF($X237="","",IF(INDEX('Per Invoice'!T$2:T$401,$X237)="","",INDEX('Per Invoice'!T$2:T$401,$X237)))</f>
        <v/>
      </c>
      <c r="U237" s="7">
        <f>IF($X237="","",IF(INDEX('Per Invoice'!U$2:U$401,$X237)="","",INDEX('Per Invoice'!U$2:U$401,$X237)))</f>
        <v/>
      </c>
      <c r="V237" s="7">
        <f>IF($X237="","",IF(INDEX('Per Invoice'!V$2:V$401,$X237)="","",INDEX('Per Invoice'!V$2:V$401,$X237)))</f>
        <v/>
      </c>
      <c r="W237" s="7">
        <f>IF($X237="","",IF(INDEX('Per Invoice'!W$2:W$401,$X237)="","",INDEX('Per Invoice'!W$2:W$401,$X237)))</f>
        <v/>
      </c>
      <c r="X237" s="16">
        <f>IFERROR(MATCH(Settings!$C$33&amp;"|"&amp;ROWS($X$2:$X237),'Per Invoice'!$Y$2:$Y$401,0),"")</f>
        <v/>
      </c>
    </row>
    <row r="238">
      <c r="A238">
        <f>IF($X238="","",IF(INDEX('Per Invoice'!A$2:A$401,$X238)="","",INDEX('Per Invoice'!A$2:A$401,$X238)))</f>
        <v/>
      </c>
      <c r="B238">
        <f>IF($X238="","",IF(INDEX('Per Invoice'!B$2:B$401,$X238)="","",INDEX('Per Invoice'!B$2:B$401,$X238)))</f>
        <v/>
      </c>
      <c r="C238">
        <f>IF($X238="","",IF(INDEX('Per Invoice'!C$2:C$401,$X238)="","",INDEX('Per Invoice'!C$2:C$401,$X238)))</f>
        <v/>
      </c>
      <c r="D238">
        <f>IF($X238="","",IF(INDEX('Per Invoice'!D$2:D$401,$X238)="","",INDEX('Per Invoice'!D$2:D$401,$X238)))</f>
        <v/>
      </c>
      <c r="E238">
        <f>IF($X238="","",IF(INDEX('Per Invoice'!E$2:E$401,$X238)="","",INDEX('Per Invoice'!E$2:E$401,$X238)))</f>
        <v/>
      </c>
      <c r="F238">
        <f>IF($X238="","",IF(INDEX('Per Invoice'!F$2:F$401,$X238)="","",INDEX('Per Invoice'!F$2:F$401,$X238)))</f>
        <v/>
      </c>
      <c r="G238">
        <f>IF($X238="","",IF(INDEX('Per Invoice'!G$2:G$401,$X238)="","",INDEX('Per Invoice'!G$2:G$401,$X238)))</f>
        <v/>
      </c>
      <c r="H238">
        <f>IF($X238="","",IF(INDEX('Per Invoice'!H$2:H$401,$X238)="","",INDEX('Per Invoice'!H$2:H$401,$X238)))</f>
        <v/>
      </c>
      <c r="I238">
        <f>IF($X238="","",IF(INDEX('Per Invoice'!I$2:I$401,$X238)="","",INDEX('Per Invoice'!I$2:I$401,$X238)))</f>
        <v/>
      </c>
      <c r="J238">
        <f>IF($X238="","",IF(INDEX('Per Invoice'!J$2:J$401,$X238)="","",INDEX('Per Invoice'!J$2:J$401,$X238)))</f>
        <v/>
      </c>
      <c r="K238" s="14">
        <f>IF($X238="","",IF(INDEX('Per Invoice'!K$2:K$401,$X238)="","",INDEX('Per Invoice'!K$2:K$401,$X238)))</f>
        <v/>
      </c>
      <c r="L238">
        <f>IF($X238="","",IF(INDEX('Per Invoice'!L$2:L$401,$X238)="","",INDEX('Per Invoice'!L$2:L$401,$X238)))</f>
        <v/>
      </c>
      <c r="M238" s="7">
        <f>IF($X238="","",IF(INDEX('Per Invoice'!M$2:M$401,$X238)="","",INDEX('Per Invoice'!M$2:M$401,$X238)))</f>
        <v/>
      </c>
      <c r="N238">
        <f>IF($X238="","",IF(INDEX('Per Invoice'!N$2:N$401,$X238)="","",INDEX('Per Invoice'!N$2:N$401,$X238)))</f>
        <v/>
      </c>
      <c r="O238" s="7">
        <f>IF($X238="","",IF(INDEX('Per Invoice'!O$2:O$401,$X238)="","",INDEX('Per Invoice'!O$2:O$401,$X238)))</f>
        <v/>
      </c>
      <c r="P238" s="7">
        <f>IF($X238="","",IF(INDEX('Per Invoice'!P$2:P$401,$X238)="","",INDEX('Per Invoice'!P$2:P$401,$X238)))</f>
        <v/>
      </c>
      <c r="Q238">
        <f>IF($X238="","",IF(INDEX('Per Invoice'!Q$2:Q$401,$X238)="","",INDEX('Per Invoice'!Q$2:Q$401,$X238)))</f>
        <v/>
      </c>
      <c r="R238" s="7">
        <f>IF($X238="","",IF(INDEX('Per Invoice'!R$2:R$401,$X238)="","",INDEX('Per Invoice'!R$2:R$401,$X238)))</f>
        <v/>
      </c>
      <c r="S238" s="7">
        <f>IF($X238="","",IF(INDEX('Per Invoice'!S$2:S$401,$X238)="","",INDEX('Per Invoice'!S$2:S$401,$X238)))</f>
        <v/>
      </c>
      <c r="T238" s="7">
        <f>IF($X238="","",IF(INDEX('Per Invoice'!T$2:T$401,$X238)="","",INDEX('Per Invoice'!T$2:T$401,$X238)))</f>
        <v/>
      </c>
      <c r="U238" s="7">
        <f>IF($X238="","",IF(INDEX('Per Invoice'!U$2:U$401,$X238)="","",INDEX('Per Invoice'!U$2:U$401,$X238)))</f>
        <v/>
      </c>
      <c r="V238" s="7">
        <f>IF($X238="","",IF(INDEX('Per Invoice'!V$2:V$401,$X238)="","",INDEX('Per Invoice'!V$2:V$401,$X238)))</f>
        <v/>
      </c>
      <c r="W238" s="7">
        <f>IF($X238="","",IF(INDEX('Per Invoice'!W$2:W$401,$X238)="","",INDEX('Per Invoice'!W$2:W$401,$X238)))</f>
        <v/>
      </c>
      <c r="X238" s="16">
        <f>IFERROR(MATCH(Settings!$C$33&amp;"|"&amp;ROWS($X$2:$X238),'Per Invoice'!$Y$2:$Y$401,0),"")</f>
        <v/>
      </c>
    </row>
    <row r="239">
      <c r="A239">
        <f>IF($X239="","",IF(INDEX('Per Invoice'!A$2:A$401,$X239)="","",INDEX('Per Invoice'!A$2:A$401,$X239)))</f>
        <v/>
      </c>
      <c r="B239">
        <f>IF($X239="","",IF(INDEX('Per Invoice'!B$2:B$401,$X239)="","",INDEX('Per Invoice'!B$2:B$401,$X239)))</f>
        <v/>
      </c>
      <c r="C239">
        <f>IF($X239="","",IF(INDEX('Per Invoice'!C$2:C$401,$X239)="","",INDEX('Per Invoice'!C$2:C$401,$X239)))</f>
        <v/>
      </c>
      <c r="D239">
        <f>IF($X239="","",IF(INDEX('Per Invoice'!D$2:D$401,$X239)="","",INDEX('Per Invoice'!D$2:D$401,$X239)))</f>
        <v/>
      </c>
      <c r="E239">
        <f>IF($X239="","",IF(INDEX('Per Invoice'!E$2:E$401,$X239)="","",INDEX('Per Invoice'!E$2:E$401,$X239)))</f>
        <v/>
      </c>
      <c r="F239">
        <f>IF($X239="","",IF(INDEX('Per Invoice'!F$2:F$401,$X239)="","",INDEX('Per Invoice'!F$2:F$401,$X239)))</f>
        <v/>
      </c>
      <c r="G239">
        <f>IF($X239="","",IF(INDEX('Per Invoice'!G$2:G$401,$X239)="","",INDEX('Per Invoice'!G$2:G$401,$X239)))</f>
        <v/>
      </c>
      <c r="H239">
        <f>IF($X239="","",IF(INDEX('Per Invoice'!H$2:H$401,$X239)="","",INDEX('Per Invoice'!H$2:H$401,$X239)))</f>
        <v/>
      </c>
      <c r="I239">
        <f>IF($X239="","",IF(INDEX('Per Invoice'!I$2:I$401,$X239)="","",INDEX('Per Invoice'!I$2:I$401,$X239)))</f>
        <v/>
      </c>
      <c r="J239">
        <f>IF($X239="","",IF(INDEX('Per Invoice'!J$2:J$401,$X239)="","",INDEX('Per Invoice'!J$2:J$401,$X239)))</f>
        <v/>
      </c>
      <c r="K239" s="14">
        <f>IF($X239="","",IF(INDEX('Per Invoice'!K$2:K$401,$X239)="","",INDEX('Per Invoice'!K$2:K$401,$X239)))</f>
        <v/>
      </c>
      <c r="L239">
        <f>IF($X239="","",IF(INDEX('Per Invoice'!L$2:L$401,$X239)="","",INDEX('Per Invoice'!L$2:L$401,$X239)))</f>
        <v/>
      </c>
      <c r="M239" s="7">
        <f>IF($X239="","",IF(INDEX('Per Invoice'!M$2:M$401,$X239)="","",INDEX('Per Invoice'!M$2:M$401,$X239)))</f>
        <v/>
      </c>
      <c r="N239">
        <f>IF($X239="","",IF(INDEX('Per Invoice'!N$2:N$401,$X239)="","",INDEX('Per Invoice'!N$2:N$401,$X239)))</f>
        <v/>
      </c>
      <c r="O239" s="7">
        <f>IF($X239="","",IF(INDEX('Per Invoice'!O$2:O$401,$X239)="","",INDEX('Per Invoice'!O$2:O$401,$X239)))</f>
        <v/>
      </c>
      <c r="P239" s="7">
        <f>IF($X239="","",IF(INDEX('Per Invoice'!P$2:P$401,$X239)="","",INDEX('Per Invoice'!P$2:P$401,$X239)))</f>
        <v/>
      </c>
      <c r="Q239">
        <f>IF($X239="","",IF(INDEX('Per Invoice'!Q$2:Q$401,$X239)="","",INDEX('Per Invoice'!Q$2:Q$401,$X239)))</f>
        <v/>
      </c>
      <c r="R239" s="7">
        <f>IF($X239="","",IF(INDEX('Per Invoice'!R$2:R$401,$X239)="","",INDEX('Per Invoice'!R$2:R$401,$X239)))</f>
        <v/>
      </c>
      <c r="S239" s="7">
        <f>IF($X239="","",IF(INDEX('Per Invoice'!S$2:S$401,$X239)="","",INDEX('Per Invoice'!S$2:S$401,$X239)))</f>
        <v/>
      </c>
      <c r="T239" s="7">
        <f>IF($X239="","",IF(INDEX('Per Invoice'!T$2:T$401,$X239)="","",INDEX('Per Invoice'!T$2:T$401,$X239)))</f>
        <v/>
      </c>
      <c r="U239" s="7">
        <f>IF($X239="","",IF(INDEX('Per Invoice'!U$2:U$401,$X239)="","",INDEX('Per Invoice'!U$2:U$401,$X239)))</f>
        <v/>
      </c>
      <c r="V239" s="7">
        <f>IF($X239="","",IF(INDEX('Per Invoice'!V$2:V$401,$X239)="","",INDEX('Per Invoice'!V$2:V$401,$X239)))</f>
        <v/>
      </c>
      <c r="W239" s="7">
        <f>IF($X239="","",IF(INDEX('Per Invoice'!W$2:W$401,$X239)="","",INDEX('Per Invoice'!W$2:W$401,$X239)))</f>
        <v/>
      </c>
      <c r="X239" s="16">
        <f>IFERROR(MATCH(Settings!$C$33&amp;"|"&amp;ROWS($X$2:$X239),'Per Invoice'!$Y$2:$Y$401,0),"")</f>
        <v/>
      </c>
    </row>
    <row r="240">
      <c r="A240">
        <f>IF($X240="","",IF(INDEX('Per Invoice'!A$2:A$401,$X240)="","",INDEX('Per Invoice'!A$2:A$401,$X240)))</f>
        <v/>
      </c>
      <c r="B240">
        <f>IF($X240="","",IF(INDEX('Per Invoice'!B$2:B$401,$X240)="","",INDEX('Per Invoice'!B$2:B$401,$X240)))</f>
        <v/>
      </c>
      <c r="C240">
        <f>IF($X240="","",IF(INDEX('Per Invoice'!C$2:C$401,$X240)="","",INDEX('Per Invoice'!C$2:C$401,$X240)))</f>
        <v/>
      </c>
      <c r="D240">
        <f>IF($X240="","",IF(INDEX('Per Invoice'!D$2:D$401,$X240)="","",INDEX('Per Invoice'!D$2:D$401,$X240)))</f>
        <v/>
      </c>
      <c r="E240">
        <f>IF($X240="","",IF(INDEX('Per Invoice'!E$2:E$401,$X240)="","",INDEX('Per Invoice'!E$2:E$401,$X240)))</f>
        <v/>
      </c>
      <c r="F240">
        <f>IF($X240="","",IF(INDEX('Per Invoice'!F$2:F$401,$X240)="","",INDEX('Per Invoice'!F$2:F$401,$X240)))</f>
        <v/>
      </c>
      <c r="G240">
        <f>IF($X240="","",IF(INDEX('Per Invoice'!G$2:G$401,$X240)="","",INDEX('Per Invoice'!G$2:G$401,$X240)))</f>
        <v/>
      </c>
      <c r="H240">
        <f>IF($X240="","",IF(INDEX('Per Invoice'!H$2:H$401,$X240)="","",INDEX('Per Invoice'!H$2:H$401,$X240)))</f>
        <v/>
      </c>
      <c r="I240">
        <f>IF($X240="","",IF(INDEX('Per Invoice'!I$2:I$401,$X240)="","",INDEX('Per Invoice'!I$2:I$401,$X240)))</f>
        <v/>
      </c>
      <c r="J240">
        <f>IF($X240="","",IF(INDEX('Per Invoice'!J$2:J$401,$X240)="","",INDEX('Per Invoice'!J$2:J$401,$X240)))</f>
        <v/>
      </c>
      <c r="K240" s="14">
        <f>IF($X240="","",IF(INDEX('Per Invoice'!K$2:K$401,$X240)="","",INDEX('Per Invoice'!K$2:K$401,$X240)))</f>
        <v/>
      </c>
      <c r="L240">
        <f>IF($X240="","",IF(INDEX('Per Invoice'!L$2:L$401,$X240)="","",INDEX('Per Invoice'!L$2:L$401,$X240)))</f>
        <v/>
      </c>
      <c r="M240" s="7">
        <f>IF($X240="","",IF(INDEX('Per Invoice'!M$2:M$401,$X240)="","",INDEX('Per Invoice'!M$2:M$401,$X240)))</f>
        <v/>
      </c>
      <c r="N240">
        <f>IF($X240="","",IF(INDEX('Per Invoice'!N$2:N$401,$X240)="","",INDEX('Per Invoice'!N$2:N$401,$X240)))</f>
        <v/>
      </c>
      <c r="O240" s="7">
        <f>IF($X240="","",IF(INDEX('Per Invoice'!O$2:O$401,$X240)="","",INDEX('Per Invoice'!O$2:O$401,$X240)))</f>
        <v/>
      </c>
      <c r="P240" s="7">
        <f>IF($X240="","",IF(INDEX('Per Invoice'!P$2:P$401,$X240)="","",INDEX('Per Invoice'!P$2:P$401,$X240)))</f>
        <v/>
      </c>
      <c r="Q240">
        <f>IF($X240="","",IF(INDEX('Per Invoice'!Q$2:Q$401,$X240)="","",INDEX('Per Invoice'!Q$2:Q$401,$X240)))</f>
        <v/>
      </c>
      <c r="R240" s="7">
        <f>IF($X240="","",IF(INDEX('Per Invoice'!R$2:R$401,$X240)="","",INDEX('Per Invoice'!R$2:R$401,$X240)))</f>
        <v/>
      </c>
      <c r="S240" s="7">
        <f>IF($X240="","",IF(INDEX('Per Invoice'!S$2:S$401,$X240)="","",INDEX('Per Invoice'!S$2:S$401,$X240)))</f>
        <v/>
      </c>
      <c r="T240" s="7">
        <f>IF($X240="","",IF(INDEX('Per Invoice'!T$2:T$401,$X240)="","",INDEX('Per Invoice'!T$2:T$401,$X240)))</f>
        <v/>
      </c>
      <c r="U240" s="7">
        <f>IF($X240="","",IF(INDEX('Per Invoice'!U$2:U$401,$X240)="","",INDEX('Per Invoice'!U$2:U$401,$X240)))</f>
        <v/>
      </c>
      <c r="V240" s="7">
        <f>IF($X240="","",IF(INDEX('Per Invoice'!V$2:V$401,$X240)="","",INDEX('Per Invoice'!V$2:V$401,$X240)))</f>
        <v/>
      </c>
      <c r="W240" s="7">
        <f>IF($X240="","",IF(INDEX('Per Invoice'!W$2:W$401,$X240)="","",INDEX('Per Invoice'!W$2:W$401,$X240)))</f>
        <v/>
      </c>
      <c r="X240" s="16">
        <f>IFERROR(MATCH(Settings!$C$33&amp;"|"&amp;ROWS($X$2:$X240),'Per Invoice'!$Y$2:$Y$401,0),"")</f>
        <v/>
      </c>
    </row>
    <row r="241">
      <c r="A241">
        <f>IF($X241="","",IF(INDEX('Per Invoice'!A$2:A$401,$X241)="","",INDEX('Per Invoice'!A$2:A$401,$X241)))</f>
        <v/>
      </c>
      <c r="B241">
        <f>IF($X241="","",IF(INDEX('Per Invoice'!B$2:B$401,$X241)="","",INDEX('Per Invoice'!B$2:B$401,$X241)))</f>
        <v/>
      </c>
      <c r="C241">
        <f>IF($X241="","",IF(INDEX('Per Invoice'!C$2:C$401,$X241)="","",INDEX('Per Invoice'!C$2:C$401,$X241)))</f>
        <v/>
      </c>
      <c r="D241">
        <f>IF($X241="","",IF(INDEX('Per Invoice'!D$2:D$401,$X241)="","",INDEX('Per Invoice'!D$2:D$401,$X241)))</f>
        <v/>
      </c>
      <c r="E241">
        <f>IF($X241="","",IF(INDEX('Per Invoice'!E$2:E$401,$X241)="","",INDEX('Per Invoice'!E$2:E$401,$X241)))</f>
        <v/>
      </c>
      <c r="F241">
        <f>IF($X241="","",IF(INDEX('Per Invoice'!F$2:F$401,$X241)="","",INDEX('Per Invoice'!F$2:F$401,$X241)))</f>
        <v/>
      </c>
      <c r="G241">
        <f>IF($X241="","",IF(INDEX('Per Invoice'!G$2:G$401,$X241)="","",INDEX('Per Invoice'!G$2:G$401,$X241)))</f>
        <v/>
      </c>
      <c r="H241">
        <f>IF($X241="","",IF(INDEX('Per Invoice'!H$2:H$401,$X241)="","",INDEX('Per Invoice'!H$2:H$401,$X241)))</f>
        <v/>
      </c>
      <c r="I241">
        <f>IF($X241="","",IF(INDEX('Per Invoice'!I$2:I$401,$X241)="","",INDEX('Per Invoice'!I$2:I$401,$X241)))</f>
        <v/>
      </c>
      <c r="J241">
        <f>IF($X241="","",IF(INDEX('Per Invoice'!J$2:J$401,$X241)="","",INDEX('Per Invoice'!J$2:J$401,$X241)))</f>
        <v/>
      </c>
      <c r="K241" s="14">
        <f>IF($X241="","",IF(INDEX('Per Invoice'!K$2:K$401,$X241)="","",INDEX('Per Invoice'!K$2:K$401,$X241)))</f>
        <v/>
      </c>
      <c r="L241">
        <f>IF($X241="","",IF(INDEX('Per Invoice'!L$2:L$401,$X241)="","",INDEX('Per Invoice'!L$2:L$401,$X241)))</f>
        <v/>
      </c>
      <c r="M241" s="7">
        <f>IF($X241="","",IF(INDEX('Per Invoice'!M$2:M$401,$X241)="","",INDEX('Per Invoice'!M$2:M$401,$X241)))</f>
        <v/>
      </c>
      <c r="N241">
        <f>IF($X241="","",IF(INDEX('Per Invoice'!N$2:N$401,$X241)="","",INDEX('Per Invoice'!N$2:N$401,$X241)))</f>
        <v/>
      </c>
      <c r="O241" s="7">
        <f>IF($X241="","",IF(INDEX('Per Invoice'!O$2:O$401,$X241)="","",INDEX('Per Invoice'!O$2:O$401,$X241)))</f>
        <v/>
      </c>
      <c r="P241" s="7">
        <f>IF($X241="","",IF(INDEX('Per Invoice'!P$2:P$401,$X241)="","",INDEX('Per Invoice'!P$2:P$401,$X241)))</f>
        <v/>
      </c>
      <c r="Q241">
        <f>IF($X241="","",IF(INDEX('Per Invoice'!Q$2:Q$401,$X241)="","",INDEX('Per Invoice'!Q$2:Q$401,$X241)))</f>
        <v/>
      </c>
      <c r="R241" s="7">
        <f>IF($X241="","",IF(INDEX('Per Invoice'!R$2:R$401,$X241)="","",INDEX('Per Invoice'!R$2:R$401,$X241)))</f>
        <v/>
      </c>
      <c r="S241" s="7">
        <f>IF($X241="","",IF(INDEX('Per Invoice'!S$2:S$401,$X241)="","",INDEX('Per Invoice'!S$2:S$401,$X241)))</f>
        <v/>
      </c>
      <c r="T241" s="7">
        <f>IF($X241="","",IF(INDEX('Per Invoice'!T$2:T$401,$X241)="","",INDEX('Per Invoice'!T$2:T$401,$X241)))</f>
        <v/>
      </c>
      <c r="U241" s="7">
        <f>IF($X241="","",IF(INDEX('Per Invoice'!U$2:U$401,$X241)="","",INDEX('Per Invoice'!U$2:U$401,$X241)))</f>
        <v/>
      </c>
      <c r="V241" s="7">
        <f>IF($X241="","",IF(INDEX('Per Invoice'!V$2:V$401,$X241)="","",INDEX('Per Invoice'!V$2:V$401,$X241)))</f>
        <v/>
      </c>
      <c r="W241" s="7">
        <f>IF($X241="","",IF(INDEX('Per Invoice'!W$2:W$401,$X241)="","",INDEX('Per Invoice'!W$2:W$401,$X241)))</f>
        <v/>
      </c>
      <c r="X241" s="16">
        <f>IFERROR(MATCH(Settings!$C$33&amp;"|"&amp;ROWS($X$2:$X241),'Per Invoice'!$Y$2:$Y$401,0),"")</f>
        <v/>
      </c>
    </row>
    <row r="242">
      <c r="A242">
        <f>IF($X242="","",IF(INDEX('Per Invoice'!A$2:A$401,$X242)="","",INDEX('Per Invoice'!A$2:A$401,$X242)))</f>
        <v/>
      </c>
      <c r="B242">
        <f>IF($X242="","",IF(INDEX('Per Invoice'!B$2:B$401,$X242)="","",INDEX('Per Invoice'!B$2:B$401,$X242)))</f>
        <v/>
      </c>
      <c r="C242">
        <f>IF($X242="","",IF(INDEX('Per Invoice'!C$2:C$401,$X242)="","",INDEX('Per Invoice'!C$2:C$401,$X242)))</f>
        <v/>
      </c>
      <c r="D242">
        <f>IF($X242="","",IF(INDEX('Per Invoice'!D$2:D$401,$X242)="","",INDEX('Per Invoice'!D$2:D$401,$X242)))</f>
        <v/>
      </c>
      <c r="E242">
        <f>IF($X242="","",IF(INDEX('Per Invoice'!E$2:E$401,$X242)="","",INDEX('Per Invoice'!E$2:E$401,$X242)))</f>
        <v/>
      </c>
      <c r="F242">
        <f>IF($X242="","",IF(INDEX('Per Invoice'!F$2:F$401,$X242)="","",INDEX('Per Invoice'!F$2:F$401,$X242)))</f>
        <v/>
      </c>
      <c r="G242">
        <f>IF($X242="","",IF(INDEX('Per Invoice'!G$2:G$401,$X242)="","",INDEX('Per Invoice'!G$2:G$401,$X242)))</f>
        <v/>
      </c>
      <c r="H242">
        <f>IF($X242="","",IF(INDEX('Per Invoice'!H$2:H$401,$X242)="","",INDEX('Per Invoice'!H$2:H$401,$X242)))</f>
        <v/>
      </c>
      <c r="I242">
        <f>IF($X242="","",IF(INDEX('Per Invoice'!I$2:I$401,$X242)="","",INDEX('Per Invoice'!I$2:I$401,$X242)))</f>
        <v/>
      </c>
      <c r="J242">
        <f>IF($X242="","",IF(INDEX('Per Invoice'!J$2:J$401,$X242)="","",INDEX('Per Invoice'!J$2:J$401,$X242)))</f>
        <v/>
      </c>
      <c r="K242" s="14">
        <f>IF($X242="","",IF(INDEX('Per Invoice'!K$2:K$401,$X242)="","",INDEX('Per Invoice'!K$2:K$401,$X242)))</f>
        <v/>
      </c>
      <c r="L242">
        <f>IF($X242="","",IF(INDEX('Per Invoice'!L$2:L$401,$X242)="","",INDEX('Per Invoice'!L$2:L$401,$X242)))</f>
        <v/>
      </c>
      <c r="M242" s="7">
        <f>IF($X242="","",IF(INDEX('Per Invoice'!M$2:M$401,$X242)="","",INDEX('Per Invoice'!M$2:M$401,$X242)))</f>
        <v/>
      </c>
      <c r="N242">
        <f>IF($X242="","",IF(INDEX('Per Invoice'!N$2:N$401,$X242)="","",INDEX('Per Invoice'!N$2:N$401,$X242)))</f>
        <v/>
      </c>
      <c r="O242" s="7">
        <f>IF($X242="","",IF(INDEX('Per Invoice'!O$2:O$401,$X242)="","",INDEX('Per Invoice'!O$2:O$401,$X242)))</f>
        <v/>
      </c>
      <c r="P242" s="7">
        <f>IF($X242="","",IF(INDEX('Per Invoice'!P$2:P$401,$X242)="","",INDEX('Per Invoice'!P$2:P$401,$X242)))</f>
        <v/>
      </c>
      <c r="Q242">
        <f>IF($X242="","",IF(INDEX('Per Invoice'!Q$2:Q$401,$X242)="","",INDEX('Per Invoice'!Q$2:Q$401,$X242)))</f>
        <v/>
      </c>
      <c r="R242" s="7">
        <f>IF($X242="","",IF(INDEX('Per Invoice'!R$2:R$401,$X242)="","",INDEX('Per Invoice'!R$2:R$401,$X242)))</f>
        <v/>
      </c>
      <c r="S242" s="7">
        <f>IF($X242="","",IF(INDEX('Per Invoice'!S$2:S$401,$X242)="","",INDEX('Per Invoice'!S$2:S$401,$X242)))</f>
        <v/>
      </c>
      <c r="T242" s="7">
        <f>IF($X242="","",IF(INDEX('Per Invoice'!T$2:T$401,$X242)="","",INDEX('Per Invoice'!T$2:T$401,$X242)))</f>
        <v/>
      </c>
      <c r="U242" s="7">
        <f>IF($X242="","",IF(INDEX('Per Invoice'!U$2:U$401,$X242)="","",INDEX('Per Invoice'!U$2:U$401,$X242)))</f>
        <v/>
      </c>
      <c r="V242" s="7">
        <f>IF($X242="","",IF(INDEX('Per Invoice'!V$2:V$401,$X242)="","",INDEX('Per Invoice'!V$2:V$401,$X242)))</f>
        <v/>
      </c>
      <c r="W242" s="7">
        <f>IF($X242="","",IF(INDEX('Per Invoice'!W$2:W$401,$X242)="","",INDEX('Per Invoice'!W$2:W$401,$X242)))</f>
        <v/>
      </c>
      <c r="X242" s="16">
        <f>IFERROR(MATCH(Settings!$C$33&amp;"|"&amp;ROWS($X$2:$X242),'Per Invoice'!$Y$2:$Y$401,0),"")</f>
        <v/>
      </c>
    </row>
    <row r="243">
      <c r="A243">
        <f>IF($X243="","",IF(INDEX('Per Invoice'!A$2:A$401,$X243)="","",INDEX('Per Invoice'!A$2:A$401,$X243)))</f>
        <v/>
      </c>
      <c r="B243">
        <f>IF($X243="","",IF(INDEX('Per Invoice'!B$2:B$401,$X243)="","",INDEX('Per Invoice'!B$2:B$401,$X243)))</f>
        <v/>
      </c>
      <c r="C243">
        <f>IF($X243="","",IF(INDEX('Per Invoice'!C$2:C$401,$X243)="","",INDEX('Per Invoice'!C$2:C$401,$X243)))</f>
        <v/>
      </c>
      <c r="D243">
        <f>IF($X243="","",IF(INDEX('Per Invoice'!D$2:D$401,$X243)="","",INDEX('Per Invoice'!D$2:D$401,$X243)))</f>
        <v/>
      </c>
      <c r="E243">
        <f>IF($X243="","",IF(INDEX('Per Invoice'!E$2:E$401,$X243)="","",INDEX('Per Invoice'!E$2:E$401,$X243)))</f>
        <v/>
      </c>
      <c r="F243">
        <f>IF($X243="","",IF(INDEX('Per Invoice'!F$2:F$401,$X243)="","",INDEX('Per Invoice'!F$2:F$401,$X243)))</f>
        <v/>
      </c>
      <c r="G243">
        <f>IF($X243="","",IF(INDEX('Per Invoice'!G$2:G$401,$X243)="","",INDEX('Per Invoice'!G$2:G$401,$X243)))</f>
        <v/>
      </c>
      <c r="H243">
        <f>IF($X243="","",IF(INDEX('Per Invoice'!H$2:H$401,$X243)="","",INDEX('Per Invoice'!H$2:H$401,$X243)))</f>
        <v/>
      </c>
      <c r="I243">
        <f>IF($X243="","",IF(INDEX('Per Invoice'!I$2:I$401,$X243)="","",INDEX('Per Invoice'!I$2:I$401,$X243)))</f>
        <v/>
      </c>
      <c r="J243">
        <f>IF($X243="","",IF(INDEX('Per Invoice'!J$2:J$401,$X243)="","",INDEX('Per Invoice'!J$2:J$401,$X243)))</f>
        <v/>
      </c>
      <c r="K243" s="14">
        <f>IF($X243="","",IF(INDEX('Per Invoice'!K$2:K$401,$X243)="","",INDEX('Per Invoice'!K$2:K$401,$X243)))</f>
        <v/>
      </c>
      <c r="L243">
        <f>IF($X243="","",IF(INDEX('Per Invoice'!L$2:L$401,$X243)="","",INDEX('Per Invoice'!L$2:L$401,$X243)))</f>
        <v/>
      </c>
      <c r="M243" s="7">
        <f>IF($X243="","",IF(INDEX('Per Invoice'!M$2:M$401,$X243)="","",INDEX('Per Invoice'!M$2:M$401,$X243)))</f>
        <v/>
      </c>
      <c r="N243">
        <f>IF($X243="","",IF(INDEX('Per Invoice'!N$2:N$401,$X243)="","",INDEX('Per Invoice'!N$2:N$401,$X243)))</f>
        <v/>
      </c>
      <c r="O243" s="7">
        <f>IF($X243="","",IF(INDEX('Per Invoice'!O$2:O$401,$X243)="","",INDEX('Per Invoice'!O$2:O$401,$X243)))</f>
        <v/>
      </c>
      <c r="P243" s="7">
        <f>IF($X243="","",IF(INDEX('Per Invoice'!P$2:P$401,$X243)="","",INDEX('Per Invoice'!P$2:P$401,$X243)))</f>
        <v/>
      </c>
      <c r="Q243">
        <f>IF($X243="","",IF(INDEX('Per Invoice'!Q$2:Q$401,$X243)="","",INDEX('Per Invoice'!Q$2:Q$401,$X243)))</f>
        <v/>
      </c>
      <c r="R243" s="7">
        <f>IF($X243="","",IF(INDEX('Per Invoice'!R$2:R$401,$X243)="","",INDEX('Per Invoice'!R$2:R$401,$X243)))</f>
        <v/>
      </c>
      <c r="S243" s="7">
        <f>IF($X243="","",IF(INDEX('Per Invoice'!S$2:S$401,$X243)="","",INDEX('Per Invoice'!S$2:S$401,$X243)))</f>
        <v/>
      </c>
      <c r="T243" s="7">
        <f>IF($X243="","",IF(INDEX('Per Invoice'!T$2:T$401,$X243)="","",INDEX('Per Invoice'!T$2:T$401,$X243)))</f>
        <v/>
      </c>
      <c r="U243" s="7">
        <f>IF($X243="","",IF(INDEX('Per Invoice'!U$2:U$401,$X243)="","",INDEX('Per Invoice'!U$2:U$401,$X243)))</f>
        <v/>
      </c>
      <c r="V243" s="7">
        <f>IF($X243="","",IF(INDEX('Per Invoice'!V$2:V$401,$X243)="","",INDEX('Per Invoice'!V$2:V$401,$X243)))</f>
        <v/>
      </c>
      <c r="W243" s="7">
        <f>IF($X243="","",IF(INDEX('Per Invoice'!W$2:W$401,$X243)="","",INDEX('Per Invoice'!W$2:W$401,$X243)))</f>
        <v/>
      </c>
      <c r="X243" s="16">
        <f>IFERROR(MATCH(Settings!$C$33&amp;"|"&amp;ROWS($X$2:$X243),'Per Invoice'!$Y$2:$Y$401,0),"")</f>
        <v/>
      </c>
    </row>
    <row r="244">
      <c r="A244">
        <f>IF($X244="","",IF(INDEX('Per Invoice'!A$2:A$401,$X244)="","",INDEX('Per Invoice'!A$2:A$401,$X244)))</f>
        <v/>
      </c>
      <c r="B244">
        <f>IF($X244="","",IF(INDEX('Per Invoice'!B$2:B$401,$X244)="","",INDEX('Per Invoice'!B$2:B$401,$X244)))</f>
        <v/>
      </c>
      <c r="C244">
        <f>IF($X244="","",IF(INDEX('Per Invoice'!C$2:C$401,$X244)="","",INDEX('Per Invoice'!C$2:C$401,$X244)))</f>
        <v/>
      </c>
      <c r="D244">
        <f>IF($X244="","",IF(INDEX('Per Invoice'!D$2:D$401,$X244)="","",INDEX('Per Invoice'!D$2:D$401,$X244)))</f>
        <v/>
      </c>
      <c r="E244">
        <f>IF($X244="","",IF(INDEX('Per Invoice'!E$2:E$401,$X244)="","",INDEX('Per Invoice'!E$2:E$401,$X244)))</f>
        <v/>
      </c>
      <c r="F244">
        <f>IF($X244="","",IF(INDEX('Per Invoice'!F$2:F$401,$X244)="","",INDEX('Per Invoice'!F$2:F$401,$X244)))</f>
        <v/>
      </c>
      <c r="G244">
        <f>IF($X244="","",IF(INDEX('Per Invoice'!G$2:G$401,$X244)="","",INDEX('Per Invoice'!G$2:G$401,$X244)))</f>
        <v/>
      </c>
      <c r="H244">
        <f>IF($X244="","",IF(INDEX('Per Invoice'!H$2:H$401,$X244)="","",INDEX('Per Invoice'!H$2:H$401,$X244)))</f>
        <v/>
      </c>
      <c r="I244">
        <f>IF($X244="","",IF(INDEX('Per Invoice'!I$2:I$401,$X244)="","",INDEX('Per Invoice'!I$2:I$401,$X244)))</f>
        <v/>
      </c>
      <c r="J244">
        <f>IF($X244="","",IF(INDEX('Per Invoice'!J$2:J$401,$X244)="","",INDEX('Per Invoice'!J$2:J$401,$X244)))</f>
        <v/>
      </c>
      <c r="K244" s="14">
        <f>IF($X244="","",IF(INDEX('Per Invoice'!K$2:K$401,$X244)="","",INDEX('Per Invoice'!K$2:K$401,$X244)))</f>
        <v/>
      </c>
      <c r="L244">
        <f>IF($X244="","",IF(INDEX('Per Invoice'!L$2:L$401,$X244)="","",INDEX('Per Invoice'!L$2:L$401,$X244)))</f>
        <v/>
      </c>
      <c r="M244" s="7">
        <f>IF($X244="","",IF(INDEX('Per Invoice'!M$2:M$401,$X244)="","",INDEX('Per Invoice'!M$2:M$401,$X244)))</f>
        <v/>
      </c>
      <c r="N244">
        <f>IF($X244="","",IF(INDEX('Per Invoice'!N$2:N$401,$X244)="","",INDEX('Per Invoice'!N$2:N$401,$X244)))</f>
        <v/>
      </c>
      <c r="O244" s="7">
        <f>IF($X244="","",IF(INDEX('Per Invoice'!O$2:O$401,$X244)="","",INDEX('Per Invoice'!O$2:O$401,$X244)))</f>
        <v/>
      </c>
      <c r="P244" s="7">
        <f>IF($X244="","",IF(INDEX('Per Invoice'!P$2:P$401,$X244)="","",INDEX('Per Invoice'!P$2:P$401,$X244)))</f>
        <v/>
      </c>
      <c r="Q244">
        <f>IF($X244="","",IF(INDEX('Per Invoice'!Q$2:Q$401,$X244)="","",INDEX('Per Invoice'!Q$2:Q$401,$X244)))</f>
        <v/>
      </c>
      <c r="R244" s="7">
        <f>IF($X244="","",IF(INDEX('Per Invoice'!R$2:R$401,$X244)="","",INDEX('Per Invoice'!R$2:R$401,$X244)))</f>
        <v/>
      </c>
      <c r="S244" s="7">
        <f>IF($X244="","",IF(INDEX('Per Invoice'!S$2:S$401,$X244)="","",INDEX('Per Invoice'!S$2:S$401,$X244)))</f>
        <v/>
      </c>
      <c r="T244" s="7">
        <f>IF($X244="","",IF(INDEX('Per Invoice'!T$2:T$401,$X244)="","",INDEX('Per Invoice'!T$2:T$401,$X244)))</f>
        <v/>
      </c>
      <c r="U244" s="7">
        <f>IF($X244="","",IF(INDEX('Per Invoice'!U$2:U$401,$X244)="","",INDEX('Per Invoice'!U$2:U$401,$X244)))</f>
        <v/>
      </c>
      <c r="V244" s="7">
        <f>IF($X244="","",IF(INDEX('Per Invoice'!V$2:V$401,$X244)="","",INDEX('Per Invoice'!V$2:V$401,$X244)))</f>
        <v/>
      </c>
      <c r="W244" s="7">
        <f>IF($X244="","",IF(INDEX('Per Invoice'!W$2:W$401,$X244)="","",INDEX('Per Invoice'!W$2:W$401,$X244)))</f>
        <v/>
      </c>
      <c r="X244" s="16">
        <f>IFERROR(MATCH(Settings!$C$33&amp;"|"&amp;ROWS($X$2:$X244),'Per Invoice'!$Y$2:$Y$401,0),"")</f>
        <v/>
      </c>
    </row>
    <row r="245">
      <c r="A245">
        <f>IF($X245="","",IF(INDEX('Per Invoice'!A$2:A$401,$X245)="","",INDEX('Per Invoice'!A$2:A$401,$X245)))</f>
        <v/>
      </c>
      <c r="B245">
        <f>IF($X245="","",IF(INDEX('Per Invoice'!B$2:B$401,$X245)="","",INDEX('Per Invoice'!B$2:B$401,$X245)))</f>
        <v/>
      </c>
      <c r="C245">
        <f>IF($X245="","",IF(INDEX('Per Invoice'!C$2:C$401,$X245)="","",INDEX('Per Invoice'!C$2:C$401,$X245)))</f>
        <v/>
      </c>
      <c r="D245">
        <f>IF($X245="","",IF(INDEX('Per Invoice'!D$2:D$401,$X245)="","",INDEX('Per Invoice'!D$2:D$401,$X245)))</f>
        <v/>
      </c>
      <c r="E245">
        <f>IF($X245="","",IF(INDEX('Per Invoice'!E$2:E$401,$X245)="","",INDEX('Per Invoice'!E$2:E$401,$X245)))</f>
        <v/>
      </c>
      <c r="F245">
        <f>IF($X245="","",IF(INDEX('Per Invoice'!F$2:F$401,$X245)="","",INDEX('Per Invoice'!F$2:F$401,$X245)))</f>
        <v/>
      </c>
      <c r="G245">
        <f>IF($X245="","",IF(INDEX('Per Invoice'!G$2:G$401,$X245)="","",INDEX('Per Invoice'!G$2:G$401,$X245)))</f>
        <v/>
      </c>
      <c r="H245">
        <f>IF($X245="","",IF(INDEX('Per Invoice'!H$2:H$401,$X245)="","",INDEX('Per Invoice'!H$2:H$401,$X245)))</f>
        <v/>
      </c>
      <c r="I245">
        <f>IF($X245="","",IF(INDEX('Per Invoice'!I$2:I$401,$X245)="","",INDEX('Per Invoice'!I$2:I$401,$X245)))</f>
        <v/>
      </c>
      <c r="J245">
        <f>IF($X245="","",IF(INDEX('Per Invoice'!J$2:J$401,$X245)="","",INDEX('Per Invoice'!J$2:J$401,$X245)))</f>
        <v/>
      </c>
      <c r="K245" s="14">
        <f>IF($X245="","",IF(INDEX('Per Invoice'!K$2:K$401,$X245)="","",INDEX('Per Invoice'!K$2:K$401,$X245)))</f>
        <v/>
      </c>
      <c r="L245">
        <f>IF($X245="","",IF(INDEX('Per Invoice'!L$2:L$401,$X245)="","",INDEX('Per Invoice'!L$2:L$401,$X245)))</f>
        <v/>
      </c>
      <c r="M245" s="7">
        <f>IF($X245="","",IF(INDEX('Per Invoice'!M$2:M$401,$X245)="","",INDEX('Per Invoice'!M$2:M$401,$X245)))</f>
        <v/>
      </c>
      <c r="N245">
        <f>IF($X245="","",IF(INDEX('Per Invoice'!N$2:N$401,$X245)="","",INDEX('Per Invoice'!N$2:N$401,$X245)))</f>
        <v/>
      </c>
      <c r="O245" s="7">
        <f>IF($X245="","",IF(INDEX('Per Invoice'!O$2:O$401,$X245)="","",INDEX('Per Invoice'!O$2:O$401,$X245)))</f>
        <v/>
      </c>
      <c r="P245" s="7">
        <f>IF($X245="","",IF(INDEX('Per Invoice'!P$2:P$401,$X245)="","",INDEX('Per Invoice'!P$2:P$401,$X245)))</f>
        <v/>
      </c>
      <c r="Q245">
        <f>IF($X245="","",IF(INDEX('Per Invoice'!Q$2:Q$401,$X245)="","",INDEX('Per Invoice'!Q$2:Q$401,$X245)))</f>
        <v/>
      </c>
      <c r="R245" s="7">
        <f>IF($X245="","",IF(INDEX('Per Invoice'!R$2:R$401,$X245)="","",INDEX('Per Invoice'!R$2:R$401,$X245)))</f>
        <v/>
      </c>
      <c r="S245" s="7">
        <f>IF($X245="","",IF(INDEX('Per Invoice'!S$2:S$401,$X245)="","",INDEX('Per Invoice'!S$2:S$401,$X245)))</f>
        <v/>
      </c>
      <c r="T245" s="7">
        <f>IF($X245="","",IF(INDEX('Per Invoice'!T$2:T$401,$X245)="","",INDEX('Per Invoice'!T$2:T$401,$X245)))</f>
        <v/>
      </c>
      <c r="U245" s="7">
        <f>IF($X245="","",IF(INDEX('Per Invoice'!U$2:U$401,$X245)="","",INDEX('Per Invoice'!U$2:U$401,$X245)))</f>
        <v/>
      </c>
      <c r="V245" s="7">
        <f>IF($X245="","",IF(INDEX('Per Invoice'!V$2:V$401,$X245)="","",INDEX('Per Invoice'!V$2:V$401,$X245)))</f>
        <v/>
      </c>
      <c r="W245" s="7">
        <f>IF($X245="","",IF(INDEX('Per Invoice'!W$2:W$401,$X245)="","",INDEX('Per Invoice'!W$2:W$401,$X245)))</f>
        <v/>
      </c>
      <c r="X245" s="16">
        <f>IFERROR(MATCH(Settings!$C$33&amp;"|"&amp;ROWS($X$2:$X245),'Per Invoice'!$Y$2:$Y$401,0),"")</f>
        <v/>
      </c>
    </row>
    <row r="246">
      <c r="A246">
        <f>IF($X246="","",IF(INDEX('Per Invoice'!A$2:A$401,$X246)="","",INDEX('Per Invoice'!A$2:A$401,$X246)))</f>
        <v/>
      </c>
      <c r="B246">
        <f>IF($X246="","",IF(INDEX('Per Invoice'!B$2:B$401,$X246)="","",INDEX('Per Invoice'!B$2:B$401,$X246)))</f>
        <v/>
      </c>
      <c r="C246">
        <f>IF($X246="","",IF(INDEX('Per Invoice'!C$2:C$401,$X246)="","",INDEX('Per Invoice'!C$2:C$401,$X246)))</f>
        <v/>
      </c>
      <c r="D246">
        <f>IF($X246="","",IF(INDEX('Per Invoice'!D$2:D$401,$X246)="","",INDEX('Per Invoice'!D$2:D$401,$X246)))</f>
        <v/>
      </c>
      <c r="E246">
        <f>IF($X246="","",IF(INDEX('Per Invoice'!E$2:E$401,$X246)="","",INDEX('Per Invoice'!E$2:E$401,$X246)))</f>
        <v/>
      </c>
      <c r="F246">
        <f>IF($X246="","",IF(INDEX('Per Invoice'!F$2:F$401,$X246)="","",INDEX('Per Invoice'!F$2:F$401,$X246)))</f>
        <v/>
      </c>
      <c r="G246">
        <f>IF($X246="","",IF(INDEX('Per Invoice'!G$2:G$401,$X246)="","",INDEX('Per Invoice'!G$2:G$401,$X246)))</f>
        <v/>
      </c>
      <c r="H246">
        <f>IF($X246="","",IF(INDEX('Per Invoice'!H$2:H$401,$X246)="","",INDEX('Per Invoice'!H$2:H$401,$X246)))</f>
        <v/>
      </c>
      <c r="I246">
        <f>IF($X246="","",IF(INDEX('Per Invoice'!I$2:I$401,$X246)="","",INDEX('Per Invoice'!I$2:I$401,$X246)))</f>
        <v/>
      </c>
      <c r="J246">
        <f>IF($X246="","",IF(INDEX('Per Invoice'!J$2:J$401,$X246)="","",INDEX('Per Invoice'!J$2:J$401,$X246)))</f>
        <v/>
      </c>
      <c r="K246" s="14">
        <f>IF($X246="","",IF(INDEX('Per Invoice'!K$2:K$401,$X246)="","",INDEX('Per Invoice'!K$2:K$401,$X246)))</f>
        <v/>
      </c>
      <c r="L246">
        <f>IF($X246="","",IF(INDEX('Per Invoice'!L$2:L$401,$X246)="","",INDEX('Per Invoice'!L$2:L$401,$X246)))</f>
        <v/>
      </c>
      <c r="M246" s="7">
        <f>IF($X246="","",IF(INDEX('Per Invoice'!M$2:M$401,$X246)="","",INDEX('Per Invoice'!M$2:M$401,$X246)))</f>
        <v/>
      </c>
      <c r="N246">
        <f>IF($X246="","",IF(INDEX('Per Invoice'!N$2:N$401,$X246)="","",INDEX('Per Invoice'!N$2:N$401,$X246)))</f>
        <v/>
      </c>
      <c r="O246" s="7">
        <f>IF($X246="","",IF(INDEX('Per Invoice'!O$2:O$401,$X246)="","",INDEX('Per Invoice'!O$2:O$401,$X246)))</f>
        <v/>
      </c>
      <c r="P246" s="7">
        <f>IF($X246="","",IF(INDEX('Per Invoice'!P$2:P$401,$X246)="","",INDEX('Per Invoice'!P$2:P$401,$X246)))</f>
        <v/>
      </c>
      <c r="Q246">
        <f>IF($X246="","",IF(INDEX('Per Invoice'!Q$2:Q$401,$X246)="","",INDEX('Per Invoice'!Q$2:Q$401,$X246)))</f>
        <v/>
      </c>
      <c r="R246" s="7">
        <f>IF($X246="","",IF(INDEX('Per Invoice'!R$2:R$401,$X246)="","",INDEX('Per Invoice'!R$2:R$401,$X246)))</f>
        <v/>
      </c>
      <c r="S246" s="7">
        <f>IF($X246="","",IF(INDEX('Per Invoice'!S$2:S$401,$X246)="","",INDEX('Per Invoice'!S$2:S$401,$X246)))</f>
        <v/>
      </c>
      <c r="T246" s="7">
        <f>IF($X246="","",IF(INDEX('Per Invoice'!T$2:T$401,$X246)="","",INDEX('Per Invoice'!T$2:T$401,$X246)))</f>
        <v/>
      </c>
      <c r="U246" s="7">
        <f>IF($X246="","",IF(INDEX('Per Invoice'!U$2:U$401,$X246)="","",INDEX('Per Invoice'!U$2:U$401,$X246)))</f>
        <v/>
      </c>
      <c r="V246" s="7">
        <f>IF($X246="","",IF(INDEX('Per Invoice'!V$2:V$401,$X246)="","",INDEX('Per Invoice'!V$2:V$401,$X246)))</f>
        <v/>
      </c>
      <c r="W246" s="7">
        <f>IF($X246="","",IF(INDEX('Per Invoice'!W$2:W$401,$X246)="","",INDEX('Per Invoice'!W$2:W$401,$X246)))</f>
        <v/>
      </c>
      <c r="X246" s="16">
        <f>IFERROR(MATCH(Settings!$C$33&amp;"|"&amp;ROWS($X$2:$X246),'Per Invoice'!$Y$2:$Y$401,0),"")</f>
        <v/>
      </c>
    </row>
    <row r="247">
      <c r="A247">
        <f>IF($X247="","",IF(INDEX('Per Invoice'!A$2:A$401,$X247)="","",INDEX('Per Invoice'!A$2:A$401,$X247)))</f>
        <v/>
      </c>
      <c r="B247">
        <f>IF($X247="","",IF(INDEX('Per Invoice'!B$2:B$401,$X247)="","",INDEX('Per Invoice'!B$2:B$401,$X247)))</f>
        <v/>
      </c>
      <c r="C247">
        <f>IF($X247="","",IF(INDEX('Per Invoice'!C$2:C$401,$X247)="","",INDEX('Per Invoice'!C$2:C$401,$X247)))</f>
        <v/>
      </c>
      <c r="D247">
        <f>IF($X247="","",IF(INDEX('Per Invoice'!D$2:D$401,$X247)="","",INDEX('Per Invoice'!D$2:D$401,$X247)))</f>
        <v/>
      </c>
      <c r="E247">
        <f>IF($X247="","",IF(INDEX('Per Invoice'!E$2:E$401,$X247)="","",INDEX('Per Invoice'!E$2:E$401,$X247)))</f>
        <v/>
      </c>
      <c r="F247">
        <f>IF($X247="","",IF(INDEX('Per Invoice'!F$2:F$401,$X247)="","",INDEX('Per Invoice'!F$2:F$401,$X247)))</f>
        <v/>
      </c>
      <c r="G247">
        <f>IF($X247="","",IF(INDEX('Per Invoice'!G$2:G$401,$X247)="","",INDEX('Per Invoice'!G$2:G$401,$X247)))</f>
        <v/>
      </c>
      <c r="H247">
        <f>IF($X247="","",IF(INDEX('Per Invoice'!H$2:H$401,$X247)="","",INDEX('Per Invoice'!H$2:H$401,$X247)))</f>
        <v/>
      </c>
      <c r="I247">
        <f>IF($X247="","",IF(INDEX('Per Invoice'!I$2:I$401,$X247)="","",INDEX('Per Invoice'!I$2:I$401,$X247)))</f>
        <v/>
      </c>
      <c r="J247">
        <f>IF($X247="","",IF(INDEX('Per Invoice'!J$2:J$401,$X247)="","",INDEX('Per Invoice'!J$2:J$401,$X247)))</f>
        <v/>
      </c>
      <c r="K247" s="14">
        <f>IF($X247="","",IF(INDEX('Per Invoice'!K$2:K$401,$X247)="","",INDEX('Per Invoice'!K$2:K$401,$X247)))</f>
        <v/>
      </c>
      <c r="L247">
        <f>IF($X247="","",IF(INDEX('Per Invoice'!L$2:L$401,$X247)="","",INDEX('Per Invoice'!L$2:L$401,$X247)))</f>
        <v/>
      </c>
      <c r="M247" s="7">
        <f>IF($X247="","",IF(INDEX('Per Invoice'!M$2:M$401,$X247)="","",INDEX('Per Invoice'!M$2:M$401,$X247)))</f>
        <v/>
      </c>
      <c r="N247">
        <f>IF($X247="","",IF(INDEX('Per Invoice'!N$2:N$401,$X247)="","",INDEX('Per Invoice'!N$2:N$401,$X247)))</f>
        <v/>
      </c>
      <c r="O247" s="7">
        <f>IF($X247="","",IF(INDEX('Per Invoice'!O$2:O$401,$X247)="","",INDEX('Per Invoice'!O$2:O$401,$X247)))</f>
        <v/>
      </c>
      <c r="P247" s="7">
        <f>IF($X247="","",IF(INDEX('Per Invoice'!P$2:P$401,$X247)="","",INDEX('Per Invoice'!P$2:P$401,$X247)))</f>
        <v/>
      </c>
      <c r="Q247">
        <f>IF($X247="","",IF(INDEX('Per Invoice'!Q$2:Q$401,$X247)="","",INDEX('Per Invoice'!Q$2:Q$401,$X247)))</f>
        <v/>
      </c>
      <c r="R247" s="7">
        <f>IF($X247="","",IF(INDEX('Per Invoice'!R$2:R$401,$X247)="","",INDEX('Per Invoice'!R$2:R$401,$X247)))</f>
        <v/>
      </c>
      <c r="S247" s="7">
        <f>IF($X247="","",IF(INDEX('Per Invoice'!S$2:S$401,$X247)="","",INDEX('Per Invoice'!S$2:S$401,$X247)))</f>
        <v/>
      </c>
      <c r="T247" s="7">
        <f>IF($X247="","",IF(INDEX('Per Invoice'!T$2:T$401,$X247)="","",INDEX('Per Invoice'!T$2:T$401,$X247)))</f>
        <v/>
      </c>
      <c r="U247" s="7">
        <f>IF($X247="","",IF(INDEX('Per Invoice'!U$2:U$401,$X247)="","",INDEX('Per Invoice'!U$2:U$401,$X247)))</f>
        <v/>
      </c>
      <c r="V247" s="7">
        <f>IF($X247="","",IF(INDEX('Per Invoice'!V$2:V$401,$X247)="","",INDEX('Per Invoice'!V$2:V$401,$X247)))</f>
        <v/>
      </c>
      <c r="W247" s="7">
        <f>IF($X247="","",IF(INDEX('Per Invoice'!W$2:W$401,$X247)="","",INDEX('Per Invoice'!W$2:W$401,$X247)))</f>
        <v/>
      </c>
      <c r="X247" s="16">
        <f>IFERROR(MATCH(Settings!$C$33&amp;"|"&amp;ROWS($X$2:$X247),'Per Invoice'!$Y$2:$Y$401,0),"")</f>
        <v/>
      </c>
    </row>
    <row r="248">
      <c r="A248">
        <f>IF($X248="","",IF(INDEX('Per Invoice'!A$2:A$401,$X248)="","",INDEX('Per Invoice'!A$2:A$401,$X248)))</f>
        <v/>
      </c>
      <c r="B248">
        <f>IF($X248="","",IF(INDEX('Per Invoice'!B$2:B$401,$X248)="","",INDEX('Per Invoice'!B$2:B$401,$X248)))</f>
        <v/>
      </c>
      <c r="C248">
        <f>IF($X248="","",IF(INDEX('Per Invoice'!C$2:C$401,$X248)="","",INDEX('Per Invoice'!C$2:C$401,$X248)))</f>
        <v/>
      </c>
      <c r="D248">
        <f>IF($X248="","",IF(INDEX('Per Invoice'!D$2:D$401,$X248)="","",INDEX('Per Invoice'!D$2:D$401,$X248)))</f>
        <v/>
      </c>
      <c r="E248">
        <f>IF($X248="","",IF(INDEX('Per Invoice'!E$2:E$401,$X248)="","",INDEX('Per Invoice'!E$2:E$401,$X248)))</f>
        <v/>
      </c>
      <c r="F248">
        <f>IF($X248="","",IF(INDEX('Per Invoice'!F$2:F$401,$X248)="","",INDEX('Per Invoice'!F$2:F$401,$X248)))</f>
        <v/>
      </c>
      <c r="G248">
        <f>IF($X248="","",IF(INDEX('Per Invoice'!G$2:G$401,$X248)="","",INDEX('Per Invoice'!G$2:G$401,$X248)))</f>
        <v/>
      </c>
      <c r="H248">
        <f>IF($X248="","",IF(INDEX('Per Invoice'!H$2:H$401,$X248)="","",INDEX('Per Invoice'!H$2:H$401,$X248)))</f>
        <v/>
      </c>
      <c r="I248">
        <f>IF($X248="","",IF(INDEX('Per Invoice'!I$2:I$401,$X248)="","",INDEX('Per Invoice'!I$2:I$401,$X248)))</f>
        <v/>
      </c>
      <c r="J248">
        <f>IF($X248="","",IF(INDEX('Per Invoice'!J$2:J$401,$X248)="","",INDEX('Per Invoice'!J$2:J$401,$X248)))</f>
        <v/>
      </c>
      <c r="K248" s="14">
        <f>IF($X248="","",IF(INDEX('Per Invoice'!K$2:K$401,$X248)="","",INDEX('Per Invoice'!K$2:K$401,$X248)))</f>
        <v/>
      </c>
      <c r="L248">
        <f>IF($X248="","",IF(INDEX('Per Invoice'!L$2:L$401,$X248)="","",INDEX('Per Invoice'!L$2:L$401,$X248)))</f>
        <v/>
      </c>
      <c r="M248" s="7">
        <f>IF($X248="","",IF(INDEX('Per Invoice'!M$2:M$401,$X248)="","",INDEX('Per Invoice'!M$2:M$401,$X248)))</f>
        <v/>
      </c>
      <c r="N248">
        <f>IF($X248="","",IF(INDEX('Per Invoice'!N$2:N$401,$X248)="","",INDEX('Per Invoice'!N$2:N$401,$X248)))</f>
        <v/>
      </c>
      <c r="O248" s="7">
        <f>IF($X248="","",IF(INDEX('Per Invoice'!O$2:O$401,$X248)="","",INDEX('Per Invoice'!O$2:O$401,$X248)))</f>
        <v/>
      </c>
      <c r="P248" s="7">
        <f>IF($X248="","",IF(INDEX('Per Invoice'!P$2:P$401,$X248)="","",INDEX('Per Invoice'!P$2:P$401,$X248)))</f>
        <v/>
      </c>
      <c r="Q248">
        <f>IF($X248="","",IF(INDEX('Per Invoice'!Q$2:Q$401,$X248)="","",INDEX('Per Invoice'!Q$2:Q$401,$X248)))</f>
        <v/>
      </c>
      <c r="R248" s="7">
        <f>IF($X248="","",IF(INDEX('Per Invoice'!R$2:R$401,$X248)="","",INDEX('Per Invoice'!R$2:R$401,$X248)))</f>
        <v/>
      </c>
      <c r="S248" s="7">
        <f>IF($X248="","",IF(INDEX('Per Invoice'!S$2:S$401,$X248)="","",INDEX('Per Invoice'!S$2:S$401,$X248)))</f>
        <v/>
      </c>
      <c r="T248" s="7">
        <f>IF($X248="","",IF(INDEX('Per Invoice'!T$2:T$401,$X248)="","",INDEX('Per Invoice'!T$2:T$401,$X248)))</f>
        <v/>
      </c>
      <c r="U248" s="7">
        <f>IF($X248="","",IF(INDEX('Per Invoice'!U$2:U$401,$X248)="","",INDEX('Per Invoice'!U$2:U$401,$X248)))</f>
        <v/>
      </c>
      <c r="V248" s="7">
        <f>IF($X248="","",IF(INDEX('Per Invoice'!V$2:V$401,$X248)="","",INDEX('Per Invoice'!V$2:V$401,$X248)))</f>
        <v/>
      </c>
      <c r="W248" s="7">
        <f>IF($X248="","",IF(INDEX('Per Invoice'!W$2:W$401,$X248)="","",INDEX('Per Invoice'!W$2:W$401,$X248)))</f>
        <v/>
      </c>
      <c r="X248" s="16">
        <f>IFERROR(MATCH(Settings!$C$33&amp;"|"&amp;ROWS($X$2:$X248),'Per Invoice'!$Y$2:$Y$401,0),"")</f>
        <v/>
      </c>
    </row>
    <row r="249">
      <c r="A249">
        <f>IF($X249="","",IF(INDEX('Per Invoice'!A$2:A$401,$X249)="","",INDEX('Per Invoice'!A$2:A$401,$X249)))</f>
        <v/>
      </c>
      <c r="B249">
        <f>IF($X249="","",IF(INDEX('Per Invoice'!B$2:B$401,$X249)="","",INDEX('Per Invoice'!B$2:B$401,$X249)))</f>
        <v/>
      </c>
      <c r="C249">
        <f>IF($X249="","",IF(INDEX('Per Invoice'!C$2:C$401,$X249)="","",INDEX('Per Invoice'!C$2:C$401,$X249)))</f>
        <v/>
      </c>
      <c r="D249">
        <f>IF($X249="","",IF(INDEX('Per Invoice'!D$2:D$401,$X249)="","",INDEX('Per Invoice'!D$2:D$401,$X249)))</f>
        <v/>
      </c>
      <c r="E249">
        <f>IF($X249="","",IF(INDEX('Per Invoice'!E$2:E$401,$X249)="","",INDEX('Per Invoice'!E$2:E$401,$X249)))</f>
        <v/>
      </c>
      <c r="F249">
        <f>IF($X249="","",IF(INDEX('Per Invoice'!F$2:F$401,$X249)="","",INDEX('Per Invoice'!F$2:F$401,$X249)))</f>
        <v/>
      </c>
      <c r="G249">
        <f>IF($X249="","",IF(INDEX('Per Invoice'!G$2:G$401,$X249)="","",INDEX('Per Invoice'!G$2:G$401,$X249)))</f>
        <v/>
      </c>
      <c r="H249">
        <f>IF($X249="","",IF(INDEX('Per Invoice'!H$2:H$401,$X249)="","",INDEX('Per Invoice'!H$2:H$401,$X249)))</f>
        <v/>
      </c>
      <c r="I249">
        <f>IF($X249="","",IF(INDEX('Per Invoice'!I$2:I$401,$X249)="","",INDEX('Per Invoice'!I$2:I$401,$X249)))</f>
        <v/>
      </c>
      <c r="J249">
        <f>IF($X249="","",IF(INDEX('Per Invoice'!J$2:J$401,$X249)="","",INDEX('Per Invoice'!J$2:J$401,$X249)))</f>
        <v/>
      </c>
      <c r="K249" s="14">
        <f>IF($X249="","",IF(INDEX('Per Invoice'!K$2:K$401,$X249)="","",INDEX('Per Invoice'!K$2:K$401,$X249)))</f>
        <v/>
      </c>
      <c r="L249">
        <f>IF($X249="","",IF(INDEX('Per Invoice'!L$2:L$401,$X249)="","",INDEX('Per Invoice'!L$2:L$401,$X249)))</f>
        <v/>
      </c>
      <c r="M249" s="7">
        <f>IF($X249="","",IF(INDEX('Per Invoice'!M$2:M$401,$X249)="","",INDEX('Per Invoice'!M$2:M$401,$X249)))</f>
        <v/>
      </c>
      <c r="N249">
        <f>IF($X249="","",IF(INDEX('Per Invoice'!N$2:N$401,$X249)="","",INDEX('Per Invoice'!N$2:N$401,$X249)))</f>
        <v/>
      </c>
      <c r="O249" s="7">
        <f>IF($X249="","",IF(INDEX('Per Invoice'!O$2:O$401,$X249)="","",INDEX('Per Invoice'!O$2:O$401,$X249)))</f>
        <v/>
      </c>
      <c r="P249" s="7">
        <f>IF($X249="","",IF(INDEX('Per Invoice'!P$2:P$401,$X249)="","",INDEX('Per Invoice'!P$2:P$401,$X249)))</f>
        <v/>
      </c>
      <c r="Q249">
        <f>IF($X249="","",IF(INDEX('Per Invoice'!Q$2:Q$401,$X249)="","",INDEX('Per Invoice'!Q$2:Q$401,$X249)))</f>
        <v/>
      </c>
      <c r="R249" s="7">
        <f>IF($X249="","",IF(INDEX('Per Invoice'!R$2:R$401,$X249)="","",INDEX('Per Invoice'!R$2:R$401,$X249)))</f>
        <v/>
      </c>
      <c r="S249" s="7">
        <f>IF($X249="","",IF(INDEX('Per Invoice'!S$2:S$401,$X249)="","",INDEX('Per Invoice'!S$2:S$401,$X249)))</f>
        <v/>
      </c>
      <c r="T249" s="7">
        <f>IF($X249="","",IF(INDEX('Per Invoice'!T$2:T$401,$X249)="","",INDEX('Per Invoice'!T$2:T$401,$X249)))</f>
        <v/>
      </c>
      <c r="U249" s="7">
        <f>IF($X249="","",IF(INDEX('Per Invoice'!U$2:U$401,$X249)="","",INDEX('Per Invoice'!U$2:U$401,$X249)))</f>
        <v/>
      </c>
      <c r="V249" s="7">
        <f>IF($X249="","",IF(INDEX('Per Invoice'!V$2:V$401,$X249)="","",INDEX('Per Invoice'!V$2:V$401,$X249)))</f>
        <v/>
      </c>
      <c r="W249" s="7">
        <f>IF($X249="","",IF(INDEX('Per Invoice'!W$2:W$401,$X249)="","",INDEX('Per Invoice'!W$2:W$401,$X249)))</f>
        <v/>
      </c>
      <c r="X249" s="16">
        <f>IFERROR(MATCH(Settings!$C$33&amp;"|"&amp;ROWS($X$2:$X249),'Per Invoice'!$Y$2:$Y$401,0),"")</f>
        <v/>
      </c>
    </row>
    <row r="250">
      <c r="A250">
        <f>IF($X250="","",IF(INDEX('Per Invoice'!A$2:A$401,$X250)="","",INDEX('Per Invoice'!A$2:A$401,$X250)))</f>
        <v/>
      </c>
      <c r="B250">
        <f>IF($X250="","",IF(INDEX('Per Invoice'!B$2:B$401,$X250)="","",INDEX('Per Invoice'!B$2:B$401,$X250)))</f>
        <v/>
      </c>
      <c r="C250">
        <f>IF($X250="","",IF(INDEX('Per Invoice'!C$2:C$401,$X250)="","",INDEX('Per Invoice'!C$2:C$401,$X250)))</f>
        <v/>
      </c>
      <c r="D250">
        <f>IF($X250="","",IF(INDEX('Per Invoice'!D$2:D$401,$X250)="","",INDEX('Per Invoice'!D$2:D$401,$X250)))</f>
        <v/>
      </c>
      <c r="E250">
        <f>IF($X250="","",IF(INDEX('Per Invoice'!E$2:E$401,$X250)="","",INDEX('Per Invoice'!E$2:E$401,$X250)))</f>
        <v/>
      </c>
      <c r="F250">
        <f>IF($X250="","",IF(INDEX('Per Invoice'!F$2:F$401,$X250)="","",INDEX('Per Invoice'!F$2:F$401,$X250)))</f>
        <v/>
      </c>
      <c r="G250">
        <f>IF($X250="","",IF(INDEX('Per Invoice'!G$2:G$401,$X250)="","",INDEX('Per Invoice'!G$2:G$401,$X250)))</f>
        <v/>
      </c>
      <c r="H250">
        <f>IF($X250="","",IF(INDEX('Per Invoice'!H$2:H$401,$X250)="","",INDEX('Per Invoice'!H$2:H$401,$X250)))</f>
        <v/>
      </c>
      <c r="I250">
        <f>IF($X250="","",IF(INDEX('Per Invoice'!I$2:I$401,$X250)="","",INDEX('Per Invoice'!I$2:I$401,$X250)))</f>
        <v/>
      </c>
      <c r="J250">
        <f>IF($X250="","",IF(INDEX('Per Invoice'!J$2:J$401,$X250)="","",INDEX('Per Invoice'!J$2:J$401,$X250)))</f>
        <v/>
      </c>
      <c r="K250" s="14">
        <f>IF($X250="","",IF(INDEX('Per Invoice'!K$2:K$401,$X250)="","",INDEX('Per Invoice'!K$2:K$401,$X250)))</f>
        <v/>
      </c>
      <c r="L250">
        <f>IF($X250="","",IF(INDEX('Per Invoice'!L$2:L$401,$X250)="","",INDEX('Per Invoice'!L$2:L$401,$X250)))</f>
        <v/>
      </c>
      <c r="M250" s="7">
        <f>IF($X250="","",IF(INDEX('Per Invoice'!M$2:M$401,$X250)="","",INDEX('Per Invoice'!M$2:M$401,$X250)))</f>
        <v/>
      </c>
      <c r="N250">
        <f>IF($X250="","",IF(INDEX('Per Invoice'!N$2:N$401,$X250)="","",INDEX('Per Invoice'!N$2:N$401,$X250)))</f>
        <v/>
      </c>
      <c r="O250" s="7">
        <f>IF($X250="","",IF(INDEX('Per Invoice'!O$2:O$401,$X250)="","",INDEX('Per Invoice'!O$2:O$401,$X250)))</f>
        <v/>
      </c>
      <c r="P250" s="7">
        <f>IF($X250="","",IF(INDEX('Per Invoice'!P$2:P$401,$X250)="","",INDEX('Per Invoice'!P$2:P$401,$X250)))</f>
        <v/>
      </c>
      <c r="Q250">
        <f>IF($X250="","",IF(INDEX('Per Invoice'!Q$2:Q$401,$X250)="","",INDEX('Per Invoice'!Q$2:Q$401,$X250)))</f>
        <v/>
      </c>
      <c r="R250" s="7">
        <f>IF($X250="","",IF(INDEX('Per Invoice'!R$2:R$401,$X250)="","",INDEX('Per Invoice'!R$2:R$401,$X250)))</f>
        <v/>
      </c>
      <c r="S250" s="7">
        <f>IF($X250="","",IF(INDEX('Per Invoice'!S$2:S$401,$X250)="","",INDEX('Per Invoice'!S$2:S$401,$X250)))</f>
        <v/>
      </c>
      <c r="T250" s="7">
        <f>IF($X250="","",IF(INDEX('Per Invoice'!T$2:T$401,$X250)="","",INDEX('Per Invoice'!T$2:T$401,$X250)))</f>
        <v/>
      </c>
      <c r="U250" s="7">
        <f>IF($X250="","",IF(INDEX('Per Invoice'!U$2:U$401,$X250)="","",INDEX('Per Invoice'!U$2:U$401,$X250)))</f>
        <v/>
      </c>
      <c r="V250" s="7">
        <f>IF($X250="","",IF(INDEX('Per Invoice'!V$2:V$401,$X250)="","",INDEX('Per Invoice'!V$2:V$401,$X250)))</f>
        <v/>
      </c>
      <c r="W250" s="7">
        <f>IF($X250="","",IF(INDEX('Per Invoice'!W$2:W$401,$X250)="","",INDEX('Per Invoice'!W$2:W$401,$X250)))</f>
        <v/>
      </c>
      <c r="X250" s="16">
        <f>IFERROR(MATCH(Settings!$C$33&amp;"|"&amp;ROWS($X$2:$X250),'Per Invoice'!$Y$2:$Y$401,0),"")</f>
        <v/>
      </c>
    </row>
    <row r="251">
      <c r="A251">
        <f>IF($X251="","",IF(INDEX('Per Invoice'!A$2:A$401,$X251)="","",INDEX('Per Invoice'!A$2:A$401,$X251)))</f>
        <v/>
      </c>
      <c r="B251">
        <f>IF($X251="","",IF(INDEX('Per Invoice'!B$2:B$401,$X251)="","",INDEX('Per Invoice'!B$2:B$401,$X251)))</f>
        <v/>
      </c>
      <c r="C251">
        <f>IF($X251="","",IF(INDEX('Per Invoice'!C$2:C$401,$X251)="","",INDEX('Per Invoice'!C$2:C$401,$X251)))</f>
        <v/>
      </c>
      <c r="D251">
        <f>IF($X251="","",IF(INDEX('Per Invoice'!D$2:D$401,$X251)="","",INDEX('Per Invoice'!D$2:D$401,$X251)))</f>
        <v/>
      </c>
      <c r="E251">
        <f>IF($X251="","",IF(INDEX('Per Invoice'!E$2:E$401,$X251)="","",INDEX('Per Invoice'!E$2:E$401,$X251)))</f>
        <v/>
      </c>
      <c r="F251">
        <f>IF($X251="","",IF(INDEX('Per Invoice'!F$2:F$401,$X251)="","",INDEX('Per Invoice'!F$2:F$401,$X251)))</f>
        <v/>
      </c>
      <c r="G251">
        <f>IF($X251="","",IF(INDEX('Per Invoice'!G$2:G$401,$X251)="","",INDEX('Per Invoice'!G$2:G$401,$X251)))</f>
        <v/>
      </c>
      <c r="H251">
        <f>IF($X251="","",IF(INDEX('Per Invoice'!H$2:H$401,$X251)="","",INDEX('Per Invoice'!H$2:H$401,$X251)))</f>
        <v/>
      </c>
      <c r="I251">
        <f>IF($X251="","",IF(INDEX('Per Invoice'!I$2:I$401,$X251)="","",INDEX('Per Invoice'!I$2:I$401,$X251)))</f>
        <v/>
      </c>
      <c r="J251">
        <f>IF($X251="","",IF(INDEX('Per Invoice'!J$2:J$401,$X251)="","",INDEX('Per Invoice'!J$2:J$401,$X251)))</f>
        <v/>
      </c>
      <c r="K251" s="14">
        <f>IF($X251="","",IF(INDEX('Per Invoice'!K$2:K$401,$X251)="","",INDEX('Per Invoice'!K$2:K$401,$X251)))</f>
        <v/>
      </c>
      <c r="L251">
        <f>IF($X251="","",IF(INDEX('Per Invoice'!L$2:L$401,$X251)="","",INDEX('Per Invoice'!L$2:L$401,$X251)))</f>
        <v/>
      </c>
      <c r="M251" s="7">
        <f>IF($X251="","",IF(INDEX('Per Invoice'!M$2:M$401,$X251)="","",INDEX('Per Invoice'!M$2:M$401,$X251)))</f>
        <v/>
      </c>
      <c r="N251">
        <f>IF($X251="","",IF(INDEX('Per Invoice'!N$2:N$401,$X251)="","",INDEX('Per Invoice'!N$2:N$401,$X251)))</f>
        <v/>
      </c>
      <c r="O251" s="7">
        <f>IF($X251="","",IF(INDEX('Per Invoice'!O$2:O$401,$X251)="","",INDEX('Per Invoice'!O$2:O$401,$X251)))</f>
        <v/>
      </c>
      <c r="P251" s="7">
        <f>IF($X251="","",IF(INDEX('Per Invoice'!P$2:P$401,$X251)="","",INDEX('Per Invoice'!P$2:P$401,$X251)))</f>
        <v/>
      </c>
      <c r="Q251">
        <f>IF($X251="","",IF(INDEX('Per Invoice'!Q$2:Q$401,$X251)="","",INDEX('Per Invoice'!Q$2:Q$401,$X251)))</f>
        <v/>
      </c>
      <c r="R251" s="7">
        <f>IF($X251="","",IF(INDEX('Per Invoice'!R$2:R$401,$X251)="","",INDEX('Per Invoice'!R$2:R$401,$X251)))</f>
        <v/>
      </c>
      <c r="S251" s="7">
        <f>IF($X251="","",IF(INDEX('Per Invoice'!S$2:S$401,$X251)="","",INDEX('Per Invoice'!S$2:S$401,$X251)))</f>
        <v/>
      </c>
      <c r="T251" s="7">
        <f>IF($X251="","",IF(INDEX('Per Invoice'!T$2:T$401,$X251)="","",INDEX('Per Invoice'!T$2:T$401,$X251)))</f>
        <v/>
      </c>
      <c r="U251" s="7">
        <f>IF($X251="","",IF(INDEX('Per Invoice'!U$2:U$401,$X251)="","",INDEX('Per Invoice'!U$2:U$401,$X251)))</f>
        <v/>
      </c>
      <c r="V251" s="7">
        <f>IF($X251="","",IF(INDEX('Per Invoice'!V$2:V$401,$X251)="","",INDEX('Per Invoice'!V$2:V$401,$X251)))</f>
        <v/>
      </c>
      <c r="W251" s="7">
        <f>IF($X251="","",IF(INDEX('Per Invoice'!W$2:W$401,$X251)="","",INDEX('Per Invoice'!W$2:W$401,$X251)))</f>
        <v/>
      </c>
      <c r="X251" s="16">
        <f>IFERROR(MATCH(Settings!$C$33&amp;"|"&amp;ROWS($X$2:$X251),'Per Invoice'!$Y$2:$Y$401,0),"")</f>
        <v/>
      </c>
    </row>
    <row r="252">
      <c r="A252">
        <f>IF($X252="","",IF(INDEX('Per Invoice'!A$2:A$401,$X252)="","",INDEX('Per Invoice'!A$2:A$401,$X252)))</f>
        <v/>
      </c>
      <c r="B252">
        <f>IF($X252="","",IF(INDEX('Per Invoice'!B$2:B$401,$X252)="","",INDEX('Per Invoice'!B$2:B$401,$X252)))</f>
        <v/>
      </c>
      <c r="C252">
        <f>IF($X252="","",IF(INDEX('Per Invoice'!C$2:C$401,$X252)="","",INDEX('Per Invoice'!C$2:C$401,$X252)))</f>
        <v/>
      </c>
      <c r="D252">
        <f>IF($X252="","",IF(INDEX('Per Invoice'!D$2:D$401,$X252)="","",INDEX('Per Invoice'!D$2:D$401,$X252)))</f>
        <v/>
      </c>
      <c r="E252">
        <f>IF($X252="","",IF(INDEX('Per Invoice'!E$2:E$401,$X252)="","",INDEX('Per Invoice'!E$2:E$401,$X252)))</f>
        <v/>
      </c>
      <c r="F252">
        <f>IF($X252="","",IF(INDEX('Per Invoice'!F$2:F$401,$X252)="","",INDEX('Per Invoice'!F$2:F$401,$X252)))</f>
        <v/>
      </c>
      <c r="G252">
        <f>IF($X252="","",IF(INDEX('Per Invoice'!G$2:G$401,$X252)="","",INDEX('Per Invoice'!G$2:G$401,$X252)))</f>
        <v/>
      </c>
      <c r="H252">
        <f>IF($X252="","",IF(INDEX('Per Invoice'!H$2:H$401,$X252)="","",INDEX('Per Invoice'!H$2:H$401,$X252)))</f>
        <v/>
      </c>
      <c r="I252">
        <f>IF($X252="","",IF(INDEX('Per Invoice'!I$2:I$401,$X252)="","",INDEX('Per Invoice'!I$2:I$401,$X252)))</f>
        <v/>
      </c>
      <c r="J252">
        <f>IF($X252="","",IF(INDEX('Per Invoice'!J$2:J$401,$X252)="","",INDEX('Per Invoice'!J$2:J$401,$X252)))</f>
        <v/>
      </c>
      <c r="K252" s="14">
        <f>IF($X252="","",IF(INDEX('Per Invoice'!K$2:K$401,$X252)="","",INDEX('Per Invoice'!K$2:K$401,$X252)))</f>
        <v/>
      </c>
      <c r="L252">
        <f>IF($X252="","",IF(INDEX('Per Invoice'!L$2:L$401,$X252)="","",INDEX('Per Invoice'!L$2:L$401,$X252)))</f>
        <v/>
      </c>
      <c r="M252" s="7">
        <f>IF($X252="","",IF(INDEX('Per Invoice'!M$2:M$401,$X252)="","",INDEX('Per Invoice'!M$2:M$401,$X252)))</f>
        <v/>
      </c>
      <c r="N252">
        <f>IF($X252="","",IF(INDEX('Per Invoice'!N$2:N$401,$X252)="","",INDEX('Per Invoice'!N$2:N$401,$X252)))</f>
        <v/>
      </c>
      <c r="O252" s="7">
        <f>IF($X252="","",IF(INDEX('Per Invoice'!O$2:O$401,$X252)="","",INDEX('Per Invoice'!O$2:O$401,$X252)))</f>
        <v/>
      </c>
      <c r="P252" s="7">
        <f>IF($X252="","",IF(INDEX('Per Invoice'!P$2:P$401,$X252)="","",INDEX('Per Invoice'!P$2:P$401,$X252)))</f>
        <v/>
      </c>
      <c r="Q252">
        <f>IF($X252="","",IF(INDEX('Per Invoice'!Q$2:Q$401,$X252)="","",INDEX('Per Invoice'!Q$2:Q$401,$X252)))</f>
        <v/>
      </c>
      <c r="R252" s="7">
        <f>IF($X252="","",IF(INDEX('Per Invoice'!R$2:R$401,$X252)="","",INDEX('Per Invoice'!R$2:R$401,$X252)))</f>
        <v/>
      </c>
      <c r="S252" s="7">
        <f>IF($X252="","",IF(INDEX('Per Invoice'!S$2:S$401,$X252)="","",INDEX('Per Invoice'!S$2:S$401,$X252)))</f>
        <v/>
      </c>
      <c r="T252" s="7">
        <f>IF($X252="","",IF(INDEX('Per Invoice'!T$2:T$401,$X252)="","",INDEX('Per Invoice'!T$2:T$401,$X252)))</f>
        <v/>
      </c>
      <c r="U252" s="7">
        <f>IF($X252="","",IF(INDEX('Per Invoice'!U$2:U$401,$X252)="","",INDEX('Per Invoice'!U$2:U$401,$X252)))</f>
        <v/>
      </c>
      <c r="V252" s="7">
        <f>IF($X252="","",IF(INDEX('Per Invoice'!V$2:V$401,$X252)="","",INDEX('Per Invoice'!V$2:V$401,$X252)))</f>
        <v/>
      </c>
      <c r="W252" s="7">
        <f>IF($X252="","",IF(INDEX('Per Invoice'!W$2:W$401,$X252)="","",INDEX('Per Invoice'!W$2:W$401,$X252)))</f>
        <v/>
      </c>
      <c r="X252" s="16">
        <f>IFERROR(MATCH(Settings!$C$33&amp;"|"&amp;ROWS($X$2:$X252),'Per Invoice'!$Y$2:$Y$401,0),"")</f>
        <v/>
      </c>
    </row>
    <row r="253">
      <c r="A253">
        <f>IF($X253="","",IF(INDEX('Per Invoice'!A$2:A$401,$X253)="","",INDEX('Per Invoice'!A$2:A$401,$X253)))</f>
        <v/>
      </c>
      <c r="B253">
        <f>IF($X253="","",IF(INDEX('Per Invoice'!B$2:B$401,$X253)="","",INDEX('Per Invoice'!B$2:B$401,$X253)))</f>
        <v/>
      </c>
      <c r="C253">
        <f>IF($X253="","",IF(INDEX('Per Invoice'!C$2:C$401,$X253)="","",INDEX('Per Invoice'!C$2:C$401,$X253)))</f>
        <v/>
      </c>
      <c r="D253">
        <f>IF($X253="","",IF(INDEX('Per Invoice'!D$2:D$401,$X253)="","",INDEX('Per Invoice'!D$2:D$401,$X253)))</f>
        <v/>
      </c>
      <c r="E253">
        <f>IF($X253="","",IF(INDEX('Per Invoice'!E$2:E$401,$X253)="","",INDEX('Per Invoice'!E$2:E$401,$X253)))</f>
        <v/>
      </c>
      <c r="F253">
        <f>IF($X253="","",IF(INDEX('Per Invoice'!F$2:F$401,$X253)="","",INDEX('Per Invoice'!F$2:F$401,$X253)))</f>
        <v/>
      </c>
      <c r="G253">
        <f>IF($X253="","",IF(INDEX('Per Invoice'!G$2:G$401,$X253)="","",INDEX('Per Invoice'!G$2:G$401,$X253)))</f>
        <v/>
      </c>
      <c r="H253">
        <f>IF($X253="","",IF(INDEX('Per Invoice'!H$2:H$401,$X253)="","",INDEX('Per Invoice'!H$2:H$401,$X253)))</f>
        <v/>
      </c>
      <c r="I253">
        <f>IF($X253="","",IF(INDEX('Per Invoice'!I$2:I$401,$X253)="","",INDEX('Per Invoice'!I$2:I$401,$X253)))</f>
        <v/>
      </c>
      <c r="J253">
        <f>IF($X253="","",IF(INDEX('Per Invoice'!J$2:J$401,$X253)="","",INDEX('Per Invoice'!J$2:J$401,$X253)))</f>
        <v/>
      </c>
      <c r="K253" s="14">
        <f>IF($X253="","",IF(INDEX('Per Invoice'!K$2:K$401,$X253)="","",INDEX('Per Invoice'!K$2:K$401,$X253)))</f>
        <v/>
      </c>
      <c r="L253">
        <f>IF($X253="","",IF(INDEX('Per Invoice'!L$2:L$401,$X253)="","",INDEX('Per Invoice'!L$2:L$401,$X253)))</f>
        <v/>
      </c>
      <c r="M253" s="7">
        <f>IF($X253="","",IF(INDEX('Per Invoice'!M$2:M$401,$X253)="","",INDEX('Per Invoice'!M$2:M$401,$X253)))</f>
        <v/>
      </c>
      <c r="N253">
        <f>IF($X253="","",IF(INDEX('Per Invoice'!N$2:N$401,$X253)="","",INDEX('Per Invoice'!N$2:N$401,$X253)))</f>
        <v/>
      </c>
      <c r="O253" s="7">
        <f>IF($X253="","",IF(INDEX('Per Invoice'!O$2:O$401,$X253)="","",INDEX('Per Invoice'!O$2:O$401,$X253)))</f>
        <v/>
      </c>
      <c r="P253" s="7">
        <f>IF($X253="","",IF(INDEX('Per Invoice'!P$2:P$401,$X253)="","",INDEX('Per Invoice'!P$2:P$401,$X253)))</f>
        <v/>
      </c>
      <c r="Q253">
        <f>IF($X253="","",IF(INDEX('Per Invoice'!Q$2:Q$401,$X253)="","",INDEX('Per Invoice'!Q$2:Q$401,$X253)))</f>
        <v/>
      </c>
      <c r="R253" s="7">
        <f>IF($X253="","",IF(INDEX('Per Invoice'!R$2:R$401,$X253)="","",INDEX('Per Invoice'!R$2:R$401,$X253)))</f>
        <v/>
      </c>
      <c r="S253" s="7">
        <f>IF($X253="","",IF(INDEX('Per Invoice'!S$2:S$401,$X253)="","",INDEX('Per Invoice'!S$2:S$401,$X253)))</f>
        <v/>
      </c>
      <c r="T253" s="7">
        <f>IF($X253="","",IF(INDEX('Per Invoice'!T$2:T$401,$X253)="","",INDEX('Per Invoice'!T$2:T$401,$X253)))</f>
        <v/>
      </c>
      <c r="U253" s="7">
        <f>IF($X253="","",IF(INDEX('Per Invoice'!U$2:U$401,$X253)="","",INDEX('Per Invoice'!U$2:U$401,$X253)))</f>
        <v/>
      </c>
      <c r="V253" s="7">
        <f>IF($X253="","",IF(INDEX('Per Invoice'!V$2:V$401,$X253)="","",INDEX('Per Invoice'!V$2:V$401,$X253)))</f>
        <v/>
      </c>
      <c r="W253" s="7">
        <f>IF($X253="","",IF(INDEX('Per Invoice'!W$2:W$401,$X253)="","",INDEX('Per Invoice'!W$2:W$401,$X253)))</f>
        <v/>
      </c>
      <c r="X253" s="16">
        <f>IFERROR(MATCH(Settings!$C$33&amp;"|"&amp;ROWS($X$2:$X253),'Per Invoice'!$Y$2:$Y$401,0),"")</f>
        <v/>
      </c>
    </row>
    <row r="254">
      <c r="A254">
        <f>IF($X254="","",IF(INDEX('Per Invoice'!A$2:A$401,$X254)="","",INDEX('Per Invoice'!A$2:A$401,$X254)))</f>
        <v/>
      </c>
      <c r="B254">
        <f>IF($X254="","",IF(INDEX('Per Invoice'!B$2:B$401,$X254)="","",INDEX('Per Invoice'!B$2:B$401,$X254)))</f>
        <v/>
      </c>
      <c r="C254">
        <f>IF($X254="","",IF(INDEX('Per Invoice'!C$2:C$401,$X254)="","",INDEX('Per Invoice'!C$2:C$401,$X254)))</f>
        <v/>
      </c>
      <c r="D254">
        <f>IF($X254="","",IF(INDEX('Per Invoice'!D$2:D$401,$X254)="","",INDEX('Per Invoice'!D$2:D$401,$X254)))</f>
        <v/>
      </c>
      <c r="E254">
        <f>IF($X254="","",IF(INDEX('Per Invoice'!E$2:E$401,$X254)="","",INDEX('Per Invoice'!E$2:E$401,$X254)))</f>
        <v/>
      </c>
      <c r="F254">
        <f>IF($X254="","",IF(INDEX('Per Invoice'!F$2:F$401,$X254)="","",INDEX('Per Invoice'!F$2:F$401,$X254)))</f>
        <v/>
      </c>
      <c r="G254">
        <f>IF($X254="","",IF(INDEX('Per Invoice'!G$2:G$401,$X254)="","",INDEX('Per Invoice'!G$2:G$401,$X254)))</f>
        <v/>
      </c>
      <c r="H254">
        <f>IF($X254="","",IF(INDEX('Per Invoice'!H$2:H$401,$X254)="","",INDEX('Per Invoice'!H$2:H$401,$X254)))</f>
        <v/>
      </c>
      <c r="I254">
        <f>IF($X254="","",IF(INDEX('Per Invoice'!I$2:I$401,$X254)="","",INDEX('Per Invoice'!I$2:I$401,$X254)))</f>
        <v/>
      </c>
      <c r="J254">
        <f>IF($X254="","",IF(INDEX('Per Invoice'!J$2:J$401,$X254)="","",INDEX('Per Invoice'!J$2:J$401,$X254)))</f>
        <v/>
      </c>
      <c r="K254" s="14">
        <f>IF($X254="","",IF(INDEX('Per Invoice'!K$2:K$401,$X254)="","",INDEX('Per Invoice'!K$2:K$401,$X254)))</f>
        <v/>
      </c>
      <c r="L254">
        <f>IF($X254="","",IF(INDEX('Per Invoice'!L$2:L$401,$X254)="","",INDEX('Per Invoice'!L$2:L$401,$X254)))</f>
        <v/>
      </c>
      <c r="M254" s="7">
        <f>IF($X254="","",IF(INDEX('Per Invoice'!M$2:M$401,$X254)="","",INDEX('Per Invoice'!M$2:M$401,$X254)))</f>
        <v/>
      </c>
      <c r="N254">
        <f>IF($X254="","",IF(INDEX('Per Invoice'!N$2:N$401,$X254)="","",INDEX('Per Invoice'!N$2:N$401,$X254)))</f>
        <v/>
      </c>
      <c r="O254" s="7">
        <f>IF($X254="","",IF(INDEX('Per Invoice'!O$2:O$401,$X254)="","",INDEX('Per Invoice'!O$2:O$401,$X254)))</f>
        <v/>
      </c>
      <c r="P254" s="7">
        <f>IF($X254="","",IF(INDEX('Per Invoice'!P$2:P$401,$X254)="","",INDEX('Per Invoice'!P$2:P$401,$X254)))</f>
        <v/>
      </c>
      <c r="Q254">
        <f>IF($X254="","",IF(INDEX('Per Invoice'!Q$2:Q$401,$X254)="","",INDEX('Per Invoice'!Q$2:Q$401,$X254)))</f>
        <v/>
      </c>
      <c r="R254" s="7">
        <f>IF($X254="","",IF(INDEX('Per Invoice'!R$2:R$401,$X254)="","",INDEX('Per Invoice'!R$2:R$401,$X254)))</f>
        <v/>
      </c>
      <c r="S254" s="7">
        <f>IF($X254="","",IF(INDEX('Per Invoice'!S$2:S$401,$X254)="","",INDEX('Per Invoice'!S$2:S$401,$X254)))</f>
        <v/>
      </c>
      <c r="T254" s="7">
        <f>IF($X254="","",IF(INDEX('Per Invoice'!T$2:T$401,$X254)="","",INDEX('Per Invoice'!T$2:T$401,$X254)))</f>
        <v/>
      </c>
      <c r="U254" s="7">
        <f>IF($X254="","",IF(INDEX('Per Invoice'!U$2:U$401,$X254)="","",INDEX('Per Invoice'!U$2:U$401,$X254)))</f>
        <v/>
      </c>
      <c r="V254" s="7">
        <f>IF($X254="","",IF(INDEX('Per Invoice'!V$2:V$401,$X254)="","",INDEX('Per Invoice'!V$2:V$401,$X254)))</f>
        <v/>
      </c>
      <c r="W254" s="7">
        <f>IF($X254="","",IF(INDEX('Per Invoice'!W$2:W$401,$X254)="","",INDEX('Per Invoice'!W$2:W$401,$X254)))</f>
        <v/>
      </c>
      <c r="X254" s="16">
        <f>IFERROR(MATCH(Settings!$C$33&amp;"|"&amp;ROWS($X$2:$X254),'Per Invoice'!$Y$2:$Y$401,0),"")</f>
        <v/>
      </c>
    </row>
    <row r="255">
      <c r="A255">
        <f>IF($X255="","",IF(INDEX('Per Invoice'!A$2:A$401,$X255)="","",INDEX('Per Invoice'!A$2:A$401,$X255)))</f>
        <v/>
      </c>
      <c r="B255">
        <f>IF($X255="","",IF(INDEX('Per Invoice'!B$2:B$401,$X255)="","",INDEX('Per Invoice'!B$2:B$401,$X255)))</f>
        <v/>
      </c>
      <c r="C255">
        <f>IF($X255="","",IF(INDEX('Per Invoice'!C$2:C$401,$X255)="","",INDEX('Per Invoice'!C$2:C$401,$X255)))</f>
        <v/>
      </c>
      <c r="D255">
        <f>IF($X255="","",IF(INDEX('Per Invoice'!D$2:D$401,$X255)="","",INDEX('Per Invoice'!D$2:D$401,$X255)))</f>
        <v/>
      </c>
      <c r="E255">
        <f>IF($X255="","",IF(INDEX('Per Invoice'!E$2:E$401,$X255)="","",INDEX('Per Invoice'!E$2:E$401,$X255)))</f>
        <v/>
      </c>
      <c r="F255">
        <f>IF($X255="","",IF(INDEX('Per Invoice'!F$2:F$401,$X255)="","",INDEX('Per Invoice'!F$2:F$401,$X255)))</f>
        <v/>
      </c>
      <c r="G255">
        <f>IF($X255="","",IF(INDEX('Per Invoice'!G$2:G$401,$X255)="","",INDEX('Per Invoice'!G$2:G$401,$X255)))</f>
        <v/>
      </c>
      <c r="H255">
        <f>IF($X255="","",IF(INDEX('Per Invoice'!H$2:H$401,$X255)="","",INDEX('Per Invoice'!H$2:H$401,$X255)))</f>
        <v/>
      </c>
      <c r="I255">
        <f>IF($X255="","",IF(INDEX('Per Invoice'!I$2:I$401,$X255)="","",INDEX('Per Invoice'!I$2:I$401,$X255)))</f>
        <v/>
      </c>
      <c r="J255">
        <f>IF($X255="","",IF(INDEX('Per Invoice'!J$2:J$401,$X255)="","",INDEX('Per Invoice'!J$2:J$401,$X255)))</f>
        <v/>
      </c>
      <c r="K255" s="14">
        <f>IF($X255="","",IF(INDEX('Per Invoice'!K$2:K$401,$X255)="","",INDEX('Per Invoice'!K$2:K$401,$X255)))</f>
        <v/>
      </c>
      <c r="L255">
        <f>IF($X255="","",IF(INDEX('Per Invoice'!L$2:L$401,$X255)="","",INDEX('Per Invoice'!L$2:L$401,$X255)))</f>
        <v/>
      </c>
      <c r="M255" s="7">
        <f>IF($X255="","",IF(INDEX('Per Invoice'!M$2:M$401,$X255)="","",INDEX('Per Invoice'!M$2:M$401,$X255)))</f>
        <v/>
      </c>
      <c r="N255">
        <f>IF($X255="","",IF(INDEX('Per Invoice'!N$2:N$401,$X255)="","",INDEX('Per Invoice'!N$2:N$401,$X255)))</f>
        <v/>
      </c>
      <c r="O255" s="7">
        <f>IF($X255="","",IF(INDEX('Per Invoice'!O$2:O$401,$X255)="","",INDEX('Per Invoice'!O$2:O$401,$X255)))</f>
        <v/>
      </c>
      <c r="P255" s="7">
        <f>IF($X255="","",IF(INDEX('Per Invoice'!P$2:P$401,$X255)="","",INDEX('Per Invoice'!P$2:P$401,$X255)))</f>
        <v/>
      </c>
      <c r="Q255">
        <f>IF($X255="","",IF(INDEX('Per Invoice'!Q$2:Q$401,$X255)="","",INDEX('Per Invoice'!Q$2:Q$401,$X255)))</f>
        <v/>
      </c>
      <c r="R255" s="7">
        <f>IF($X255="","",IF(INDEX('Per Invoice'!R$2:R$401,$X255)="","",INDEX('Per Invoice'!R$2:R$401,$X255)))</f>
        <v/>
      </c>
      <c r="S255" s="7">
        <f>IF($X255="","",IF(INDEX('Per Invoice'!S$2:S$401,$X255)="","",INDEX('Per Invoice'!S$2:S$401,$X255)))</f>
        <v/>
      </c>
      <c r="T255" s="7">
        <f>IF($X255="","",IF(INDEX('Per Invoice'!T$2:T$401,$X255)="","",INDEX('Per Invoice'!T$2:T$401,$X255)))</f>
        <v/>
      </c>
      <c r="U255" s="7">
        <f>IF($X255="","",IF(INDEX('Per Invoice'!U$2:U$401,$X255)="","",INDEX('Per Invoice'!U$2:U$401,$X255)))</f>
        <v/>
      </c>
      <c r="V255" s="7">
        <f>IF($X255="","",IF(INDEX('Per Invoice'!V$2:V$401,$X255)="","",INDEX('Per Invoice'!V$2:V$401,$X255)))</f>
        <v/>
      </c>
      <c r="W255" s="7">
        <f>IF($X255="","",IF(INDEX('Per Invoice'!W$2:W$401,$X255)="","",INDEX('Per Invoice'!W$2:W$401,$X255)))</f>
        <v/>
      </c>
      <c r="X255" s="16">
        <f>IFERROR(MATCH(Settings!$C$33&amp;"|"&amp;ROWS($X$2:$X255),'Per Invoice'!$Y$2:$Y$401,0),"")</f>
        <v/>
      </c>
    </row>
    <row r="256">
      <c r="A256">
        <f>IF($X256="","",IF(INDEX('Per Invoice'!A$2:A$401,$X256)="","",INDEX('Per Invoice'!A$2:A$401,$X256)))</f>
        <v/>
      </c>
      <c r="B256">
        <f>IF($X256="","",IF(INDEX('Per Invoice'!B$2:B$401,$X256)="","",INDEX('Per Invoice'!B$2:B$401,$X256)))</f>
        <v/>
      </c>
      <c r="C256">
        <f>IF($X256="","",IF(INDEX('Per Invoice'!C$2:C$401,$X256)="","",INDEX('Per Invoice'!C$2:C$401,$X256)))</f>
        <v/>
      </c>
      <c r="D256">
        <f>IF($X256="","",IF(INDEX('Per Invoice'!D$2:D$401,$X256)="","",INDEX('Per Invoice'!D$2:D$401,$X256)))</f>
        <v/>
      </c>
      <c r="E256">
        <f>IF($X256="","",IF(INDEX('Per Invoice'!E$2:E$401,$X256)="","",INDEX('Per Invoice'!E$2:E$401,$X256)))</f>
        <v/>
      </c>
      <c r="F256">
        <f>IF($X256="","",IF(INDEX('Per Invoice'!F$2:F$401,$X256)="","",INDEX('Per Invoice'!F$2:F$401,$X256)))</f>
        <v/>
      </c>
      <c r="G256">
        <f>IF($X256="","",IF(INDEX('Per Invoice'!G$2:G$401,$X256)="","",INDEX('Per Invoice'!G$2:G$401,$X256)))</f>
        <v/>
      </c>
      <c r="H256">
        <f>IF($X256="","",IF(INDEX('Per Invoice'!H$2:H$401,$X256)="","",INDEX('Per Invoice'!H$2:H$401,$X256)))</f>
        <v/>
      </c>
      <c r="I256">
        <f>IF($X256="","",IF(INDEX('Per Invoice'!I$2:I$401,$X256)="","",INDEX('Per Invoice'!I$2:I$401,$X256)))</f>
        <v/>
      </c>
      <c r="J256">
        <f>IF($X256="","",IF(INDEX('Per Invoice'!J$2:J$401,$X256)="","",INDEX('Per Invoice'!J$2:J$401,$X256)))</f>
        <v/>
      </c>
      <c r="K256" s="14">
        <f>IF($X256="","",IF(INDEX('Per Invoice'!K$2:K$401,$X256)="","",INDEX('Per Invoice'!K$2:K$401,$X256)))</f>
        <v/>
      </c>
      <c r="L256">
        <f>IF($X256="","",IF(INDEX('Per Invoice'!L$2:L$401,$X256)="","",INDEX('Per Invoice'!L$2:L$401,$X256)))</f>
        <v/>
      </c>
      <c r="M256" s="7">
        <f>IF($X256="","",IF(INDEX('Per Invoice'!M$2:M$401,$X256)="","",INDEX('Per Invoice'!M$2:M$401,$X256)))</f>
        <v/>
      </c>
      <c r="N256">
        <f>IF($X256="","",IF(INDEX('Per Invoice'!N$2:N$401,$X256)="","",INDEX('Per Invoice'!N$2:N$401,$X256)))</f>
        <v/>
      </c>
      <c r="O256" s="7">
        <f>IF($X256="","",IF(INDEX('Per Invoice'!O$2:O$401,$X256)="","",INDEX('Per Invoice'!O$2:O$401,$X256)))</f>
        <v/>
      </c>
      <c r="P256" s="7">
        <f>IF($X256="","",IF(INDEX('Per Invoice'!P$2:P$401,$X256)="","",INDEX('Per Invoice'!P$2:P$401,$X256)))</f>
        <v/>
      </c>
      <c r="Q256">
        <f>IF($X256="","",IF(INDEX('Per Invoice'!Q$2:Q$401,$X256)="","",INDEX('Per Invoice'!Q$2:Q$401,$X256)))</f>
        <v/>
      </c>
      <c r="R256" s="7">
        <f>IF($X256="","",IF(INDEX('Per Invoice'!R$2:R$401,$X256)="","",INDEX('Per Invoice'!R$2:R$401,$X256)))</f>
        <v/>
      </c>
      <c r="S256" s="7">
        <f>IF($X256="","",IF(INDEX('Per Invoice'!S$2:S$401,$X256)="","",INDEX('Per Invoice'!S$2:S$401,$X256)))</f>
        <v/>
      </c>
      <c r="T256" s="7">
        <f>IF($X256="","",IF(INDEX('Per Invoice'!T$2:T$401,$X256)="","",INDEX('Per Invoice'!T$2:T$401,$X256)))</f>
        <v/>
      </c>
      <c r="U256" s="7">
        <f>IF($X256="","",IF(INDEX('Per Invoice'!U$2:U$401,$X256)="","",INDEX('Per Invoice'!U$2:U$401,$X256)))</f>
        <v/>
      </c>
      <c r="V256" s="7">
        <f>IF($X256="","",IF(INDEX('Per Invoice'!V$2:V$401,$X256)="","",INDEX('Per Invoice'!V$2:V$401,$X256)))</f>
        <v/>
      </c>
      <c r="W256" s="7">
        <f>IF($X256="","",IF(INDEX('Per Invoice'!W$2:W$401,$X256)="","",INDEX('Per Invoice'!W$2:W$401,$X256)))</f>
        <v/>
      </c>
      <c r="X256" s="16">
        <f>IFERROR(MATCH(Settings!$C$33&amp;"|"&amp;ROWS($X$2:$X256),'Per Invoice'!$Y$2:$Y$401,0),"")</f>
        <v/>
      </c>
    </row>
    <row r="257">
      <c r="A257">
        <f>IF($X257="","",IF(INDEX('Per Invoice'!A$2:A$401,$X257)="","",INDEX('Per Invoice'!A$2:A$401,$X257)))</f>
        <v/>
      </c>
      <c r="B257">
        <f>IF($X257="","",IF(INDEX('Per Invoice'!B$2:B$401,$X257)="","",INDEX('Per Invoice'!B$2:B$401,$X257)))</f>
        <v/>
      </c>
      <c r="C257">
        <f>IF($X257="","",IF(INDEX('Per Invoice'!C$2:C$401,$X257)="","",INDEX('Per Invoice'!C$2:C$401,$X257)))</f>
        <v/>
      </c>
      <c r="D257">
        <f>IF($X257="","",IF(INDEX('Per Invoice'!D$2:D$401,$X257)="","",INDEX('Per Invoice'!D$2:D$401,$X257)))</f>
        <v/>
      </c>
      <c r="E257">
        <f>IF($X257="","",IF(INDEX('Per Invoice'!E$2:E$401,$X257)="","",INDEX('Per Invoice'!E$2:E$401,$X257)))</f>
        <v/>
      </c>
      <c r="F257">
        <f>IF($X257="","",IF(INDEX('Per Invoice'!F$2:F$401,$X257)="","",INDEX('Per Invoice'!F$2:F$401,$X257)))</f>
        <v/>
      </c>
      <c r="G257">
        <f>IF($X257="","",IF(INDEX('Per Invoice'!G$2:G$401,$X257)="","",INDEX('Per Invoice'!G$2:G$401,$X257)))</f>
        <v/>
      </c>
      <c r="H257">
        <f>IF($X257="","",IF(INDEX('Per Invoice'!H$2:H$401,$X257)="","",INDEX('Per Invoice'!H$2:H$401,$X257)))</f>
        <v/>
      </c>
      <c r="I257">
        <f>IF($X257="","",IF(INDEX('Per Invoice'!I$2:I$401,$X257)="","",INDEX('Per Invoice'!I$2:I$401,$X257)))</f>
        <v/>
      </c>
      <c r="J257">
        <f>IF($X257="","",IF(INDEX('Per Invoice'!J$2:J$401,$X257)="","",INDEX('Per Invoice'!J$2:J$401,$X257)))</f>
        <v/>
      </c>
      <c r="K257" s="14">
        <f>IF($X257="","",IF(INDEX('Per Invoice'!K$2:K$401,$X257)="","",INDEX('Per Invoice'!K$2:K$401,$X257)))</f>
        <v/>
      </c>
      <c r="L257">
        <f>IF($X257="","",IF(INDEX('Per Invoice'!L$2:L$401,$X257)="","",INDEX('Per Invoice'!L$2:L$401,$X257)))</f>
        <v/>
      </c>
      <c r="M257" s="7">
        <f>IF($X257="","",IF(INDEX('Per Invoice'!M$2:M$401,$X257)="","",INDEX('Per Invoice'!M$2:M$401,$X257)))</f>
        <v/>
      </c>
      <c r="N257">
        <f>IF($X257="","",IF(INDEX('Per Invoice'!N$2:N$401,$X257)="","",INDEX('Per Invoice'!N$2:N$401,$X257)))</f>
        <v/>
      </c>
      <c r="O257" s="7">
        <f>IF($X257="","",IF(INDEX('Per Invoice'!O$2:O$401,$X257)="","",INDEX('Per Invoice'!O$2:O$401,$X257)))</f>
        <v/>
      </c>
      <c r="P257" s="7">
        <f>IF($X257="","",IF(INDEX('Per Invoice'!P$2:P$401,$X257)="","",INDEX('Per Invoice'!P$2:P$401,$X257)))</f>
        <v/>
      </c>
      <c r="Q257">
        <f>IF($X257="","",IF(INDEX('Per Invoice'!Q$2:Q$401,$X257)="","",INDEX('Per Invoice'!Q$2:Q$401,$X257)))</f>
        <v/>
      </c>
      <c r="R257" s="7">
        <f>IF($X257="","",IF(INDEX('Per Invoice'!R$2:R$401,$X257)="","",INDEX('Per Invoice'!R$2:R$401,$X257)))</f>
        <v/>
      </c>
      <c r="S257" s="7">
        <f>IF($X257="","",IF(INDEX('Per Invoice'!S$2:S$401,$X257)="","",INDEX('Per Invoice'!S$2:S$401,$X257)))</f>
        <v/>
      </c>
      <c r="T257" s="7">
        <f>IF($X257="","",IF(INDEX('Per Invoice'!T$2:T$401,$X257)="","",INDEX('Per Invoice'!T$2:T$401,$X257)))</f>
        <v/>
      </c>
      <c r="U257" s="7">
        <f>IF($X257="","",IF(INDEX('Per Invoice'!U$2:U$401,$X257)="","",INDEX('Per Invoice'!U$2:U$401,$X257)))</f>
        <v/>
      </c>
      <c r="V257" s="7">
        <f>IF($X257="","",IF(INDEX('Per Invoice'!V$2:V$401,$X257)="","",INDEX('Per Invoice'!V$2:V$401,$X257)))</f>
        <v/>
      </c>
      <c r="W257" s="7">
        <f>IF($X257="","",IF(INDEX('Per Invoice'!W$2:W$401,$X257)="","",INDEX('Per Invoice'!W$2:W$401,$X257)))</f>
        <v/>
      </c>
      <c r="X257" s="16">
        <f>IFERROR(MATCH(Settings!$C$33&amp;"|"&amp;ROWS($X$2:$X257),'Per Invoice'!$Y$2:$Y$401,0),"")</f>
        <v/>
      </c>
    </row>
    <row r="258">
      <c r="A258">
        <f>IF($X258="","",IF(INDEX('Per Invoice'!A$2:A$401,$X258)="","",INDEX('Per Invoice'!A$2:A$401,$X258)))</f>
        <v/>
      </c>
      <c r="B258">
        <f>IF($X258="","",IF(INDEX('Per Invoice'!B$2:B$401,$X258)="","",INDEX('Per Invoice'!B$2:B$401,$X258)))</f>
        <v/>
      </c>
      <c r="C258">
        <f>IF($X258="","",IF(INDEX('Per Invoice'!C$2:C$401,$X258)="","",INDEX('Per Invoice'!C$2:C$401,$X258)))</f>
        <v/>
      </c>
      <c r="D258">
        <f>IF($X258="","",IF(INDEX('Per Invoice'!D$2:D$401,$X258)="","",INDEX('Per Invoice'!D$2:D$401,$X258)))</f>
        <v/>
      </c>
      <c r="E258">
        <f>IF($X258="","",IF(INDEX('Per Invoice'!E$2:E$401,$X258)="","",INDEX('Per Invoice'!E$2:E$401,$X258)))</f>
        <v/>
      </c>
      <c r="F258">
        <f>IF($X258="","",IF(INDEX('Per Invoice'!F$2:F$401,$X258)="","",INDEX('Per Invoice'!F$2:F$401,$X258)))</f>
        <v/>
      </c>
      <c r="G258">
        <f>IF($X258="","",IF(INDEX('Per Invoice'!G$2:G$401,$X258)="","",INDEX('Per Invoice'!G$2:G$401,$X258)))</f>
        <v/>
      </c>
      <c r="H258">
        <f>IF($X258="","",IF(INDEX('Per Invoice'!H$2:H$401,$X258)="","",INDEX('Per Invoice'!H$2:H$401,$X258)))</f>
        <v/>
      </c>
      <c r="I258">
        <f>IF($X258="","",IF(INDEX('Per Invoice'!I$2:I$401,$X258)="","",INDEX('Per Invoice'!I$2:I$401,$X258)))</f>
        <v/>
      </c>
      <c r="J258">
        <f>IF($X258="","",IF(INDEX('Per Invoice'!J$2:J$401,$X258)="","",INDEX('Per Invoice'!J$2:J$401,$X258)))</f>
        <v/>
      </c>
      <c r="K258" s="14">
        <f>IF($X258="","",IF(INDEX('Per Invoice'!K$2:K$401,$X258)="","",INDEX('Per Invoice'!K$2:K$401,$X258)))</f>
        <v/>
      </c>
      <c r="L258">
        <f>IF($X258="","",IF(INDEX('Per Invoice'!L$2:L$401,$X258)="","",INDEX('Per Invoice'!L$2:L$401,$X258)))</f>
        <v/>
      </c>
      <c r="M258" s="7">
        <f>IF($X258="","",IF(INDEX('Per Invoice'!M$2:M$401,$X258)="","",INDEX('Per Invoice'!M$2:M$401,$X258)))</f>
        <v/>
      </c>
      <c r="N258">
        <f>IF($X258="","",IF(INDEX('Per Invoice'!N$2:N$401,$X258)="","",INDEX('Per Invoice'!N$2:N$401,$X258)))</f>
        <v/>
      </c>
      <c r="O258" s="7">
        <f>IF($X258="","",IF(INDEX('Per Invoice'!O$2:O$401,$X258)="","",INDEX('Per Invoice'!O$2:O$401,$X258)))</f>
        <v/>
      </c>
      <c r="P258" s="7">
        <f>IF($X258="","",IF(INDEX('Per Invoice'!P$2:P$401,$X258)="","",INDEX('Per Invoice'!P$2:P$401,$X258)))</f>
        <v/>
      </c>
      <c r="Q258">
        <f>IF($X258="","",IF(INDEX('Per Invoice'!Q$2:Q$401,$X258)="","",INDEX('Per Invoice'!Q$2:Q$401,$X258)))</f>
        <v/>
      </c>
      <c r="R258" s="7">
        <f>IF($X258="","",IF(INDEX('Per Invoice'!R$2:R$401,$X258)="","",INDEX('Per Invoice'!R$2:R$401,$X258)))</f>
        <v/>
      </c>
      <c r="S258" s="7">
        <f>IF($X258="","",IF(INDEX('Per Invoice'!S$2:S$401,$X258)="","",INDEX('Per Invoice'!S$2:S$401,$X258)))</f>
        <v/>
      </c>
      <c r="T258" s="7">
        <f>IF($X258="","",IF(INDEX('Per Invoice'!T$2:T$401,$X258)="","",INDEX('Per Invoice'!T$2:T$401,$X258)))</f>
        <v/>
      </c>
      <c r="U258" s="7">
        <f>IF($X258="","",IF(INDEX('Per Invoice'!U$2:U$401,$X258)="","",INDEX('Per Invoice'!U$2:U$401,$X258)))</f>
        <v/>
      </c>
      <c r="V258" s="7">
        <f>IF($X258="","",IF(INDEX('Per Invoice'!V$2:V$401,$X258)="","",INDEX('Per Invoice'!V$2:V$401,$X258)))</f>
        <v/>
      </c>
      <c r="W258" s="7">
        <f>IF($X258="","",IF(INDEX('Per Invoice'!W$2:W$401,$X258)="","",INDEX('Per Invoice'!W$2:W$401,$X258)))</f>
        <v/>
      </c>
      <c r="X258" s="16">
        <f>IFERROR(MATCH(Settings!$C$33&amp;"|"&amp;ROWS($X$2:$X258),'Per Invoice'!$Y$2:$Y$401,0),"")</f>
        <v/>
      </c>
    </row>
    <row r="259">
      <c r="A259">
        <f>IF($X259="","",IF(INDEX('Per Invoice'!A$2:A$401,$X259)="","",INDEX('Per Invoice'!A$2:A$401,$X259)))</f>
        <v/>
      </c>
      <c r="B259">
        <f>IF($X259="","",IF(INDEX('Per Invoice'!B$2:B$401,$X259)="","",INDEX('Per Invoice'!B$2:B$401,$X259)))</f>
        <v/>
      </c>
      <c r="C259">
        <f>IF($X259="","",IF(INDEX('Per Invoice'!C$2:C$401,$X259)="","",INDEX('Per Invoice'!C$2:C$401,$X259)))</f>
        <v/>
      </c>
      <c r="D259">
        <f>IF($X259="","",IF(INDEX('Per Invoice'!D$2:D$401,$X259)="","",INDEX('Per Invoice'!D$2:D$401,$X259)))</f>
        <v/>
      </c>
      <c r="E259">
        <f>IF($X259="","",IF(INDEX('Per Invoice'!E$2:E$401,$X259)="","",INDEX('Per Invoice'!E$2:E$401,$X259)))</f>
        <v/>
      </c>
      <c r="F259">
        <f>IF($X259="","",IF(INDEX('Per Invoice'!F$2:F$401,$X259)="","",INDEX('Per Invoice'!F$2:F$401,$X259)))</f>
        <v/>
      </c>
      <c r="G259">
        <f>IF($X259="","",IF(INDEX('Per Invoice'!G$2:G$401,$X259)="","",INDEX('Per Invoice'!G$2:G$401,$X259)))</f>
        <v/>
      </c>
      <c r="H259">
        <f>IF($X259="","",IF(INDEX('Per Invoice'!H$2:H$401,$X259)="","",INDEX('Per Invoice'!H$2:H$401,$X259)))</f>
        <v/>
      </c>
      <c r="I259">
        <f>IF($X259="","",IF(INDEX('Per Invoice'!I$2:I$401,$X259)="","",INDEX('Per Invoice'!I$2:I$401,$X259)))</f>
        <v/>
      </c>
      <c r="J259">
        <f>IF($X259="","",IF(INDEX('Per Invoice'!J$2:J$401,$X259)="","",INDEX('Per Invoice'!J$2:J$401,$X259)))</f>
        <v/>
      </c>
      <c r="K259" s="14">
        <f>IF($X259="","",IF(INDEX('Per Invoice'!K$2:K$401,$X259)="","",INDEX('Per Invoice'!K$2:K$401,$X259)))</f>
        <v/>
      </c>
      <c r="L259">
        <f>IF($X259="","",IF(INDEX('Per Invoice'!L$2:L$401,$X259)="","",INDEX('Per Invoice'!L$2:L$401,$X259)))</f>
        <v/>
      </c>
      <c r="M259" s="7">
        <f>IF($X259="","",IF(INDEX('Per Invoice'!M$2:M$401,$X259)="","",INDEX('Per Invoice'!M$2:M$401,$X259)))</f>
        <v/>
      </c>
      <c r="N259">
        <f>IF($X259="","",IF(INDEX('Per Invoice'!N$2:N$401,$X259)="","",INDEX('Per Invoice'!N$2:N$401,$X259)))</f>
        <v/>
      </c>
      <c r="O259" s="7">
        <f>IF($X259="","",IF(INDEX('Per Invoice'!O$2:O$401,$X259)="","",INDEX('Per Invoice'!O$2:O$401,$X259)))</f>
        <v/>
      </c>
      <c r="P259" s="7">
        <f>IF($X259="","",IF(INDEX('Per Invoice'!P$2:P$401,$X259)="","",INDEX('Per Invoice'!P$2:P$401,$X259)))</f>
        <v/>
      </c>
      <c r="Q259">
        <f>IF($X259="","",IF(INDEX('Per Invoice'!Q$2:Q$401,$X259)="","",INDEX('Per Invoice'!Q$2:Q$401,$X259)))</f>
        <v/>
      </c>
      <c r="R259" s="7">
        <f>IF($X259="","",IF(INDEX('Per Invoice'!R$2:R$401,$X259)="","",INDEX('Per Invoice'!R$2:R$401,$X259)))</f>
        <v/>
      </c>
      <c r="S259" s="7">
        <f>IF($X259="","",IF(INDEX('Per Invoice'!S$2:S$401,$X259)="","",INDEX('Per Invoice'!S$2:S$401,$X259)))</f>
        <v/>
      </c>
      <c r="T259" s="7">
        <f>IF($X259="","",IF(INDEX('Per Invoice'!T$2:T$401,$X259)="","",INDEX('Per Invoice'!T$2:T$401,$X259)))</f>
        <v/>
      </c>
      <c r="U259" s="7">
        <f>IF($X259="","",IF(INDEX('Per Invoice'!U$2:U$401,$X259)="","",INDEX('Per Invoice'!U$2:U$401,$X259)))</f>
        <v/>
      </c>
      <c r="V259" s="7">
        <f>IF($X259="","",IF(INDEX('Per Invoice'!V$2:V$401,$X259)="","",INDEX('Per Invoice'!V$2:V$401,$X259)))</f>
        <v/>
      </c>
      <c r="W259" s="7">
        <f>IF($X259="","",IF(INDEX('Per Invoice'!W$2:W$401,$X259)="","",INDEX('Per Invoice'!W$2:W$401,$X259)))</f>
        <v/>
      </c>
      <c r="X259" s="16">
        <f>IFERROR(MATCH(Settings!$C$33&amp;"|"&amp;ROWS($X$2:$X259),'Per Invoice'!$Y$2:$Y$401,0),"")</f>
        <v/>
      </c>
    </row>
    <row r="260">
      <c r="A260">
        <f>IF($X260="","",IF(INDEX('Per Invoice'!A$2:A$401,$X260)="","",INDEX('Per Invoice'!A$2:A$401,$X260)))</f>
        <v/>
      </c>
      <c r="B260">
        <f>IF($X260="","",IF(INDEX('Per Invoice'!B$2:B$401,$X260)="","",INDEX('Per Invoice'!B$2:B$401,$X260)))</f>
        <v/>
      </c>
      <c r="C260">
        <f>IF($X260="","",IF(INDEX('Per Invoice'!C$2:C$401,$X260)="","",INDEX('Per Invoice'!C$2:C$401,$X260)))</f>
        <v/>
      </c>
      <c r="D260">
        <f>IF($X260="","",IF(INDEX('Per Invoice'!D$2:D$401,$X260)="","",INDEX('Per Invoice'!D$2:D$401,$X260)))</f>
        <v/>
      </c>
      <c r="E260">
        <f>IF($X260="","",IF(INDEX('Per Invoice'!E$2:E$401,$X260)="","",INDEX('Per Invoice'!E$2:E$401,$X260)))</f>
        <v/>
      </c>
      <c r="F260">
        <f>IF($X260="","",IF(INDEX('Per Invoice'!F$2:F$401,$X260)="","",INDEX('Per Invoice'!F$2:F$401,$X260)))</f>
        <v/>
      </c>
      <c r="G260">
        <f>IF($X260="","",IF(INDEX('Per Invoice'!G$2:G$401,$X260)="","",INDEX('Per Invoice'!G$2:G$401,$X260)))</f>
        <v/>
      </c>
      <c r="H260">
        <f>IF($X260="","",IF(INDEX('Per Invoice'!H$2:H$401,$X260)="","",INDEX('Per Invoice'!H$2:H$401,$X260)))</f>
        <v/>
      </c>
      <c r="I260">
        <f>IF($X260="","",IF(INDEX('Per Invoice'!I$2:I$401,$X260)="","",INDEX('Per Invoice'!I$2:I$401,$X260)))</f>
        <v/>
      </c>
      <c r="J260">
        <f>IF($X260="","",IF(INDEX('Per Invoice'!J$2:J$401,$X260)="","",INDEX('Per Invoice'!J$2:J$401,$X260)))</f>
        <v/>
      </c>
      <c r="K260" s="14">
        <f>IF($X260="","",IF(INDEX('Per Invoice'!K$2:K$401,$X260)="","",INDEX('Per Invoice'!K$2:K$401,$X260)))</f>
        <v/>
      </c>
      <c r="L260">
        <f>IF($X260="","",IF(INDEX('Per Invoice'!L$2:L$401,$X260)="","",INDEX('Per Invoice'!L$2:L$401,$X260)))</f>
        <v/>
      </c>
      <c r="M260" s="7">
        <f>IF($X260="","",IF(INDEX('Per Invoice'!M$2:M$401,$X260)="","",INDEX('Per Invoice'!M$2:M$401,$X260)))</f>
        <v/>
      </c>
      <c r="N260">
        <f>IF($X260="","",IF(INDEX('Per Invoice'!N$2:N$401,$X260)="","",INDEX('Per Invoice'!N$2:N$401,$X260)))</f>
        <v/>
      </c>
      <c r="O260" s="7">
        <f>IF($X260="","",IF(INDEX('Per Invoice'!O$2:O$401,$X260)="","",INDEX('Per Invoice'!O$2:O$401,$X260)))</f>
        <v/>
      </c>
      <c r="P260" s="7">
        <f>IF($X260="","",IF(INDEX('Per Invoice'!P$2:P$401,$X260)="","",INDEX('Per Invoice'!P$2:P$401,$X260)))</f>
        <v/>
      </c>
      <c r="Q260">
        <f>IF($X260="","",IF(INDEX('Per Invoice'!Q$2:Q$401,$X260)="","",INDEX('Per Invoice'!Q$2:Q$401,$X260)))</f>
        <v/>
      </c>
      <c r="R260" s="7">
        <f>IF($X260="","",IF(INDEX('Per Invoice'!R$2:R$401,$X260)="","",INDEX('Per Invoice'!R$2:R$401,$X260)))</f>
        <v/>
      </c>
      <c r="S260" s="7">
        <f>IF($X260="","",IF(INDEX('Per Invoice'!S$2:S$401,$X260)="","",INDEX('Per Invoice'!S$2:S$401,$X260)))</f>
        <v/>
      </c>
      <c r="T260" s="7">
        <f>IF($X260="","",IF(INDEX('Per Invoice'!T$2:T$401,$X260)="","",INDEX('Per Invoice'!T$2:T$401,$X260)))</f>
        <v/>
      </c>
      <c r="U260" s="7">
        <f>IF($X260="","",IF(INDEX('Per Invoice'!U$2:U$401,$X260)="","",INDEX('Per Invoice'!U$2:U$401,$X260)))</f>
        <v/>
      </c>
      <c r="V260" s="7">
        <f>IF($X260="","",IF(INDEX('Per Invoice'!V$2:V$401,$X260)="","",INDEX('Per Invoice'!V$2:V$401,$X260)))</f>
        <v/>
      </c>
      <c r="W260" s="7">
        <f>IF($X260="","",IF(INDEX('Per Invoice'!W$2:W$401,$X260)="","",INDEX('Per Invoice'!W$2:W$401,$X260)))</f>
        <v/>
      </c>
      <c r="X260" s="16">
        <f>IFERROR(MATCH(Settings!$C$33&amp;"|"&amp;ROWS($X$2:$X260),'Per Invoice'!$Y$2:$Y$401,0),"")</f>
        <v/>
      </c>
    </row>
    <row r="261">
      <c r="A261">
        <f>IF($X261="","",IF(INDEX('Per Invoice'!A$2:A$401,$X261)="","",INDEX('Per Invoice'!A$2:A$401,$X261)))</f>
        <v/>
      </c>
      <c r="B261">
        <f>IF($X261="","",IF(INDEX('Per Invoice'!B$2:B$401,$X261)="","",INDEX('Per Invoice'!B$2:B$401,$X261)))</f>
        <v/>
      </c>
      <c r="C261">
        <f>IF($X261="","",IF(INDEX('Per Invoice'!C$2:C$401,$X261)="","",INDEX('Per Invoice'!C$2:C$401,$X261)))</f>
        <v/>
      </c>
      <c r="D261">
        <f>IF($X261="","",IF(INDEX('Per Invoice'!D$2:D$401,$X261)="","",INDEX('Per Invoice'!D$2:D$401,$X261)))</f>
        <v/>
      </c>
      <c r="E261">
        <f>IF($X261="","",IF(INDEX('Per Invoice'!E$2:E$401,$X261)="","",INDEX('Per Invoice'!E$2:E$401,$X261)))</f>
        <v/>
      </c>
      <c r="F261">
        <f>IF($X261="","",IF(INDEX('Per Invoice'!F$2:F$401,$X261)="","",INDEX('Per Invoice'!F$2:F$401,$X261)))</f>
        <v/>
      </c>
      <c r="G261">
        <f>IF($X261="","",IF(INDEX('Per Invoice'!G$2:G$401,$X261)="","",INDEX('Per Invoice'!G$2:G$401,$X261)))</f>
        <v/>
      </c>
      <c r="H261">
        <f>IF($X261="","",IF(INDEX('Per Invoice'!H$2:H$401,$X261)="","",INDEX('Per Invoice'!H$2:H$401,$X261)))</f>
        <v/>
      </c>
      <c r="I261">
        <f>IF($X261="","",IF(INDEX('Per Invoice'!I$2:I$401,$X261)="","",INDEX('Per Invoice'!I$2:I$401,$X261)))</f>
        <v/>
      </c>
      <c r="J261">
        <f>IF($X261="","",IF(INDEX('Per Invoice'!J$2:J$401,$X261)="","",INDEX('Per Invoice'!J$2:J$401,$X261)))</f>
        <v/>
      </c>
      <c r="K261" s="14">
        <f>IF($X261="","",IF(INDEX('Per Invoice'!K$2:K$401,$X261)="","",INDEX('Per Invoice'!K$2:K$401,$X261)))</f>
        <v/>
      </c>
      <c r="L261">
        <f>IF($X261="","",IF(INDEX('Per Invoice'!L$2:L$401,$X261)="","",INDEX('Per Invoice'!L$2:L$401,$X261)))</f>
        <v/>
      </c>
      <c r="M261" s="7">
        <f>IF($X261="","",IF(INDEX('Per Invoice'!M$2:M$401,$X261)="","",INDEX('Per Invoice'!M$2:M$401,$X261)))</f>
        <v/>
      </c>
      <c r="N261">
        <f>IF($X261="","",IF(INDEX('Per Invoice'!N$2:N$401,$X261)="","",INDEX('Per Invoice'!N$2:N$401,$X261)))</f>
        <v/>
      </c>
      <c r="O261" s="7">
        <f>IF($X261="","",IF(INDEX('Per Invoice'!O$2:O$401,$X261)="","",INDEX('Per Invoice'!O$2:O$401,$X261)))</f>
        <v/>
      </c>
      <c r="P261" s="7">
        <f>IF($X261="","",IF(INDEX('Per Invoice'!P$2:P$401,$X261)="","",INDEX('Per Invoice'!P$2:P$401,$X261)))</f>
        <v/>
      </c>
      <c r="Q261">
        <f>IF($X261="","",IF(INDEX('Per Invoice'!Q$2:Q$401,$X261)="","",INDEX('Per Invoice'!Q$2:Q$401,$X261)))</f>
        <v/>
      </c>
      <c r="R261" s="7">
        <f>IF($X261="","",IF(INDEX('Per Invoice'!R$2:R$401,$X261)="","",INDEX('Per Invoice'!R$2:R$401,$X261)))</f>
        <v/>
      </c>
      <c r="S261" s="7">
        <f>IF($X261="","",IF(INDEX('Per Invoice'!S$2:S$401,$X261)="","",INDEX('Per Invoice'!S$2:S$401,$X261)))</f>
        <v/>
      </c>
      <c r="T261" s="7">
        <f>IF($X261="","",IF(INDEX('Per Invoice'!T$2:T$401,$X261)="","",INDEX('Per Invoice'!T$2:T$401,$X261)))</f>
        <v/>
      </c>
      <c r="U261" s="7">
        <f>IF($X261="","",IF(INDEX('Per Invoice'!U$2:U$401,$X261)="","",INDEX('Per Invoice'!U$2:U$401,$X261)))</f>
        <v/>
      </c>
      <c r="V261" s="7">
        <f>IF($X261="","",IF(INDEX('Per Invoice'!V$2:V$401,$X261)="","",INDEX('Per Invoice'!V$2:V$401,$X261)))</f>
        <v/>
      </c>
      <c r="W261" s="7">
        <f>IF($X261="","",IF(INDEX('Per Invoice'!W$2:W$401,$X261)="","",INDEX('Per Invoice'!W$2:W$401,$X261)))</f>
        <v/>
      </c>
      <c r="X261" s="16">
        <f>IFERROR(MATCH(Settings!$C$33&amp;"|"&amp;ROWS($X$2:$X261),'Per Invoice'!$Y$2:$Y$401,0),"")</f>
        <v/>
      </c>
    </row>
    <row r="262">
      <c r="A262">
        <f>IF($X262="","",IF(INDEX('Per Invoice'!A$2:A$401,$X262)="","",INDEX('Per Invoice'!A$2:A$401,$X262)))</f>
        <v/>
      </c>
      <c r="B262">
        <f>IF($X262="","",IF(INDEX('Per Invoice'!B$2:B$401,$X262)="","",INDEX('Per Invoice'!B$2:B$401,$X262)))</f>
        <v/>
      </c>
      <c r="C262">
        <f>IF($X262="","",IF(INDEX('Per Invoice'!C$2:C$401,$X262)="","",INDEX('Per Invoice'!C$2:C$401,$X262)))</f>
        <v/>
      </c>
      <c r="D262">
        <f>IF($X262="","",IF(INDEX('Per Invoice'!D$2:D$401,$X262)="","",INDEX('Per Invoice'!D$2:D$401,$X262)))</f>
        <v/>
      </c>
      <c r="E262">
        <f>IF($X262="","",IF(INDEX('Per Invoice'!E$2:E$401,$X262)="","",INDEX('Per Invoice'!E$2:E$401,$X262)))</f>
        <v/>
      </c>
      <c r="F262">
        <f>IF($X262="","",IF(INDEX('Per Invoice'!F$2:F$401,$X262)="","",INDEX('Per Invoice'!F$2:F$401,$X262)))</f>
        <v/>
      </c>
      <c r="G262">
        <f>IF($X262="","",IF(INDEX('Per Invoice'!G$2:G$401,$X262)="","",INDEX('Per Invoice'!G$2:G$401,$X262)))</f>
        <v/>
      </c>
      <c r="H262">
        <f>IF($X262="","",IF(INDEX('Per Invoice'!H$2:H$401,$X262)="","",INDEX('Per Invoice'!H$2:H$401,$X262)))</f>
        <v/>
      </c>
      <c r="I262">
        <f>IF($X262="","",IF(INDEX('Per Invoice'!I$2:I$401,$X262)="","",INDEX('Per Invoice'!I$2:I$401,$X262)))</f>
        <v/>
      </c>
      <c r="J262">
        <f>IF($X262="","",IF(INDEX('Per Invoice'!J$2:J$401,$X262)="","",INDEX('Per Invoice'!J$2:J$401,$X262)))</f>
        <v/>
      </c>
      <c r="K262" s="14">
        <f>IF($X262="","",IF(INDEX('Per Invoice'!K$2:K$401,$X262)="","",INDEX('Per Invoice'!K$2:K$401,$X262)))</f>
        <v/>
      </c>
      <c r="L262">
        <f>IF($X262="","",IF(INDEX('Per Invoice'!L$2:L$401,$X262)="","",INDEX('Per Invoice'!L$2:L$401,$X262)))</f>
        <v/>
      </c>
      <c r="M262" s="7">
        <f>IF($X262="","",IF(INDEX('Per Invoice'!M$2:M$401,$X262)="","",INDEX('Per Invoice'!M$2:M$401,$X262)))</f>
        <v/>
      </c>
      <c r="N262">
        <f>IF($X262="","",IF(INDEX('Per Invoice'!N$2:N$401,$X262)="","",INDEX('Per Invoice'!N$2:N$401,$X262)))</f>
        <v/>
      </c>
      <c r="O262" s="7">
        <f>IF($X262="","",IF(INDEX('Per Invoice'!O$2:O$401,$X262)="","",INDEX('Per Invoice'!O$2:O$401,$X262)))</f>
        <v/>
      </c>
      <c r="P262" s="7">
        <f>IF($X262="","",IF(INDEX('Per Invoice'!P$2:P$401,$X262)="","",INDEX('Per Invoice'!P$2:P$401,$X262)))</f>
        <v/>
      </c>
      <c r="Q262">
        <f>IF($X262="","",IF(INDEX('Per Invoice'!Q$2:Q$401,$X262)="","",INDEX('Per Invoice'!Q$2:Q$401,$X262)))</f>
        <v/>
      </c>
      <c r="R262" s="7">
        <f>IF($X262="","",IF(INDEX('Per Invoice'!R$2:R$401,$X262)="","",INDEX('Per Invoice'!R$2:R$401,$X262)))</f>
        <v/>
      </c>
      <c r="S262" s="7">
        <f>IF($X262="","",IF(INDEX('Per Invoice'!S$2:S$401,$X262)="","",INDEX('Per Invoice'!S$2:S$401,$X262)))</f>
        <v/>
      </c>
      <c r="T262" s="7">
        <f>IF($X262="","",IF(INDEX('Per Invoice'!T$2:T$401,$X262)="","",INDEX('Per Invoice'!T$2:T$401,$X262)))</f>
        <v/>
      </c>
      <c r="U262" s="7">
        <f>IF($X262="","",IF(INDEX('Per Invoice'!U$2:U$401,$X262)="","",INDEX('Per Invoice'!U$2:U$401,$X262)))</f>
        <v/>
      </c>
      <c r="V262" s="7">
        <f>IF($X262="","",IF(INDEX('Per Invoice'!V$2:V$401,$X262)="","",INDEX('Per Invoice'!V$2:V$401,$X262)))</f>
        <v/>
      </c>
      <c r="W262" s="7">
        <f>IF($X262="","",IF(INDEX('Per Invoice'!W$2:W$401,$X262)="","",INDEX('Per Invoice'!W$2:W$401,$X262)))</f>
        <v/>
      </c>
      <c r="X262" s="16">
        <f>IFERROR(MATCH(Settings!$C$33&amp;"|"&amp;ROWS($X$2:$X262),'Per Invoice'!$Y$2:$Y$401,0),"")</f>
        <v/>
      </c>
    </row>
    <row r="263">
      <c r="A263">
        <f>IF($X263="","",IF(INDEX('Per Invoice'!A$2:A$401,$X263)="","",INDEX('Per Invoice'!A$2:A$401,$X263)))</f>
        <v/>
      </c>
      <c r="B263">
        <f>IF($X263="","",IF(INDEX('Per Invoice'!B$2:B$401,$X263)="","",INDEX('Per Invoice'!B$2:B$401,$X263)))</f>
        <v/>
      </c>
      <c r="C263">
        <f>IF($X263="","",IF(INDEX('Per Invoice'!C$2:C$401,$X263)="","",INDEX('Per Invoice'!C$2:C$401,$X263)))</f>
        <v/>
      </c>
      <c r="D263">
        <f>IF($X263="","",IF(INDEX('Per Invoice'!D$2:D$401,$X263)="","",INDEX('Per Invoice'!D$2:D$401,$X263)))</f>
        <v/>
      </c>
      <c r="E263">
        <f>IF($X263="","",IF(INDEX('Per Invoice'!E$2:E$401,$X263)="","",INDEX('Per Invoice'!E$2:E$401,$X263)))</f>
        <v/>
      </c>
      <c r="F263">
        <f>IF($X263="","",IF(INDEX('Per Invoice'!F$2:F$401,$X263)="","",INDEX('Per Invoice'!F$2:F$401,$X263)))</f>
        <v/>
      </c>
      <c r="G263">
        <f>IF($X263="","",IF(INDEX('Per Invoice'!G$2:G$401,$X263)="","",INDEX('Per Invoice'!G$2:G$401,$X263)))</f>
        <v/>
      </c>
      <c r="H263">
        <f>IF($X263="","",IF(INDEX('Per Invoice'!H$2:H$401,$X263)="","",INDEX('Per Invoice'!H$2:H$401,$X263)))</f>
        <v/>
      </c>
      <c r="I263">
        <f>IF($X263="","",IF(INDEX('Per Invoice'!I$2:I$401,$X263)="","",INDEX('Per Invoice'!I$2:I$401,$X263)))</f>
        <v/>
      </c>
      <c r="J263">
        <f>IF($X263="","",IF(INDEX('Per Invoice'!J$2:J$401,$X263)="","",INDEX('Per Invoice'!J$2:J$401,$X263)))</f>
        <v/>
      </c>
      <c r="K263" s="14">
        <f>IF($X263="","",IF(INDEX('Per Invoice'!K$2:K$401,$X263)="","",INDEX('Per Invoice'!K$2:K$401,$X263)))</f>
        <v/>
      </c>
      <c r="L263">
        <f>IF($X263="","",IF(INDEX('Per Invoice'!L$2:L$401,$X263)="","",INDEX('Per Invoice'!L$2:L$401,$X263)))</f>
        <v/>
      </c>
      <c r="M263" s="7">
        <f>IF($X263="","",IF(INDEX('Per Invoice'!M$2:M$401,$X263)="","",INDEX('Per Invoice'!M$2:M$401,$X263)))</f>
        <v/>
      </c>
      <c r="N263">
        <f>IF($X263="","",IF(INDEX('Per Invoice'!N$2:N$401,$X263)="","",INDEX('Per Invoice'!N$2:N$401,$X263)))</f>
        <v/>
      </c>
      <c r="O263" s="7">
        <f>IF($X263="","",IF(INDEX('Per Invoice'!O$2:O$401,$X263)="","",INDEX('Per Invoice'!O$2:O$401,$X263)))</f>
        <v/>
      </c>
      <c r="P263" s="7">
        <f>IF($X263="","",IF(INDEX('Per Invoice'!P$2:P$401,$X263)="","",INDEX('Per Invoice'!P$2:P$401,$X263)))</f>
        <v/>
      </c>
      <c r="Q263">
        <f>IF($X263="","",IF(INDEX('Per Invoice'!Q$2:Q$401,$X263)="","",INDEX('Per Invoice'!Q$2:Q$401,$X263)))</f>
        <v/>
      </c>
      <c r="R263" s="7">
        <f>IF($X263="","",IF(INDEX('Per Invoice'!R$2:R$401,$X263)="","",INDEX('Per Invoice'!R$2:R$401,$X263)))</f>
        <v/>
      </c>
      <c r="S263" s="7">
        <f>IF($X263="","",IF(INDEX('Per Invoice'!S$2:S$401,$X263)="","",INDEX('Per Invoice'!S$2:S$401,$X263)))</f>
        <v/>
      </c>
      <c r="T263" s="7">
        <f>IF($X263="","",IF(INDEX('Per Invoice'!T$2:T$401,$X263)="","",INDEX('Per Invoice'!T$2:T$401,$X263)))</f>
        <v/>
      </c>
      <c r="U263" s="7">
        <f>IF($X263="","",IF(INDEX('Per Invoice'!U$2:U$401,$X263)="","",INDEX('Per Invoice'!U$2:U$401,$X263)))</f>
        <v/>
      </c>
      <c r="V263" s="7">
        <f>IF($X263="","",IF(INDEX('Per Invoice'!V$2:V$401,$X263)="","",INDEX('Per Invoice'!V$2:V$401,$X263)))</f>
        <v/>
      </c>
      <c r="W263" s="7">
        <f>IF($X263="","",IF(INDEX('Per Invoice'!W$2:W$401,$X263)="","",INDEX('Per Invoice'!W$2:W$401,$X263)))</f>
        <v/>
      </c>
      <c r="X263" s="16">
        <f>IFERROR(MATCH(Settings!$C$33&amp;"|"&amp;ROWS($X$2:$X263),'Per Invoice'!$Y$2:$Y$401,0),"")</f>
        <v/>
      </c>
    </row>
    <row r="264">
      <c r="A264">
        <f>IF($X264="","",IF(INDEX('Per Invoice'!A$2:A$401,$X264)="","",INDEX('Per Invoice'!A$2:A$401,$X264)))</f>
        <v/>
      </c>
      <c r="B264">
        <f>IF($X264="","",IF(INDEX('Per Invoice'!B$2:B$401,$X264)="","",INDEX('Per Invoice'!B$2:B$401,$X264)))</f>
        <v/>
      </c>
      <c r="C264">
        <f>IF($X264="","",IF(INDEX('Per Invoice'!C$2:C$401,$X264)="","",INDEX('Per Invoice'!C$2:C$401,$X264)))</f>
        <v/>
      </c>
      <c r="D264">
        <f>IF($X264="","",IF(INDEX('Per Invoice'!D$2:D$401,$X264)="","",INDEX('Per Invoice'!D$2:D$401,$X264)))</f>
        <v/>
      </c>
      <c r="E264">
        <f>IF($X264="","",IF(INDEX('Per Invoice'!E$2:E$401,$X264)="","",INDEX('Per Invoice'!E$2:E$401,$X264)))</f>
        <v/>
      </c>
      <c r="F264">
        <f>IF($X264="","",IF(INDEX('Per Invoice'!F$2:F$401,$X264)="","",INDEX('Per Invoice'!F$2:F$401,$X264)))</f>
        <v/>
      </c>
      <c r="G264">
        <f>IF($X264="","",IF(INDEX('Per Invoice'!G$2:G$401,$X264)="","",INDEX('Per Invoice'!G$2:G$401,$X264)))</f>
        <v/>
      </c>
      <c r="H264">
        <f>IF($X264="","",IF(INDEX('Per Invoice'!H$2:H$401,$X264)="","",INDEX('Per Invoice'!H$2:H$401,$X264)))</f>
        <v/>
      </c>
      <c r="I264">
        <f>IF($X264="","",IF(INDEX('Per Invoice'!I$2:I$401,$X264)="","",INDEX('Per Invoice'!I$2:I$401,$X264)))</f>
        <v/>
      </c>
      <c r="J264">
        <f>IF($X264="","",IF(INDEX('Per Invoice'!J$2:J$401,$X264)="","",INDEX('Per Invoice'!J$2:J$401,$X264)))</f>
        <v/>
      </c>
      <c r="K264" s="14">
        <f>IF($X264="","",IF(INDEX('Per Invoice'!K$2:K$401,$X264)="","",INDEX('Per Invoice'!K$2:K$401,$X264)))</f>
        <v/>
      </c>
      <c r="L264">
        <f>IF($X264="","",IF(INDEX('Per Invoice'!L$2:L$401,$X264)="","",INDEX('Per Invoice'!L$2:L$401,$X264)))</f>
        <v/>
      </c>
      <c r="M264" s="7">
        <f>IF($X264="","",IF(INDEX('Per Invoice'!M$2:M$401,$X264)="","",INDEX('Per Invoice'!M$2:M$401,$X264)))</f>
        <v/>
      </c>
      <c r="N264">
        <f>IF($X264="","",IF(INDEX('Per Invoice'!N$2:N$401,$X264)="","",INDEX('Per Invoice'!N$2:N$401,$X264)))</f>
        <v/>
      </c>
      <c r="O264" s="7">
        <f>IF($X264="","",IF(INDEX('Per Invoice'!O$2:O$401,$X264)="","",INDEX('Per Invoice'!O$2:O$401,$X264)))</f>
        <v/>
      </c>
      <c r="P264" s="7">
        <f>IF($X264="","",IF(INDEX('Per Invoice'!P$2:P$401,$X264)="","",INDEX('Per Invoice'!P$2:P$401,$X264)))</f>
        <v/>
      </c>
      <c r="Q264">
        <f>IF($X264="","",IF(INDEX('Per Invoice'!Q$2:Q$401,$X264)="","",INDEX('Per Invoice'!Q$2:Q$401,$X264)))</f>
        <v/>
      </c>
      <c r="R264" s="7">
        <f>IF($X264="","",IF(INDEX('Per Invoice'!R$2:R$401,$X264)="","",INDEX('Per Invoice'!R$2:R$401,$X264)))</f>
        <v/>
      </c>
      <c r="S264" s="7">
        <f>IF($X264="","",IF(INDEX('Per Invoice'!S$2:S$401,$X264)="","",INDEX('Per Invoice'!S$2:S$401,$X264)))</f>
        <v/>
      </c>
      <c r="T264" s="7">
        <f>IF($X264="","",IF(INDEX('Per Invoice'!T$2:T$401,$X264)="","",INDEX('Per Invoice'!T$2:T$401,$X264)))</f>
        <v/>
      </c>
      <c r="U264" s="7">
        <f>IF($X264="","",IF(INDEX('Per Invoice'!U$2:U$401,$X264)="","",INDEX('Per Invoice'!U$2:U$401,$X264)))</f>
        <v/>
      </c>
      <c r="V264" s="7">
        <f>IF($X264="","",IF(INDEX('Per Invoice'!V$2:V$401,$X264)="","",INDEX('Per Invoice'!V$2:V$401,$X264)))</f>
        <v/>
      </c>
      <c r="W264" s="7">
        <f>IF($X264="","",IF(INDEX('Per Invoice'!W$2:W$401,$X264)="","",INDEX('Per Invoice'!W$2:W$401,$X264)))</f>
        <v/>
      </c>
      <c r="X264" s="16">
        <f>IFERROR(MATCH(Settings!$C$33&amp;"|"&amp;ROWS($X$2:$X264),'Per Invoice'!$Y$2:$Y$401,0),"")</f>
        <v/>
      </c>
    </row>
    <row r="265">
      <c r="A265">
        <f>IF($X265="","",IF(INDEX('Per Invoice'!A$2:A$401,$X265)="","",INDEX('Per Invoice'!A$2:A$401,$X265)))</f>
        <v/>
      </c>
      <c r="B265">
        <f>IF($X265="","",IF(INDEX('Per Invoice'!B$2:B$401,$X265)="","",INDEX('Per Invoice'!B$2:B$401,$X265)))</f>
        <v/>
      </c>
      <c r="C265">
        <f>IF($X265="","",IF(INDEX('Per Invoice'!C$2:C$401,$X265)="","",INDEX('Per Invoice'!C$2:C$401,$X265)))</f>
        <v/>
      </c>
      <c r="D265">
        <f>IF($X265="","",IF(INDEX('Per Invoice'!D$2:D$401,$X265)="","",INDEX('Per Invoice'!D$2:D$401,$X265)))</f>
        <v/>
      </c>
      <c r="E265">
        <f>IF($X265="","",IF(INDEX('Per Invoice'!E$2:E$401,$X265)="","",INDEX('Per Invoice'!E$2:E$401,$X265)))</f>
        <v/>
      </c>
      <c r="F265">
        <f>IF($X265="","",IF(INDEX('Per Invoice'!F$2:F$401,$X265)="","",INDEX('Per Invoice'!F$2:F$401,$X265)))</f>
        <v/>
      </c>
      <c r="G265">
        <f>IF($X265="","",IF(INDEX('Per Invoice'!G$2:G$401,$X265)="","",INDEX('Per Invoice'!G$2:G$401,$X265)))</f>
        <v/>
      </c>
      <c r="H265">
        <f>IF($X265="","",IF(INDEX('Per Invoice'!H$2:H$401,$X265)="","",INDEX('Per Invoice'!H$2:H$401,$X265)))</f>
        <v/>
      </c>
      <c r="I265">
        <f>IF($X265="","",IF(INDEX('Per Invoice'!I$2:I$401,$X265)="","",INDEX('Per Invoice'!I$2:I$401,$X265)))</f>
        <v/>
      </c>
      <c r="J265">
        <f>IF($X265="","",IF(INDEX('Per Invoice'!J$2:J$401,$X265)="","",INDEX('Per Invoice'!J$2:J$401,$X265)))</f>
        <v/>
      </c>
      <c r="K265" s="14">
        <f>IF($X265="","",IF(INDEX('Per Invoice'!K$2:K$401,$X265)="","",INDEX('Per Invoice'!K$2:K$401,$X265)))</f>
        <v/>
      </c>
      <c r="L265">
        <f>IF($X265="","",IF(INDEX('Per Invoice'!L$2:L$401,$X265)="","",INDEX('Per Invoice'!L$2:L$401,$X265)))</f>
        <v/>
      </c>
      <c r="M265" s="7">
        <f>IF($X265="","",IF(INDEX('Per Invoice'!M$2:M$401,$X265)="","",INDEX('Per Invoice'!M$2:M$401,$X265)))</f>
        <v/>
      </c>
      <c r="N265">
        <f>IF($X265="","",IF(INDEX('Per Invoice'!N$2:N$401,$X265)="","",INDEX('Per Invoice'!N$2:N$401,$X265)))</f>
        <v/>
      </c>
      <c r="O265" s="7">
        <f>IF($X265="","",IF(INDEX('Per Invoice'!O$2:O$401,$X265)="","",INDEX('Per Invoice'!O$2:O$401,$X265)))</f>
        <v/>
      </c>
      <c r="P265" s="7">
        <f>IF($X265="","",IF(INDEX('Per Invoice'!P$2:P$401,$X265)="","",INDEX('Per Invoice'!P$2:P$401,$X265)))</f>
        <v/>
      </c>
      <c r="Q265">
        <f>IF($X265="","",IF(INDEX('Per Invoice'!Q$2:Q$401,$X265)="","",INDEX('Per Invoice'!Q$2:Q$401,$X265)))</f>
        <v/>
      </c>
      <c r="R265" s="7">
        <f>IF($X265="","",IF(INDEX('Per Invoice'!R$2:R$401,$X265)="","",INDEX('Per Invoice'!R$2:R$401,$X265)))</f>
        <v/>
      </c>
      <c r="S265" s="7">
        <f>IF($X265="","",IF(INDEX('Per Invoice'!S$2:S$401,$X265)="","",INDEX('Per Invoice'!S$2:S$401,$X265)))</f>
        <v/>
      </c>
      <c r="T265" s="7">
        <f>IF($X265="","",IF(INDEX('Per Invoice'!T$2:T$401,$X265)="","",INDEX('Per Invoice'!T$2:T$401,$X265)))</f>
        <v/>
      </c>
      <c r="U265" s="7">
        <f>IF($X265="","",IF(INDEX('Per Invoice'!U$2:U$401,$X265)="","",INDEX('Per Invoice'!U$2:U$401,$X265)))</f>
        <v/>
      </c>
      <c r="V265" s="7">
        <f>IF($X265="","",IF(INDEX('Per Invoice'!V$2:V$401,$X265)="","",INDEX('Per Invoice'!V$2:V$401,$X265)))</f>
        <v/>
      </c>
      <c r="W265" s="7">
        <f>IF($X265="","",IF(INDEX('Per Invoice'!W$2:W$401,$X265)="","",INDEX('Per Invoice'!W$2:W$401,$X265)))</f>
        <v/>
      </c>
      <c r="X265" s="16">
        <f>IFERROR(MATCH(Settings!$C$33&amp;"|"&amp;ROWS($X$2:$X265),'Per Invoice'!$Y$2:$Y$401,0),"")</f>
        <v/>
      </c>
    </row>
    <row r="266">
      <c r="A266">
        <f>IF($X266="","",IF(INDEX('Per Invoice'!A$2:A$401,$X266)="","",INDEX('Per Invoice'!A$2:A$401,$X266)))</f>
        <v/>
      </c>
      <c r="B266">
        <f>IF($X266="","",IF(INDEX('Per Invoice'!B$2:B$401,$X266)="","",INDEX('Per Invoice'!B$2:B$401,$X266)))</f>
        <v/>
      </c>
      <c r="C266">
        <f>IF($X266="","",IF(INDEX('Per Invoice'!C$2:C$401,$X266)="","",INDEX('Per Invoice'!C$2:C$401,$X266)))</f>
        <v/>
      </c>
      <c r="D266">
        <f>IF($X266="","",IF(INDEX('Per Invoice'!D$2:D$401,$X266)="","",INDEX('Per Invoice'!D$2:D$401,$X266)))</f>
        <v/>
      </c>
      <c r="E266">
        <f>IF($X266="","",IF(INDEX('Per Invoice'!E$2:E$401,$X266)="","",INDEX('Per Invoice'!E$2:E$401,$X266)))</f>
        <v/>
      </c>
      <c r="F266">
        <f>IF($X266="","",IF(INDEX('Per Invoice'!F$2:F$401,$X266)="","",INDEX('Per Invoice'!F$2:F$401,$X266)))</f>
        <v/>
      </c>
      <c r="G266">
        <f>IF($X266="","",IF(INDEX('Per Invoice'!G$2:G$401,$X266)="","",INDEX('Per Invoice'!G$2:G$401,$X266)))</f>
        <v/>
      </c>
      <c r="H266">
        <f>IF($X266="","",IF(INDEX('Per Invoice'!H$2:H$401,$X266)="","",INDEX('Per Invoice'!H$2:H$401,$X266)))</f>
        <v/>
      </c>
      <c r="I266">
        <f>IF($X266="","",IF(INDEX('Per Invoice'!I$2:I$401,$X266)="","",INDEX('Per Invoice'!I$2:I$401,$X266)))</f>
        <v/>
      </c>
      <c r="J266">
        <f>IF($X266="","",IF(INDEX('Per Invoice'!J$2:J$401,$X266)="","",INDEX('Per Invoice'!J$2:J$401,$X266)))</f>
        <v/>
      </c>
      <c r="K266" s="14">
        <f>IF($X266="","",IF(INDEX('Per Invoice'!K$2:K$401,$X266)="","",INDEX('Per Invoice'!K$2:K$401,$X266)))</f>
        <v/>
      </c>
      <c r="L266">
        <f>IF($X266="","",IF(INDEX('Per Invoice'!L$2:L$401,$X266)="","",INDEX('Per Invoice'!L$2:L$401,$X266)))</f>
        <v/>
      </c>
      <c r="M266" s="7">
        <f>IF($X266="","",IF(INDEX('Per Invoice'!M$2:M$401,$X266)="","",INDEX('Per Invoice'!M$2:M$401,$X266)))</f>
        <v/>
      </c>
      <c r="N266">
        <f>IF($X266="","",IF(INDEX('Per Invoice'!N$2:N$401,$X266)="","",INDEX('Per Invoice'!N$2:N$401,$X266)))</f>
        <v/>
      </c>
      <c r="O266" s="7">
        <f>IF($X266="","",IF(INDEX('Per Invoice'!O$2:O$401,$X266)="","",INDEX('Per Invoice'!O$2:O$401,$X266)))</f>
        <v/>
      </c>
      <c r="P266" s="7">
        <f>IF($X266="","",IF(INDEX('Per Invoice'!P$2:P$401,$X266)="","",INDEX('Per Invoice'!P$2:P$401,$X266)))</f>
        <v/>
      </c>
      <c r="Q266">
        <f>IF($X266="","",IF(INDEX('Per Invoice'!Q$2:Q$401,$X266)="","",INDEX('Per Invoice'!Q$2:Q$401,$X266)))</f>
        <v/>
      </c>
      <c r="R266" s="7">
        <f>IF($X266="","",IF(INDEX('Per Invoice'!R$2:R$401,$X266)="","",INDEX('Per Invoice'!R$2:R$401,$X266)))</f>
        <v/>
      </c>
      <c r="S266" s="7">
        <f>IF($X266="","",IF(INDEX('Per Invoice'!S$2:S$401,$X266)="","",INDEX('Per Invoice'!S$2:S$401,$X266)))</f>
        <v/>
      </c>
      <c r="T266" s="7">
        <f>IF($X266="","",IF(INDEX('Per Invoice'!T$2:T$401,$X266)="","",INDEX('Per Invoice'!T$2:T$401,$X266)))</f>
        <v/>
      </c>
      <c r="U266" s="7">
        <f>IF($X266="","",IF(INDEX('Per Invoice'!U$2:U$401,$X266)="","",INDEX('Per Invoice'!U$2:U$401,$X266)))</f>
        <v/>
      </c>
      <c r="V266" s="7">
        <f>IF($X266="","",IF(INDEX('Per Invoice'!V$2:V$401,$X266)="","",INDEX('Per Invoice'!V$2:V$401,$X266)))</f>
        <v/>
      </c>
      <c r="W266" s="7">
        <f>IF($X266="","",IF(INDEX('Per Invoice'!W$2:W$401,$X266)="","",INDEX('Per Invoice'!W$2:W$401,$X266)))</f>
        <v/>
      </c>
      <c r="X266" s="16">
        <f>IFERROR(MATCH(Settings!$C$33&amp;"|"&amp;ROWS($X$2:$X266),'Per Invoice'!$Y$2:$Y$401,0),"")</f>
        <v/>
      </c>
    </row>
    <row r="267">
      <c r="A267">
        <f>IF($X267="","",IF(INDEX('Per Invoice'!A$2:A$401,$X267)="","",INDEX('Per Invoice'!A$2:A$401,$X267)))</f>
        <v/>
      </c>
      <c r="B267">
        <f>IF($X267="","",IF(INDEX('Per Invoice'!B$2:B$401,$X267)="","",INDEX('Per Invoice'!B$2:B$401,$X267)))</f>
        <v/>
      </c>
      <c r="C267">
        <f>IF($X267="","",IF(INDEX('Per Invoice'!C$2:C$401,$X267)="","",INDEX('Per Invoice'!C$2:C$401,$X267)))</f>
        <v/>
      </c>
      <c r="D267">
        <f>IF($X267="","",IF(INDEX('Per Invoice'!D$2:D$401,$X267)="","",INDEX('Per Invoice'!D$2:D$401,$X267)))</f>
        <v/>
      </c>
      <c r="E267">
        <f>IF($X267="","",IF(INDEX('Per Invoice'!E$2:E$401,$X267)="","",INDEX('Per Invoice'!E$2:E$401,$X267)))</f>
        <v/>
      </c>
      <c r="F267">
        <f>IF($X267="","",IF(INDEX('Per Invoice'!F$2:F$401,$X267)="","",INDEX('Per Invoice'!F$2:F$401,$X267)))</f>
        <v/>
      </c>
      <c r="G267">
        <f>IF($X267="","",IF(INDEX('Per Invoice'!G$2:G$401,$X267)="","",INDEX('Per Invoice'!G$2:G$401,$X267)))</f>
        <v/>
      </c>
      <c r="H267">
        <f>IF($X267="","",IF(INDEX('Per Invoice'!H$2:H$401,$X267)="","",INDEX('Per Invoice'!H$2:H$401,$X267)))</f>
        <v/>
      </c>
      <c r="I267">
        <f>IF($X267="","",IF(INDEX('Per Invoice'!I$2:I$401,$X267)="","",INDEX('Per Invoice'!I$2:I$401,$X267)))</f>
        <v/>
      </c>
      <c r="J267">
        <f>IF($X267="","",IF(INDEX('Per Invoice'!J$2:J$401,$X267)="","",INDEX('Per Invoice'!J$2:J$401,$X267)))</f>
        <v/>
      </c>
      <c r="K267" s="14">
        <f>IF($X267="","",IF(INDEX('Per Invoice'!K$2:K$401,$X267)="","",INDEX('Per Invoice'!K$2:K$401,$X267)))</f>
        <v/>
      </c>
      <c r="L267">
        <f>IF($X267="","",IF(INDEX('Per Invoice'!L$2:L$401,$X267)="","",INDEX('Per Invoice'!L$2:L$401,$X267)))</f>
        <v/>
      </c>
      <c r="M267" s="7">
        <f>IF($X267="","",IF(INDEX('Per Invoice'!M$2:M$401,$X267)="","",INDEX('Per Invoice'!M$2:M$401,$X267)))</f>
        <v/>
      </c>
      <c r="N267">
        <f>IF($X267="","",IF(INDEX('Per Invoice'!N$2:N$401,$X267)="","",INDEX('Per Invoice'!N$2:N$401,$X267)))</f>
        <v/>
      </c>
      <c r="O267" s="7">
        <f>IF($X267="","",IF(INDEX('Per Invoice'!O$2:O$401,$X267)="","",INDEX('Per Invoice'!O$2:O$401,$X267)))</f>
        <v/>
      </c>
      <c r="P267" s="7">
        <f>IF($X267="","",IF(INDEX('Per Invoice'!P$2:P$401,$X267)="","",INDEX('Per Invoice'!P$2:P$401,$X267)))</f>
        <v/>
      </c>
      <c r="Q267">
        <f>IF($X267="","",IF(INDEX('Per Invoice'!Q$2:Q$401,$X267)="","",INDEX('Per Invoice'!Q$2:Q$401,$X267)))</f>
        <v/>
      </c>
      <c r="R267" s="7">
        <f>IF($X267="","",IF(INDEX('Per Invoice'!R$2:R$401,$X267)="","",INDEX('Per Invoice'!R$2:R$401,$X267)))</f>
        <v/>
      </c>
      <c r="S267" s="7">
        <f>IF($X267="","",IF(INDEX('Per Invoice'!S$2:S$401,$X267)="","",INDEX('Per Invoice'!S$2:S$401,$X267)))</f>
        <v/>
      </c>
      <c r="T267" s="7">
        <f>IF($X267="","",IF(INDEX('Per Invoice'!T$2:T$401,$X267)="","",INDEX('Per Invoice'!T$2:T$401,$X267)))</f>
        <v/>
      </c>
      <c r="U267" s="7">
        <f>IF($X267="","",IF(INDEX('Per Invoice'!U$2:U$401,$X267)="","",INDEX('Per Invoice'!U$2:U$401,$X267)))</f>
        <v/>
      </c>
      <c r="V267" s="7">
        <f>IF($X267="","",IF(INDEX('Per Invoice'!V$2:V$401,$X267)="","",INDEX('Per Invoice'!V$2:V$401,$X267)))</f>
        <v/>
      </c>
      <c r="W267" s="7">
        <f>IF($X267="","",IF(INDEX('Per Invoice'!W$2:W$401,$X267)="","",INDEX('Per Invoice'!W$2:W$401,$X267)))</f>
        <v/>
      </c>
      <c r="X267" s="16">
        <f>IFERROR(MATCH(Settings!$C$33&amp;"|"&amp;ROWS($X$2:$X267),'Per Invoice'!$Y$2:$Y$401,0),"")</f>
        <v/>
      </c>
    </row>
    <row r="268">
      <c r="A268">
        <f>IF($X268="","",IF(INDEX('Per Invoice'!A$2:A$401,$X268)="","",INDEX('Per Invoice'!A$2:A$401,$X268)))</f>
        <v/>
      </c>
      <c r="B268">
        <f>IF($X268="","",IF(INDEX('Per Invoice'!B$2:B$401,$X268)="","",INDEX('Per Invoice'!B$2:B$401,$X268)))</f>
        <v/>
      </c>
      <c r="C268">
        <f>IF($X268="","",IF(INDEX('Per Invoice'!C$2:C$401,$X268)="","",INDEX('Per Invoice'!C$2:C$401,$X268)))</f>
        <v/>
      </c>
      <c r="D268">
        <f>IF($X268="","",IF(INDEX('Per Invoice'!D$2:D$401,$X268)="","",INDEX('Per Invoice'!D$2:D$401,$X268)))</f>
        <v/>
      </c>
      <c r="E268">
        <f>IF($X268="","",IF(INDEX('Per Invoice'!E$2:E$401,$X268)="","",INDEX('Per Invoice'!E$2:E$401,$X268)))</f>
        <v/>
      </c>
      <c r="F268">
        <f>IF($X268="","",IF(INDEX('Per Invoice'!F$2:F$401,$X268)="","",INDEX('Per Invoice'!F$2:F$401,$X268)))</f>
        <v/>
      </c>
      <c r="G268">
        <f>IF($X268="","",IF(INDEX('Per Invoice'!G$2:G$401,$X268)="","",INDEX('Per Invoice'!G$2:G$401,$X268)))</f>
        <v/>
      </c>
      <c r="H268">
        <f>IF($X268="","",IF(INDEX('Per Invoice'!H$2:H$401,$X268)="","",INDEX('Per Invoice'!H$2:H$401,$X268)))</f>
        <v/>
      </c>
      <c r="I268">
        <f>IF($X268="","",IF(INDEX('Per Invoice'!I$2:I$401,$X268)="","",INDEX('Per Invoice'!I$2:I$401,$X268)))</f>
        <v/>
      </c>
      <c r="J268">
        <f>IF($X268="","",IF(INDEX('Per Invoice'!J$2:J$401,$X268)="","",INDEX('Per Invoice'!J$2:J$401,$X268)))</f>
        <v/>
      </c>
      <c r="K268" s="14">
        <f>IF($X268="","",IF(INDEX('Per Invoice'!K$2:K$401,$X268)="","",INDEX('Per Invoice'!K$2:K$401,$X268)))</f>
        <v/>
      </c>
      <c r="L268">
        <f>IF($X268="","",IF(INDEX('Per Invoice'!L$2:L$401,$X268)="","",INDEX('Per Invoice'!L$2:L$401,$X268)))</f>
        <v/>
      </c>
      <c r="M268" s="7">
        <f>IF($X268="","",IF(INDEX('Per Invoice'!M$2:M$401,$X268)="","",INDEX('Per Invoice'!M$2:M$401,$X268)))</f>
        <v/>
      </c>
      <c r="N268">
        <f>IF($X268="","",IF(INDEX('Per Invoice'!N$2:N$401,$X268)="","",INDEX('Per Invoice'!N$2:N$401,$X268)))</f>
        <v/>
      </c>
      <c r="O268" s="7">
        <f>IF($X268="","",IF(INDEX('Per Invoice'!O$2:O$401,$X268)="","",INDEX('Per Invoice'!O$2:O$401,$X268)))</f>
        <v/>
      </c>
      <c r="P268" s="7">
        <f>IF($X268="","",IF(INDEX('Per Invoice'!P$2:P$401,$X268)="","",INDEX('Per Invoice'!P$2:P$401,$X268)))</f>
        <v/>
      </c>
      <c r="Q268">
        <f>IF($X268="","",IF(INDEX('Per Invoice'!Q$2:Q$401,$X268)="","",INDEX('Per Invoice'!Q$2:Q$401,$X268)))</f>
        <v/>
      </c>
      <c r="R268" s="7">
        <f>IF($X268="","",IF(INDEX('Per Invoice'!R$2:R$401,$X268)="","",INDEX('Per Invoice'!R$2:R$401,$X268)))</f>
        <v/>
      </c>
      <c r="S268" s="7">
        <f>IF($X268="","",IF(INDEX('Per Invoice'!S$2:S$401,$X268)="","",INDEX('Per Invoice'!S$2:S$401,$X268)))</f>
        <v/>
      </c>
      <c r="T268" s="7">
        <f>IF($X268="","",IF(INDEX('Per Invoice'!T$2:T$401,$X268)="","",INDEX('Per Invoice'!T$2:T$401,$X268)))</f>
        <v/>
      </c>
      <c r="U268" s="7">
        <f>IF($X268="","",IF(INDEX('Per Invoice'!U$2:U$401,$X268)="","",INDEX('Per Invoice'!U$2:U$401,$X268)))</f>
        <v/>
      </c>
      <c r="V268" s="7">
        <f>IF($X268="","",IF(INDEX('Per Invoice'!V$2:V$401,$X268)="","",INDEX('Per Invoice'!V$2:V$401,$X268)))</f>
        <v/>
      </c>
      <c r="W268" s="7">
        <f>IF($X268="","",IF(INDEX('Per Invoice'!W$2:W$401,$X268)="","",INDEX('Per Invoice'!W$2:W$401,$X268)))</f>
        <v/>
      </c>
      <c r="X268" s="16">
        <f>IFERROR(MATCH(Settings!$C$33&amp;"|"&amp;ROWS($X$2:$X268),'Per Invoice'!$Y$2:$Y$401,0),"")</f>
        <v/>
      </c>
    </row>
    <row r="269">
      <c r="A269">
        <f>IF($X269="","",IF(INDEX('Per Invoice'!A$2:A$401,$X269)="","",INDEX('Per Invoice'!A$2:A$401,$X269)))</f>
        <v/>
      </c>
      <c r="B269">
        <f>IF($X269="","",IF(INDEX('Per Invoice'!B$2:B$401,$X269)="","",INDEX('Per Invoice'!B$2:B$401,$X269)))</f>
        <v/>
      </c>
      <c r="C269">
        <f>IF($X269="","",IF(INDEX('Per Invoice'!C$2:C$401,$X269)="","",INDEX('Per Invoice'!C$2:C$401,$X269)))</f>
        <v/>
      </c>
      <c r="D269">
        <f>IF($X269="","",IF(INDEX('Per Invoice'!D$2:D$401,$X269)="","",INDEX('Per Invoice'!D$2:D$401,$X269)))</f>
        <v/>
      </c>
      <c r="E269">
        <f>IF($X269="","",IF(INDEX('Per Invoice'!E$2:E$401,$X269)="","",INDEX('Per Invoice'!E$2:E$401,$X269)))</f>
        <v/>
      </c>
      <c r="F269">
        <f>IF($X269="","",IF(INDEX('Per Invoice'!F$2:F$401,$X269)="","",INDEX('Per Invoice'!F$2:F$401,$X269)))</f>
        <v/>
      </c>
      <c r="G269">
        <f>IF($X269="","",IF(INDEX('Per Invoice'!G$2:G$401,$X269)="","",INDEX('Per Invoice'!G$2:G$401,$X269)))</f>
        <v/>
      </c>
      <c r="H269">
        <f>IF($X269="","",IF(INDEX('Per Invoice'!H$2:H$401,$X269)="","",INDEX('Per Invoice'!H$2:H$401,$X269)))</f>
        <v/>
      </c>
      <c r="I269">
        <f>IF($X269="","",IF(INDEX('Per Invoice'!I$2:I$401,$X269)="","",INDEX('Per Invoice'!I$2:I$401,$X269)))</f>
        <v/>
      </c>
      <c r="J269">
        <f>IF($X269="","",IF(INDEX('Per Invoice'!J$2:J$401,$X269)="","",INDEX('Per Invoice'!J$2:J$401,$X269)))</f>
        <v/>
      </c>
      <c r="K269" s="14">
        <f>IF($X269="","",IF(INDEX('Per Invoice'!K$2:K$401,$X269)="","",INDEX('Per Invoice'!K$2:K$401,$X269)))</f>
        <v/>
      </c>
      <c r="L269">
        <f>IF($X269="","",IF(INDEX('Per Invoice'!L$2:L$401,$X269)="","",INDEX('Per Invoice'!L$2:L$401,$X269)))</f>
        <v/>
      </c>
      <c r="M269" s="7">
        <f>IF($X269="","",IF(INDEX('Per Invoice'!M$2:M$401,$X269)="","",INDEX('Per Invoice'!M$2:M$401,$X269)))</f>
        <v/>
      </c>
      <c r="N269">
        <f>IF($X269="","",IF(INDEX('Per Invoice'!N$2:N$401,$X269)="","",INDEX('Per Invoice'!N$2:N$401,$X269)))</f>
        <v/>
      </c>
      <c r="O269" s="7">
        <f>IF($X269="","",IF(INDEX('Per Invoice'!O$2:O$401,$X269)="","",INDEX('Per Invoice'!O$2:O$401,$X269)))</f>
        <v/>
      </c>
      <c r="P269" s="7">
        <f>IF($X269="","",IF(INDEX('Per Invoice'!P$2:P$401,$X269)="","",INDEX('Per Invoice'!P$2:P$401,$X269)))</f>
        <v/>
      </c>
      <c r="Q269">
        <f>IF($X269="","",IF(INDEX('Per Invoice'!Q$2:Q$401,$X269)="","",INDEX('Per Invoice'!Q$2:Q$401,$X269)))</f>
        <v/>
      </c>
      <c r="R269" s="7">
        <f>IF($X269="","",IF(INDEX('Per Invoice'!R$2:R$401,$X269)="","",INDEX('Per Invoice'!R$2:R$401,$X269)))</f>
        <v/>
      </c>
      <c r="S269" s="7">
        <f>IF($X269="","",IF(INDEX('Per Invoice'!S$2:S$401,$X269)="","",INDEX('Per Invoice'!S$2:S$401,$X269)))</f>
        <v/>
      </c>
      <c r="T269" s="7">
        <f>IF($X269="","",IF(INDEX('Per Invoice'!T$2:T$401,$X269)="","",INDEX('Per Invoice'!T$2:T$401,$X269)))</f>
        <v/>
      </c>
      <c r="U269" s="7">
        <f>IF($X269="","",IF(INDEX('Per Invoice'!U$2:U$401,$X269)="","",INDEX('Per Invoice'!U$2:U$401,$X269)))</f>
        <v/>
      </c>
      <c r="V269" s="7">
        <f>IF($X269="","",IF(INDEX('Per Invoice'!V$2:V$401,$X269)="","",INDEX('Per Invoice'!V$2:V$401,$X269)))</f>
        <v/>
      </c>
      <c r="W269" s="7">
        <f>IF($X269="","",IF(INDEX('Per Invoice'!W$2:W$401,$X269)="","",INDEX('Per Invoice'!W$2:W$401,$X269)))</f>
        <v/>
      </c>
      <c r="X269" s="16">
        <f>IFERROR(MATCH(Settings!$C$33&amp;"|"&amp;ROWS($X$2:$X269),'Per Invoice'!$Y$2:$Y$401,0),"")</f>
        <v/>
      </c>
    </row>
    <row r="270">
      <c r="A270">
        <f>IF($X270="","",IF(INDEX('Per Invoice'!A$2:A$401,$X270)="","",INDEX('Per Invoice'!A$2:A$401,$X270)))</f>
        <v/>
      </c>
      <c r="B270">
        <f>IF($X270="","",IF(INDEX('Per Invoice'!B$2:B$401,$X270)="","",INDEX('Per Invoice'!B$2:B$401,$X270)))</f>
        <v/>
      </c>
      <c r="C270">
        <f>IF($X270="","",IF(INDEX('Per Invoice'!C$2:C$401,$X270)="","",INDEX('Per Invoice'!C$2:C$401,$X270)))</f>
        <v/>
      </c>
      <c r="D270">
        <f>IF($X270="","",IF(INDEX('Per Invoice'!D$2:D$401,$X270)="","",INDEX('Per Invoice'!D$2:D$401,$X270)))</f>
        <v/>
      </c>
      <c r="E270">
        <f>IF($X270="","",IF(INDEX('Per Invoice'!E$2:E$401,$X270)="","",INDEX('Per Invoice'!E$2:E$401,$X270)))</f>
        <v/>
      </c>
      <c r="F270">
        <f>IF($X270="","",IF(INDEX('Per Invoice'!F$2:F$401,$X270)="","",INDEX('Per Invoice'!F$2:F$401,$X270)))</f>
        <v/>
      </c>
      <c r="G270">
        <f>IF($X270="","",IF(INDEX('Per Invoice'!G$2:G$401,$X270)="","",INDEX('Per Invoice'!G$2:G$401,$X270)))</f>
        <v/>
      </c>
      <c r="H270">
        <f>IF($X270="","",IF(INDEX('Per Invoice'!H$2:H$401,$X270)="","",INDEX('Per Invoice'!H$2:H$401,$X270)))</f>
        <v/>
      </c>
      <c r="I270">
        <f>IF($X270="","",IF(INDEX('Per Invoice'!I$2:I$401,$X270)="","",INDEX('Per Invoice'!I$2:I$401,$X270)))</f>
        <v/>
      </c>
      <c r="J270">
        <f>IF($X270="","",IF(INDEX('Per Invoice'!J$2:J$401,$X270)="","",INDEX('Per Invoice'!J$2:J$401,$X270)))</f>
        <v/>
      </c>
      <c r="K270" s="14">
        <f>IF($X270="","",IF(INDEX('Per Invoice'!K$2:K$401,$X270)="","",INDEX('Per Invoice'!K$2:K$401,$X270)))</f>
        <v/>
      </c>
      <c r="L270">
        <f>IF($X270="","",IF(INDEX('Per Invoice'!L$2:L$401,$X270)="","",INDEX('Per Invoice'!L$2:L$401,$X270)))</f>
        <v/>
      </c>
      <c r="M270" s="7">
        <f>IF($X270="","",IF(INDEX('Per Invoice'!M$2:M$401,$X270)="","",INDEX('Per Invoice'!M$2:M$401,$X270)))</f>
        <v/>
      </c>
      <c r="N270">
        <f>IF($X270="","",IF(INDEX('Per Invoice'!N$2:N$401,$X270)="","",INDEX('Per Invoice'!N$2:N$401,$X270)))</f>
        <v/>
      </c>
      <c r="O270" s="7">
        <f>IF($X270="","",IF(INDEX('Per Invoice'!O$2:O$401,$X270)="","",INDEX('Per Invoice'!O$2:O$401,$X270)))</f>
        <v/>
      </c>
      <c r="P270" s="7">
        <f>IF($X270="","",IF(INDEX('Per Invoice'!P$2:P$401,$X270)="","",INDEX('Per Invoice'!P$2:P$401,$X270)))</f>
        <v/>
      </c>
      <c r="Q270">
        <f>IF($X270="","",IF(INDEX('Per Invoice'!Q$2:Q$401,$X270)="","",INDEX('Per Invoice'!Q$2:Q$401,$X270)))</f>
        <v/>
      </c>
      <c r="R270" s="7">
        <f>IF($X270="","",IF(INDEX('Per Invoice'!R$2:R$401,$X270)="","",INDEX('Per Invoice'!R$2:R$401,$X270)))</f>
        <v/>
      </c>
      <c r="S270" s="7">
        <f>IF($X270="","",IF(INDEX('Per Invoice'!S$2:S$401,$X270)="","",INDEX('Per Invoice'!S$2:S$401,$X270)))</f>
        <v/>
      </c>
      <c r="T270" s="7">
        <f>IF($X270="","",IF(INDEX('Per Invoice'!T$2:T$401,$X270)="","",INDEX('Per Invoice'!T$2:T$401,$X270)))</f>
        <v/>
      </c>
      <c r="U270" s="7">
        <f>IF($X270="","",IF(INDEX('Per Invoice'!U$2:U$401,$X270)="","",INDEX('Per Invoice'!U$2:U$401,$X270)))</f>
        <v/>
      </c>
      <c r="V270" s="7">
        <f>IF($X270="","",IF(INDEX('Per Invoice'!V$2:V$401,$X270)="","",INDEX('Per Invoice'!V$2:V$401,$X270)))</f>
        <v/>
      </c>
      <c r="W270" s="7">
        <f>IF($X270="","",IF(INDEX('Per Invoice'!W$2:W$401,$X270)="","",INDEX('Per Invoice'!W$2:W$401,$X270)))</f>
        <v/>
      </c>
      <c r="X270" s="16">
        <f>IFERROR(MATCH(Settings!$C$33&amp;"|"&amp;ROWS($X$2:$X270),'Per Invoice'!$Y$2:$Y$401,0),"")</f>
        <v/>
      </c>
    </row>
    <row r="271">
      <c r="A271">
        <f>IF($X271="","",IF(INDEX('Per Invoice'!A$2:A$401,$X271)="","",INDEX('Per Invoice'!A$2:A$401,$X271)))</f>
        <v/>
      </c>
      <c r="B271">
        <f>IF($X271="","",IF(INDEX('Per Invoice'!B$2:B$401,$X271)="","",INDEX('Per Invoice'!B$2:B$401,$X271)))</f>
        <v/>
      </c>
      <c r="C271">
        <f>IF($X271="","",IF(INDEX('Per Invoice'!C$2:C$401,$X271)="","",INDEX('Per Invoice'!C$2:C$401,$X271)))</f>
        <v/>
      </c>
      <c r="D271">
        <f>IF($X271="","",IF(INDEX('Per Invoice'!D$2:D$401,$X271)="","",INDEX('Per Invoice'!D$2:D$401,$X271)))</f>
        <v/>
      </c>
      <c r="E271">
        <f>IF($X271="","",IF(INDEX('Per Invoice'!E$2:E$401,$X271)="","",INDEX('Per Invoice'!E$2:E$401,$X271)))</f>
        <v/>
      </c>
      <c r="F271">
        <f>IF($X271="","",IF(INDEX('Per Invoice'!F$2:F$401,$X271)="","",INDEX('Per Invoice'!F$2:F$401,$X271)))</f>
        <v/>
      </c>
      <c r="G271">
        <f>IF($X271="","",IF(INDEX('Per Invoice'!G$2:G$401,$X271)="","",INDEX('Per Invoice'!G$2:G$401,$X271)))</f>
        <v/>
      </c>
      <c r="H271">
        <f>IF($X271="","",IF(INDEX('Per Invoice'!H$2:H$401,$X271)="","",INDEX('Per Invoice'!H$2:H$401,$X271)))</f>
        <v/>
      </c>
      <c r="I271">
        <f>IF($X271="","",IF(INDEX('Per Invoice'!I$2:I$401,$X271)="","",INDEX('Per Invoice'!I$2:I$401,$X271)))</f>
        <v/>
      </c>
      <c r="J271">
        <f>IF($X271="","",IF(INDEX('Per Invoice'!J$2:J$401,$X271)="","",INDEX('Per Invoice'!J$2:J$401,$X271)))</f>
        <v/>
      </c>
      <c r="K271" s="14">
        <f>IF($X271="","",IF(INDEX('Per Invoice'!K$2:K$401,$X271)="","",INDEX('Per Invoice'!K$2:K$401,$X271)))</f>
        <v/>
      </c>
      <c r="L271">
        <f>IF($X271="","",IF(INDEX('Per Invoice'!L$2:L$401,$X271)="","",INDEX('Per Invoice'!L$2:L$401,$X271)))</f>
        <v/>
      </c>
      <c r="M271" s="7">
        <f>IF($X271="","",IF(INDEX('Per Invoice'!M$2:M$401,$X271)="","",INDEX('Per Invoice'!M$2:M$401,$X271)))</f>
        <v/>
      </c>
      <c r="N271">
        <f>IF($X271="","",IF(INDEX('Per Invoice'!N$2:N$401,$X271)="","",INDEX('Per Invoice'!N$2:N$401,$X271)))</f>
        <v/>
      </c>
      <c r="O271" s="7">
        <f>IF($X271="","",IF(INDEX('Per Invoice'!O$2:O$401,$X271)="","",INDEX('Per Invoice'!O$2:O$401,$X271)))</f>
        <v/>
      </c>
      <c r="P271" s="7">
        <f>IF($X271="","",IF(INDEX('Per Invoice'!P$2:P$401,$X271)="","",INDEX('Per Invoice'!P$2:P$401,$X271)))</f>
        <v/>
      </c>
      <c r="Q271">
        <f>IF($X271="","",IF(INDEX('Per Invoice'!Q$2:Q$401,$X271)="","",INDEX('Per Invoice'!Q$2:Q$401,$X271)))</f>
        <v/>
      </c>
      <c r="R271" s="7">
        <f>IF($X271="","",IF(INDEX('Per Invoice'!R$2:R$401,$X271)="","",INDEX('Per Invoice'!R$2:R$401,$X271)))</f>
        <v/>
      </c>
      <c r="S271" s="7">
        <f>IF($X271="","",IF(INDEX('Per Invoice'!S$2:S$401,$X271)="","",INDEX('Per Invoice'!S$2:S$401,$X271)))</f>
        <v/>
      </c>
      <c r="T271" s="7">
        <f>IF($X271="","",IF(INDEX('Per Invoice'!T$2:T$401,$X271)="","",INDEX('Per Invoice'!T$2:T$401,$X271)))</f>
        <v/>
      </c>
      <c r="U271" s="7">
        <f>IF($X271="","",IF(INDEX('Per Invoice'!U$2:U$401,$X271)="","",INDEX('Per Invoice'!U$2:U$401,$X271)))</f>
        <v/>
      </c>
      <c r="V271" s="7">
        <f>IF($X271="","",IF(INDEX('Per Invoice'!V$2:V$401,$X271)="","",INDEX('Per Invoice'!V$2:V$401,$X271)))</f>
        <v/>
      </c>
      <c r="W271" s="7">
        <f>IF($X271="","",IF(INDEX('Per Invoice'!W$2:W$401,$X271)="","",INDEX('Per Invoice'!W$2:W$401,$X271)))</f>
        <v/>
      </c>
      <c r="X271" s="16">
        <f>IFERROR(MATCH(Settings!$C$33&amp;"|"&amp;ROWS($X$2:$X271),'Per Invoice'!$Y$2:$Y$401,0),"")</f>
        <v/>
      </c>
    </row>
    <row r="272">
      <c r="A272">
        <f>IF($X272="","",IF(INDEX('Per Invoice'!A$2:A$401,$X272)="","",INDEX('Per Invoice'!A$2:A$401,$X272)))</f>
        <v/>
      </c>
      <c r="B272">
        <f>IF($X272="","",IF(INDEX('Per Invoice'!B$2:B$401,$X272)="","",INDEX('Per Invoice'!B$2:B$401,$X272)))</f>
        <v/>
      </c>
      <c r="C272">
        <f>IF($X272="","",IF(INDEX('Per Invoice'!C$2:C$401,$X272)="","",INDEX('Per Invoice'!C$2:C$401,$X272)))</f>
        <v/>
      </c>
      <c r="D272">
        <f>IF($X272="","",IF(INDEX('Per Invoice'!D$2:D$401,$X272)="","",INDEX('Per Invoice'!D$2:D$401,$X272)))</f>
        <v/>
      </c>
      <c r="E272">
        <f>IF($X272="","",IF(INDEX('Per Invoice'!E$2:E$401,$X272)="","",INDEX('Per Invoice'!E$2:E$401,$X272)))</f>
        <v/>
      </c>
      <c r="F272">
        <f>IF($X272="","",IF(INDEX('Per Invoice'!F$2:F$401,$X272)="","",INDEX('Per Invoice'!F$2:F$401,$X272)))</f>
        <v/>
      </c>
      <c r="G272">
        <f>IF($X272="","",IF(INDEX('Per Invoice'!G$2:G$401,$X272)="","",INDEX('Per Invoice'!G$2:G$401,$X272)))</f>
        <v/>
      </c>
      <c r="H272">
        <f>IF($X272="","",IF(INDEX('Per Invoice'!H$2:H$401,$X272)="","",INDEX('Per Invoice'!H$2:H$401,$X272)))</f>
        <v/>
      </c>
      <c r="I272">
        <f>IF($X272="","",IF(INDEX('Per Invoice'!I$2:I$401,$X272)="","",INDEX('Per Invoice'!I$2:I$401,$X272)))</f>
        <v/>
      </c>
      <c r="J272">
        <f>IF($X272="","",IF(INDEX('Per Invoice'!J$2:J$401,$X272)="","",INDEX('Per Invoice'!J$2:J$401,$X272)))</f>
        <v/>
      </c>
      <c r="K272" s="14">
        <f>IF($X272="","",IF(INDEX('Per Invoice'!K$2:K$401,$X272)="","",INDEX('Per Invoice'!K$2:K$401,$X272)))</f>
        <v/>
      </c>
      <c r="L272">
        <f>IF($X272="","",IF(INDEX('Per Invoice'!L$2:L$401,$X272)="","",INDEX('Per Invoice'!L$2:L$401,$X272)))</f>
        <v/>
      </c>
      <c r="M272" s="7">
        <f>IF($X272="","",IF(INDEX('Per Invoice'!M$2:M$401,$X272)="","",INDEX('Per Invoice'!M$2:M$401,$X272)))</f>
        <v/>
      </c>
      <c r="N272">
        <f>IF($X272="","",IF(INDEX('Per Invoice'!N$2:N$401,$X272)="","",INDEX('Per Invoice'!N$2:N$401,$X272)))</f>
        <v/>
      </c>
      <c r="O272" s="7">
        <f>IF($X272="","",IF(INDEX('Per Invoice'!O$2:O$401,$X272)="","",INDEX('Per Invoice'!O$2:O$401,$X272)))</f>
        <v/>
      </c>
      <c r="P272" s="7">
        <f>IF($X272="","",IF(INDEX('Per Invoice'!P$2:P$401,$X272)="","",INDEX('Per Invoice'!P$2:P$401,$X272)))</f>
        <v/>
      </c>
      <c r="Q272">
        <f>IF($X272="","",IF(INDEX('Per Invoice'!Q$2:Q$401,$X272)="","",INDEX('Per Invoice'!Q$2:Q$401,$X272)))</f>
        <v/>
      </c>
      <c r="R272" s="7">
        <f>IF($X272="","",IF(INDEX('Per Invoice'!R$2:R$401,$X272)="","",INDEX('Per Invoice'!R$2:R$401,$X272)))</f>
        <v/>
      </c>
      <c r="S272" s="7">
        <f>IF($X272="","",IF(INDEX('Per Invoice'!S$2:S$401,$X272)="","",INDEX('Per Invoice'!S$2:S$401,$X272)))</f>
        <v/>
      </c>
      <c r="T272" s="7">
        <f>IF($X272="","",IF(INDEX('Per Invoice'!T$2:T$401,$X272)="","",INDEX('Per Invoice'!T$2:T$401,$X272)))</f>
        <v/>
      </c>
      <c r="U272" s="7">
        <f>IF($X272="","",IF(INDEX('Per Invoice'!U$2:U$401,$X272)="","",INDEX('Per Invoice'!U$2:U$401,$X272)))</f>
        <v/>
      </c>
      <c r="V272" s="7">
        <f>IF($X272="","",IF(INDEX('Per Invoice'!V$2:V$401,$X272)="","",INDEX('Per Invoice'!V$2:V$401,$X272)))</f>
        <v/>
      </c>
      <c r="W272" s="7">
        <f>IF($X272="","",IF(INDEX('Per Invoice'!W$2:W$401,$X272)="","",INDEX('Per Invoice'!W$2:W$401,$X272)))</f>
        <v/>
      </c>
      <c r="X272" s="16">
        <f>IFERROR(MATCH(Settings!$C$33&amp;"|"&amp;ROWS($X$2:$X272),'Per Invoice'!$Y$2:$Y$401,0),"")</f>
        <v/>
      </c>
    </row>
    <row r="273">
      <c r="A273">
        <f>IF($X273="","",IF(INDEX('Per Invoice'!A$2:A$401,$X273)="","",INDEX('Per Invoice'!A$2:A$401,$X273)))</f>
        <v/>
      </c>
      <c r="B273">
        <f>IF($X273="","",IF(INDEX('Per Invoice'!B$2:B$401,$X273)="","",INDEX('Per Invoice'!B$2:B$401,$X273)))</f>
        <v/>
      </c>
      <c r="C273">
        <f>IF($X273="","",IF(INDEX('Per Invoice'!C$2:C$401,$X273)="","",INDEX('Per Invoice'!C$2:C$401,$X273)))</f>
        <v/>
      </c>
      <c r="D273">
        <f>IF($X273="","",IF(INDEX('Per Invoice'!D$2:D$401,$X273)="","",INDEX('Per Invoice'!D$2:D$401,$X273)))</f>
        <v/>
      </c>
      <c r="E273">
        <f>IF($X273="","",IF(INDEX('Per Invoice'!E$2:E$401,$X273)="","",INDEX('Per Invoice'!E$2:E$401,$X273)))</f>
        <v/>
      </c>
      <c r="F273">
        <f>IF($X273="","",IF(INDEX('Per Invoice'!F$2:F$401,$X273)="","",INDEX('Per Invoice'!F$2:F$401,$X273)))</f>
        <v/>
      </c>
      <c r="G273">
        <f>IF($X273="","",IF(INDEX('Per Invoice'!G$2:G$401,$X273)="","",INDEX('Per Invoice'!G$2:G$401,$X273)))</f>
        <v/>
      </c>
      <c r="H273">
        <f>IF($X273="","",IF(INDEX('Per Invoice'!H$2:H$401,$X273)="","",INDEX('Per Invoice'!H$2:H$401,$X273)))</f>
        <v/>
      </c>
      <c r="I273">
        <f>IF($X273="","",IF(INDEX('Per Invoice'!I$2:I$401,$X273)="","",INDEX('Per Invoice'!I$2:I$401,$X273)))</f>
        <v/>
      </c>
      <c r="J273">
        <f>IF($X273="","",IF(INDEX('Per Invoice'!J$2:J$401,$X273)="","",INDEX('Per Invoice'!J$2:J$401,$X273)))</f>
        <v/>
      </c>
      <c r="K273" s="14">
        <f>IF($X273="","",IF(INDEX('Per Invoice'!K$2:K$401,$X273)="","",INDEX('Per Invoice'!K$2:K$401,$X273)))</f>
        <v/>
      </c>
      <c r="L273">
        <f>IF($X273="","",IF(INDEX('Per Invoice'!L$2:L$401,$X273)="","",INDEX('Per Invoice'!L$2:L$401,$X273)))</f>
        <v/>
      </c>
      <c r="M273" s="7">
        <f>IF($X273="","",IF(INDEX('Per Invoice'!M$2:M$401,$X273)="","",INDEX('Per Invoice'!M$2:M$401,$X273)))</f>
        <v/>
      </c>
      <c r="N273">
        <f>IF($X273="","",IF(INDEX('Per Invoice'!N$2:N$401,$X273)="","",INDEX('Per Invoice'!N$2:N$401,$X273)))</f>
        <v/>
      </c>
      <c r="O273" s="7">
        <f>IF($X273="","",IF(INDEX('Per Invoice'!O$2:O$401,$X273)="","",INDEX('Per Invoice'!O$2:O$401,$X273)))</f>
        <v/>
      </c>
      <c r="P273" s="7">
        <f>IF($X273="","",IF(INDEX('Per Invoice'!P$2:P$401,$X273)="","",INDEX('Per Invoice'!P$2:P$401,$X273)))</f>
        <v/>
      </c>
      <c r="Q273">
        <f>IF($X273="","",IF(INDEX('Per Invoice'!Q$2:Q$401,$X273)="","",INDEX('Per Invoice'!Q$2:Q$401,$X273)))</f>
        <v/>
      </c>
      <c r="R273" s="7">
        <f>IF($X273="","",IF(INDEX('Per Invoice'!R$2:R$401,$X273)="","",INDEX('Per Invoice'!R$2:R$401,$X273)))</f>
        <v/>
      </c>
      <c r="S273" s="7">
        <f>IF($X273="","",IF(INDEX('Per Invoice'!S$2:S$401,$X273)="","",INDEX('Per Invoice'!S$2:S$401,$X273)))</f>
        <v/>
      </c>
      <c r="T273" s="7">
        <f>IF($X273="","",IF(INDEX('Per Invoice'!T$2:T$401,$X273)="","",INDEX('Per Invoice'!T$2:T$401,$X273)))</f>
        <v/>
      </c>
      <c r="U273" s="7">
        <f>IF($X273="","",IF(INDEX('Per Invoice'!U$2:U$401,$X273)="","",INDEX('Per Invoice'!U$2:U$401,$X273)))</f>
        <v/>
      </c>
      <c r="V273" s="7">
        <f>IF($X273="","",IF(INDEX('Per Invoice'!V$2:V$401,$X273)="","",INDEX('Per Invoice'!V$2:V$401,$X273)))</f>
        <v/>
      </c>
      <c r="W273" s="7">
        <f>IF($X273="","",IF(INDEX('Per Invoice'!W$2:W$401,$X273)="","",INDEX('Per Invoice'!W$2:W$401,$X273)))</f>
        <v/>
      </c>
      <c r="X273" s="16">
        <f>IFERROR(MATCH(Settings!$C$33&amp;"|"&amp;ROWS($X$2:$X273),'Per Invoice'!$Y$2:$Y$401,0),"")</f>
        <v/>
      </c>
    </row>
    <row r="274">
      <c r="A274">
        <f>IF($X274="","",IF(INDEX('Per Invoice'!A$2:A$401,$X274)="","",INDEX('Per Invoice'!A$2:A$401,$X274)))</f>
        <v/>
      </c>
      <c r="B274">
        <f>IF($X274="","",IF(INDEX('Per Invoice'!B$2:B$401,$X274)="","",INDEX('Per Invoice'!B$2:B$401,$X274)))</f>
        <v/>
      </c>
      <c r="C274">
        <f>IF($X274="","",IF(INDEX('Per Invoice'!C$2:C$401,$X274)="","",INDEX('Per Invoice'!C$2:C$401,$X274)))</f>
        <v/>
      </c>
      <c r="D274">
        <f>IF($X274="","",IF(INDEX('Per Invoice'!D$2:D$401,$X274)="","",INDEX('Per Invoice'!D$2:D$401,$X274)))</f>
        <v/>
      </c>
      <c r="E274">
        <f>IF($X274="","",IF(INDEX('Per Invoice'!E$2:E$401,$X274)="","",INDEX('Per Invoice'!E$2:E$401,$X274)))</f>
        <v/>
      </c>
      <c r="F274">
        <f>IF($X274="","",IF(INDEX('Per Invoice'!F$2:F$401,$X274)="","",INDEX('Per Invoice'!F$2:F$401,$X274)))</f>
        <v/>
      </c>
      <c r="G274">
        <f>IF($X274="","",IF(INDEX('Per Invoice'!G$2:G$401,$X274)="","",INDEX('Per Invoice'!G$2:G$401,$X274)))</f>
        <v/>
      </c>
      <c r="H274">
        <f>IF($X274="","",IF(INDEX('Per Invoice'!H$2:H$401,$X274)="","",INDEX('Per Invoice'!H$2:H$401,$X274)))</f>
        <v/>
      </c>
      <c r="I274">
        <f>IF($X274="","",IF(INDEX('Per Invoice'!I$2:I$401,$X274)="","",INDEX('Per Invoice'!I$2:I$401,$X274)))</f>
        <v/>
      </c>
      <c r="J274">
        <f>IF($X274="","",IF(INDEX('Per Invoice'!J$2:J$401,$X274)="","",INDEX('Per Invoice'!J$2:J$401,$X274)))</f>
        <v/>
      </c>
      <c r="K274" s="14">
        <f>IF($X274="","",IF(INDEX('Per Invoice'!K$2:K$401,$X274)="","",INDEX('Per Invoice'!K$2:K$401,$X274)))</f>
        <v/>
      </c>
      <c r="L274">
        <f>IF($X274="","",IF(INDEX('Per Invoice'!L$2:L$401,$X274)="","",INDEX('Per Invoice'!L$2:L$401,$X274)))</f>
        <v/>
      </c>
      <c r="M274" s="7">
        <f>IF($X274="","",IF(INDEX('Per Invoice'!M$2:M$401,$X274)="","",INDEX('Per Invoice'!M$2:M$401,$X274)))</f>
        <v/>
      </c>
      <c r="N274">
        <f>IF($X274="","",IF(INDEX('Per Invoice'!N$2:N$401,$X274)="","",INDEX('Per Invoice'!N$2:N$401,$X274)))</f>
        <v/>
      </c>
      <c r="O274" s="7">
        <f>IF($X274="","",IF(INDEX('Per Invoice'!O$2:O$401,$X274)="","",INDEX('Per Invoice'!O$2:O$401,$X274)))</f>
        <v/>
      </c>
      <c r="P274" s="7">
        <f>IF($X274="","",IF(INDEX('Per Invoice'!P$2:P$401,$X274)="","",INDEX('Per Invoice'!P$2:P$401,$X274)))</f>
        <v/>
      </c>
      <c r="Q274">
        <f>IF($X274="","",IF(INDEX('Per Invoice'!Q$2:Q$401,$X274)="","",INDEX('Per Invoice'!Q$2:Q$401,$X274)))</f>
        <v/>
      </c>
      <c r="R274" s="7">
        <f>IF($X274="","",IF(INDEX('Per Invoice'!R$2:R$401,$X274)="","",INDEX('Per Invoice'!R$2:R$401,$X274)))</f>
        <v/>
      </c>
      <c r="S274" s="7">
        <f>IF($X274="","",IF(INDEX('Per Invoice'!S$2:S$401,$X274)="","",INDEX('Per Invoice'!S$2:S$401,$X274)))</f>
        <v/>
      </c>
      <c r="T274" s="7">
        <f>IF($X274="","",IF(INDEX('Per Invoice'!T$2:T$401,$X274)="","",INDEX('Per Invoice'!T$2:T$401,$X274)))</f>
        <v/>
      </c>
      <c r="U274" s="7">
        <f>IF($X274="","",IF(INDEX('Per Invoice'!U$2:U$401,$X274)="","",INDEX('Per Invoice'!U$2:U$401,$X274)))</f>
        <v/>
      </c>
      <c r="V274" s="7">
        <f>IF($X274="","",IF(INDEX('Per Invoice'!V$2:V$401,$X274)="","",INDEX('Per Invoice'!V$2:V$401,$X274)))</f>
        <v/>
      </c>
      <c r="W274" s="7">
        <f>IF($X274="","",IF(INDEX('Per Invoice'!W$2:W$401,$X274)="","",INDEX('Per Invoice'!W$2:W$401,$X274)))</f>
        <v/>
      </c>
      <c r="X274" s="16">
        <f>IFERROR(MATCH(Settings!$C$33&amp;"|"&amp;ROWS($X$2:$X274),'Per Invoice'!$Y$2:$Y$401,0),"")</f>
        <v/>
      </c>
    </row>
    <row r="275">
      <c r="A275">
        <f>IF($X275="","",IF(INDEX('Per Invoice'!A$2:A$401,$X275)="","",INDEX('Per Invoice'!A$2:A$401,$X275)))</f>
        <v/>
      </c>
      <c r="B275">
        <f>IF($X275="","",IF(INDEX('Per Invoice'!B$2:B$401,$X275)="","",INDEX('Per Invoice'!B$2:B$401,$X275)))</f>
        <v/>
      </c>
      <c r="C275">
        <f>IF($X275="","",IF(INDEX('Per Invoice'!C$2:C$401,$X275)="","",INDEX('Per Invoice'!C$2:C$401,$X275)))</f>
        <v/>
      </c>
      <c r="D275">
        <f>IF($X275="","",IF(INDEX('Per Invoice'!D$2:D$401,$X275)="","",INDEX('Per Invoice'!D$2:D$401,$X275)))</f>
        <v/>
      </c>
      <c r="E275">
        <f>IF($X275="","",IF(INDEX('Per Invoice'!E$2:E$401,$X275)="","",INDEX('Per Invoice'!E$2:E$401,$X275)))</f>
        <v/>
      </c>
      <c r="F275">
        <f>IF($X275="","",IF(INDEX('Per Invoice'!F$2:F$401,$X275)="","",INDEX('Per Invoice'!F$2:F$401,$X275)))</f>
        <v/>
      </c>
      <c r="G275">
        <f>IF($X275="","",IF(INDEX('Per Invoice'!G$2:G$401,$X275)="","",INDEX('Per Invoice'!G$2:G$401,$X275)))</f>
        <v/>
      </c>
      <c r="H275">
        <f>IF($X275="","",IF(INDEX('Per Invoice'!H$2:H$401,$X275)="","",INDEX('Per Invoice'!H$2:H$401,$X275)))</f>
        <v/>
      </c>
      <c r="I275">
        <f>IF($X275="","",IF(INDEX('Per Invoice'!I$2:I$401,$X275)="","",INDEX('Per Invoice'!I$2:I$401,$X275)))</f>
        <v/>
      </c>
      <c r="J275">
        <f>IF($X275="","",IF(INDEX('Per Invoice'!J$2:J$401,$X275)="","",INDEX('Per Invoice'!J$2:J$401,$X275)))</f>
        <v/>
      </c>
      <c r="K275" s="14">
        <f>IF($X275="","",IF(INDEX('Per Invoice'!K$2:K$401,$X275)="","",INDEX('Per Invoice'!K$2:K$401,$X275)))</f>
        <v/>
      </c>
      <c r="L275">
        <f>IF($X275="","",IF(INDEX('Per Invoice'!L$2:L$401,$X275)="","",INDEX('Per Invoice'!L$2:L$401,$X275)))</f>
        <v/>
      </c>
      <c r="M275" s="7">
        <f>IF($X275="","",IF(INDEX('Per Invoice'!M$2:M$401,$X275)="","",INDEX('Per Invoice'!M$2:M$401,$X275)))</f>
        <v/>
      </c>
      <c r="N275">
        <f>IF($X275="","",IF(INDEX('Per Invoice'!N$2:N$401,$X275)="","",INDEX('Per Invoice'!N$2:N$401,$X275)))</f>
        <v/>
      </c>
      <c r="O275" s="7">
        <f>IF($X275="","",IF(INDEX('Per Invoice'!O$2:O$401,$X275)="","",INDEX('Per Invoice'!O$2:O$401,$X275)))</f>
        <v/>
      </c>
      <c r="P275" s="7">
        <f>IF($X275="","",IF(INDEX('Per Invoice'!P$2:P$401,$X275)="","",INDEX('Per Invoice'!P$2:P$401,$X275)))</f>
        <v/>
      </c>
      <c r="Q275">
        <f>IF($X275="","",IF(INDEX('Per Invoice'!Q$2:Q$401,$X275)="","",INDEX('Per Invoice'!Q$2:Q$401,$X275)))</f>
        <v/>
      </c>
      <c r="R275" s="7">
        <f>IF($X275="","",IF(INDEX('Per Invoice'!R$2:R$401,$X275)="","",INDEX('Per Invoice'!R$2:R$401,$X275)))</f>
        <v/>
      </c>
      <c r="S275" s="7">
        <f>IF($X275="","",IF(INDEX('Per Invoice'!S$2:S$401,$X275)="","",INDEX('Per Invoice'!S$2:S$401,$X275)))</f>
        <v/>
      </c>
      <c r="T275" s="7">
        <f>IF($X275="","",IF(INDEX('Per Invoice'!T$2:T$401,$X275)="","",INDEX('Per Invoice'!T$2:T$401,$X275)))</f>
        <v/>
      </c>
      <c r="U275" s="7">
        <f>IF($X275="","",IF(INDEX('Per Invoice'!U$2:U$401,$X275)="","",INDEX('Per Invoice'!U$2:U$401,$X275)))</f>
        <v/>
      </c>
      <c r="V275" s="7">
        <f>IF($X275="","",IF(INDEX('Per Invoice'!V$2:V$401,$X275)="","",INDEX('Per Invoice'!V$2:V$401,$X275)))</f>
        <v/>
      </c>
      <c r="W275" s="7">
        <f>IF($X275="","",IF(INDEX('Per Invoice'!W$2:W$401,$X275)="","",INDEX('Per Invoice'!W$2:W$401,$X275)))</f>
        <v/>
      </c>
      <c r="X275" s="16">
        <f>IFERROR(MATCH(Settings!$C$33&amp;"|"&amp;ROWS($X$2:$X275),'Per Invoice'!$Y$2:$Y$401,0),"")</f>
        <v/>
      </c>
    </row>
    <row r="276">
      <c r="A276">
        <f>IF($X276="","",IF(INDEX('Per Invoice'!A$2:A$401,$X276)="","",INDEX('Per Invoice'!A$2:A$401,$X276)))</f>
        <v/>
      </c>
      <c r="B276">
        <f>IF($X276="","",IF(INDEX('Per Invoice'!B$2:B$401,$X276)="","",INDEX('Per Invoice'!B$2:B$401,$X276)))</f>
        <v/>
      </c>
      <c r="C276">
        <f>IF($X276="","",IF(INDEX('Per Invoice'!C$2:C$401,$X276)="","",INDEX('Per Invoice'!C$2:C$401,$X276)))</f>
        <v/>
      </c>
      <c r="D276">
        <f>IF($X276="","",IF(INDEX('Per Invoice'!D$2:D$401,$X276)="","",INDEX('Per Invoice'!D$2:D$401,$X276)))</f>
        <v/>
      </c>
      <c r="E276">
        <f>IF($X276="","",IF(INDEX('Per Invoice'!E$2:E$401,$X276)="","",INDEX('Per Invoice'!E$2:E$401,$X276)))</f>
        <v/>
      </c>
      <c r="F276">
        <f>IF($X276="","",IF(INDEX('Per Invoice'!F$2:F$401,$X276)="","",INDEX('Per Invoice'!F$2:F$401,$X276)))</f>
        <v/>
      </c>
      <c r="G276">
        <f>IF($X276="","",IF(INDEX('Per Invoice'!G$2:G$401,$X276)="","",INDEX('Per Invoice'!G$2:G$401,$X276)))</f>
        <v/>
      </c>
      <c r="H276">
        <f>IF($X276="","",IF(INDEX('Per Invoice'!H$2:H$401,$X276)="","",INDEX('Per Invoice'!H$2:H$401,$X276)))</f>
        <v/>
      </c>
      <c r="I276">
        <f>IF($X276="","",IF(INDEX('Per Invoice'!I$2:I$401,$X276)="","",INDEX('Per Invoice'!I$2:I$401,$X276)))</f>
        <v/>
      </c>
      <c r="J276">
        <f>IF($X276="","",IF(INDEX('Per Invoice'!J$2:J$401,$X276)="","",INDEX('Per Invoice'!J$2:J$401,$X276)))</f>
        <v/>
      </c>
      <c r="K276" s="14">
        <f>IF($X276="","",IF(INDEX('Per Invoice'!K$2:K$401,$X276)="","",INDEX('Per Invoice'!K$2:K$401,$X276)))</f>
        <v/>
      </c>
      <c r="L276">
        <f>IF($X276="","",IF(INDEX('Per Invoice'!L$2:L$401,$X276)="","",INDEX('Per Invoice'!L$2:L$401,$X276)))</f>
        <v/>
      </c>
      <c r="M276" s="7">
        <f>IF($X276="","",IF(INDEX('Per Invoice'!M$2:M$401,$X276)="","",INDEX('Per Invoice'!M$2:M$401,$X276)))</f>
        <v/>
      </c>
      <c r="N276">
        <f>IF($X276="","",IF(INDEX('Per Invoice'!N$2:N$401,$X276)="","",INDEX('Per Invoice'!N$2:N$401,$X276)))</f>
        <v/>
      </c>
      <c r="O276" s="7">
        <f>IF($X276="","",IF(INDEX('Per Invoice'!O$2:O$401,$X276)="","",INDEX('Per Invoice'!O$2:O$401,$X276)))</f>
        <v/>
      </c>
      <c r="P276" s="7">
        <f>IF($X276="","",IF(INDEX('Per Invoice'!P$2:P$401,$X276)="","",INDEX('Per Invoice'!P$2:P$401,$X276)))</f>
        <v/>
      </c>
      <c r="Q276">
        <f>IF($X276="","",IF(INDEX('Per Invoice'!Q$2:Q$401,$X276)="","",INDEX('Per Invoice'!Q$2:Q$401,$X276)))</f>
        <v/>
      </c>
      <c r="R276" s="7">
        <f>IF($X276="","",IF(INDEX('Per Invoice'!R$2:R$401,$X276)="","",INDEX('Per Invoice'!R$2:R$401,$X276)))</f>
        <v/>
      </c>
      <c r="S276" s="7">
        <f>IF($X276="","",IF(INDEX('Per Invoice'!S$2:S$401,$X276)="","",INDEX('Per Invoice'!S$2:S$401,$X276)))</f>
        <v/>
      </c>
      <c r="T276" s="7">
        <f>IF($X276="","",IF(INDEX('Per Invoice'!T$2:T$401,$X276)="","",INDEX('Per Invoice'!T$2:T$401,$X276)))</f>
        <v/>
      </c>
      <c r="U276" s="7">
        <f>IF($X276="","",IF(INDEX('Per Invoice'!U$2:U$401,$X276)="","",INDEX('Per Invoice'!U$2:U$401,$X276)))</f>
        <v/>
      </c>
      <c r="V276" s="7">
        <f>IF($X276="","",IF(INDEX('Per Invoice'!V$2:V$401,$X276)="","",INDEX('Per Invoice'!V$2:V$401,$X276)))</f>
        <v/>
      </c>
      <c r="W276" s="7">
        <f>IF($X276="","",IF(INDEX('Per Invoice'!W$2:W$401,$X276)="","",INDEX('Per Invoice'!W$2:W$401,$X276)))</f>
        <v/>
      </c>
      <c r="X276" s="16">
        <f>IFERROR(MATCH(Settings!$C$33&amp;"|"&amp;ROWS($X$2:$X276),'Per Invoice'!$Y$2:$Y$401,0),"")</f>
        <v/>
      </c>
    </row>
    <row r="277">
      <c r="A277">
        <f>IF($X277="","",IF(INDEX('Per Invoice'!A$2:A$401,$X277)="","",INDEX('Per Invoice'!A$2:A$401,$X277)))</f>
        <v/>
      </c>
      <c r="B277">
        <f>IF($X277="","",IF(INDEX('Per Invoice'!B$2:B$401,$X277)="","",INDEX('Per Invoice'!B$2:B$401,$X277)))</f>
        <v/>
      </c>
      <c r="C277">
        <f>IF($X277="","",IF(INDEX('Per Invoice'!C$2:C$401,$X277)="","",INDEX('Per Invoice'!C$2:C$401,$X277)))</f>
        <v/>
      </c>
      <c r="D277">
        <f>IF($X277="","",IF(INDEX('Per Invoice'!D$2:D$401,$X277)="","",INDEX('Per Invoice'!D$2:D$401,$X277)))</f>
        <v/>
      </c>
      <c r="E277">
        <f>IF($X277="","",IF(INDEX('Per Invoice'!E$2:E$401,$X277)="","",INDEX('Per Invoice'!E$2:E$401,$X277)))</f>
        <v/>
      </c>
      <c r="F277">
        <f>IF($X277="","",IF(INDEX('Per Invoice'!F$2:F$401,$X277)="","",INDEX('Per Invoice'!F$2:F$401,$X277)))</f>
        <v/>
      </c>
      <c r="G277">
        <f>IF($X277="","",IF(INDEX('Per Invoice'!G$2:G$401,$X277)="","",INDEX('Per Invoice'!G$2:G$401,$X277)))</f>
        <v/>
      </c>
      <c r="H277">
        <f>IF($X277="","",IF(INDEX('Per Invoice'!H$2:H$401,$X277)="","",INDEX('Per Invoice'!H$2:H$401,$X277)))</f>
        <v/>
      </c>
      <c r="I277">
        <f>IF($X277="","",IF(INDEX('Per Invoice'!I$2:I$401,$X277)="","",INDEX('Per Invoice'!I$2:I$401,$X277)))</f>
        <v/>
      </c>
      <c r="J277">
        <f>IF($X277="","",IF(INDEX('Per Invoice'!J$2:J$401,$X277)="","",INDEX('Per Invoice'!J$2:J$401,$X277)))</f>
        <v/>
      </c>
      <c r="K277" s="14">
        <f>IF($X277="","",IF(INDEX('Per Invoice'!K$2:K$401,$X277)="","",INDEX('Per Invoice'!K$2:K$401,$X277)))</f>
        <v/>
      </c>
      <c r="L277">
        <f>IF($X277="","",IF(INDEX('Per Invoice'!L$2:L$401,$X277)="","",INDEX('Per Invoice'!L$2:L$401,$X277)))</f>
        <v/>
      </c>
      <c r="M277" s="7">
        <f>IF($X277="","",IF(INDEX('Per Invoice'!M$2:M$401,$X277)="","",INDEX('Per Invoice'!M$2:M$401,$X277)))</f>
        <v/>
      </c>
      <c r="N277">
        <f>IF($X277="","",IF(INDEX('Per Invoice'!N$2:N$401,$X277)="","",INDEX('Per Invoice'!N$2:N$401,$X277)))</f>
        <v/>
      </c>
      <c r="O277" s="7">
        <f>IF($X277="","",IF(INDEX('Per Invoice'!O$2:O$401,$X277)="","",INDEX('Per Invoice'!O$2:O$401,$X277)))</f>
        <v/>
      </c>
      <c r="P277" s="7">
        <f>IF($X277="","",IF(INDEX('Per Invoice'!P$2:P$401,$X277)="","",INDEX('Per Invoice'!P$2:P$401,$X277)))</f>
        <v/>
      </c>
      <c r="Q277">
        <f>IF($X277="","",IF(INDEX('Per Invoice'!Q$2:Q$401,$X277)="","",INDEX('Per Invoice'!Q$2:Q$401,$X277)))</f>
        <v/>
      </c>
      <c r="R277" s="7">
        <f>IF($X277="","",IF(INDEX('Per Invoice'!R$2:R$401,$X277)="","",INDEX('Per Invoice'!R$2:R$401,$X277)))</f>
        <v/>
      </c>
      <c r="S277" s="7">
        <f>IF($X277="","",IF(INDEX('Per Invoice'!S$2:S$401,$X277)="","",INDEX('Per Invoice'!S$2:S$401,$X277)))</f>
        <v/>
      </c>
      <c r="T277" s="7">
        <f>IF($X277="","",IF(INDEX('Per Invoice'!T$2:T$401,$X277)="","",INDEX('Per Invoice'!T$2:T$401,$X277)))</f>
        <v/>
      </c>
      <c r="U277" s="7">
        <f>IF($X277="","",IF(INDEX('Per Invoice'!U$2:U$401,$X277)="","",INDEX('Per Invoice'!U$2:U$401,$X277)))</f>
        <v/>
      </c>
      <c r="V277" s="7">
        <f>IF($X277="","",IF(INDEX('Per Invoice'!V$2:V$401,$X277)="","",INDEX('Per Invoice'!V$2:V$401,$X277)))</f>
        <v/>
      </c>
      <c r="W277" s="7">
        <f>IF($X277="","",IF(INDEX('Per Invoice'!W$2:W$401,$X277)="","",INDEX('Per Invoice'!W$2:W$401,$X277)))</f>
        <v/>
      </c>
      <c r="X277" s="16">
        <f>IFERROR(MATCH(Settings!$C$33&amp;"|"&amp;ROWS($X$2:$X277),'Per Invoice'!$Y$2:$Y$401,0),"")</f>
        <v/>
      </c>
    </row>
    <row r="278">
      <c r="A278">
        <f>IF($X278="","",IF(INDEX('Per Invoice'!A$2:A$401,$X278)="","",INDEX('Per Invoice'!A$2:A$401,$X278)))</f>
        <v/>
      </c>
      <c r="B278">
        <f>IF($X278="","",IF(INDEX('Per Invoice'!B$2:B$401,$X278)="","",INDEX('Per Invoice'!B$2:B$401,$X278)))</f>
        <v/>
      </c>
      <c r="C278">
        <f>IF($X278="","",IF(INDEX('Per Invoice'!C$2:C$401,$X278)="","",INDEX('Per Invoice'!C$2:C$401,$X278)))</f>
        <v/>
      </c>
      <c r="D278">
        <f>IF($X278="","",IF(INDEX('Per Invoice'!D$2:D$401,$X278)="","",INDEX('Per Invoice'!D$2:D$401,$X278)))</f>
        <v/>
      </c>
      <c r="E278">
        <f>IF($X278="","",IF(INDEX('Per Invoice'!E$2:E$401,$X278)="","",INDEX('Per Invoice'!E$2:E$401,$X278)))</f>
        <v/>
      </c>
      <c r="F278">
        <f>IF($X278="","",IF(INDEX('Per Invoice'!F$2:F$401,$X278)="","",INDEX('Per Invoice'!F$2:F$401,$X278)))</f>
        <v/>
      </c>
      <c r="G278">
        <f>IF($X278="","",IF(INDEX('Per Invoice'!G$2:G$401,$X278)="","",INDEX('Per Invoice'!G$2:G$401,$X278)))</f>
        <v/>
      </c>
      <c r="H278">
        <f>IF($X278="","",IF(INDEX('Per Invoice'!H$2:H$401,$X278)="","",INDEX('Per Invoice'!H$2:H$401,$X278)))</f>
        <v/>
      </c>
      <c r="I278">
        <f>IF($X278="","",IF(INDEX('Per Invoice'!I$2:I$401,$X278)="","",INDEX('Per Invoice'!I$2:I$401,$X278)))</f>
        <v/>
      </c>
      <c r="J278">
        <f>IF($X278="","",IF(INDEX('Per Invoice'!J$2:J$401,$X278)="","",INDEX('Per Invoice'!J$2:J$401,$X278)))</f>
        <v/>
      </c>
      <c r="K278" s="14">
        <f>IF($X278="","",IF(INDEX('Per Invoice'!K$2:K$401,$X278)="","",INDEX('Per Invoice'!K$2:K$401,$X278)))</f>
        <v/>
      </c>
      <c r="L278">
        <f>IF($X278="","",IF(INDEX('Per Invoice'!L$2:L$401,$X278)="","",INDEX('Per Invoice'!L$2:L$401,$X278)))</f>
        <v/>
      </c>
      <c r="M278" s="7">
        <f>IF($X278="","",IF(INDEX('Per Invoice'!M$2:M$401,$X278)="","",INDEX('Per Invoice'!M$2:M$401,$X278)))</f>
        <v/>
      </c>
      <c r="N278">
        <f>IF($X278="","",IF(INDEX('Per Invoice'!N$2:N$401,$X278)="","",INDEX('Per Invoice'!N$2:N$401,$X278)))</f>
        <v/>
      </c>
      <c r="O278" s="7">
        <f>IF($X278="","",IF(INDEX('Per Invoice'!O$2:O$401,$X278)="","",INDEX('Per Invoice'!O$2:O$401,$X278)))</f>
        <v/>
      </c>
      <c r="P278" s="7">
        <f>IF($X278="","",IF(INDEX('Per Invoice'!P$2:P$401,$X278)="","",INDEX('Per Invoice'!P$2:P$401,$X278)))</f>
        <v/>
      </c>
      <c r="Q278">
        <f>IF($X278="","",IF(INDEX('Per Invoice'!Q$2:Q$401,$X278)="","",INDEX('Per Invoice'!Q$2:Q$401,$X278)))</f>
        <v/>
      </c>
      <c r="R278" s="7">
        <f>IF($X278="","",IF(INDEX('Per Invoice'!R$2:R$401,$X278)="","",INDEX('Per Invoice'!R$2:R$401,$X278)))</f>
        <v/>
      </c>
      <c r="S278" s="7">
        <f>IF($X278="","",IF(INDEX('Per Invoice'!S$2:S$401,$X278)="","",INDEX('Per Invoice'!S$2:S$401,$X278)))</f>
        <v/>
      </c>
      <c r="T278" s="7">
        <f>IF($X278="","",IF(INDEX('Per Invoice'!T$2:T$401,$X278)="","",INDEX('Per Invoice'!T$2:T$401,$X278)))</f>
        <v/>
      </c>
      <c r="U278" s="7">
        <f>IF($X278="","",IF(INDEX('Per Invoice'!U$2:U$401,$X278)="","",INDEX('Per Invoice'!U$2:U$401,$X278)))</f>
        <v/>
      </c>
      <c r="V278" s="7">
        <f>IF($X278="","",IF(INDEX('Per Invoice'!V$2:V$401,$X278)="","",INDEX('Per Invoice'!V$2:V$401,$X278)))</f>
        <v/>
      </c>
      <c r="W278" s="7">
        <f>IF($X278="","",IF(INDEX('Per Invoice'!W$2:W$401,$X278)="","",INDEX('Per Invoice'!W$2:W$401,$X278)))</f>
        <v/>
      </c>
      <c r="X278" s="16">
        <f>IFERROR(MATCH(Settings!$C$33&amp;"|"&amp;ROWS($X$2:$X278),'Per Invoice'!$Y$2:$Y$401,0),"")</f>
        <v/>
      </c>
    </row>
    <row r="279">
      <c r="A279">
        <f>IF($X279="","",IF(INDEX('Per Invoice'!A$2:A$401,$X279)="","",INDEX('Per Invoice'!A$2:A$401,$X279)))</f>
        <v/>
      </c>
      <c r="B279">
        <f>IF($X279="","",IF(INDEX('Per Invoice'!B$2:B$401,$X279)="","",INDEX('Per Invoice'!B$2:B$401,$X279)))</f>
        <v/>
      </c>
      <c r="C279">
        <f>IF($X279="","",IF(INDEX('Per Invoice'!C$2:C$401,$X279)="","",INDEX('Per Invoice'!C$2:C$401,$X279)))</f>
        <v/>
      </c>
      <c r="D279">
        <f>IF($X279="","",IF(INDEX('Per Invoice'!D$2:D$401,$X279)="","",INDEX('Per Invoice'!D$2:D$401,$X279)))</f>
        <v/>
      </c>
      <c r="E279">
        <f>IF($X279="","",IF(INDEX('Per Invoice'!E$2:E$401,$X279)="","",INDEX('Per Invoice'!E$2:E$401,$X279)))</f>
        <v/>
      </c>
      <c r="F279">
        <f>IF($X279="","",IF(INDEX('Per Invoice'!F$2:F$401,$X279)="","",INDEX('Per Invoice'!F$2:F$401,$X279)))</f>
        <v/>
      </c>
      <c r="G279">
        <f>IF($X279="","",IF(INDEX('Per Invoice'!G$2:G$401,$X279)="","",INDEX('Per Invoice'!G$2:G$401,$X279)))</f>
        <v/>
      </c>
      <c r="H279">
        <f>IF($X279="","",IF(INDEX('Per Invoice'!H$2:H$401,$X279)="","",INDEX('Per Invoice'!H$2:H$401,$X279)))</f>
        <v/>
      </c>
      <c r="I279">
        <f>IF($X279="","",IF(INDEX('Per Invoice'!I$2:I$401,$X279)="","",INDEX('Per Invoice'!I$2:I$401,$X279)))</f>
        <v/>
      </c>
      <c r="J279">
        <f>IF($X279="","",IF(INDEX('Per Invoice'!J$2:J$401,$X279)="","",INDEX('Per Invoice'!J$2:J$401,$X279)))</f>
        <v/>
      </c>
      <c r="K279" s="14">
        <f>IF($X279="","",IF(INDEX('Per Invoice'!K$2:K$401,$X279)="","",INDEX('Per Invoice'!K$2:K$401,$X279)))</f>
        <v/>
      </c>
      <c r="L279">
        <f>IF($X279="","",IF(INDEX('Per Invoice'!L$2:L$401,$X279)="","",INDEX('Per Invoice'!L$2:L$401,$X279)))</f>
        <v/>
      </c>
      <c r="M279" s="7">
        <f>IF($X279="","",IF(INDEX('Per Invoice'!M$2:M$401,$X279)="","",INDEX('Per Invoice'!M$2:M$401,$X279)))</f>
        <v/>
      </c>
      <c r="N279">
        <f>IF($X279="","",IF(INDEX('Per Invoice'!N$2:N$401,$X279)="","",INDEX('Per Invoice'!N$2:N$401,$X279)))</f>
        <v/>
      </c>
      <c r="O279" s="7">
        <f>IF($X279="","",IF(INDEX('Per Invoice'!O$2:O$401,$X279)="","",INDEX('Per Invoice'!O$2:O$401,$X279)))</f>
        <v/>
      </c>
      <c r="P279" s="7">
        <f>IF($X279="","",IF(INDEX('Per Invoice'!P$2:P$401,$X279)="","",INDEX('Per Invoice'!P$2:P$401,$X279)))</f>
        <v/>
      </c>
      <c r="Q279">
        <f>IF($X279="","",IF(INDEX('Per Invoice'!Q$2:Q$401,$X279)="","",INDEX('Per Invoice'!Q$2:Q$401,$X279)))</f>
        <v/>
      </c>
      <c r="R279" s="7">
        <f>IF($X279="","",IF(INDEX('Per Invoice'!R$2:R$401,$X279)="","",INDEX('Per Invoice'!R$2:R$401,$X279)))</f>
        <v/>
      </c>
      <c r="S279" s="7">
        <f>IF($X279="","",IF(INDEX('Per Invoice'!S$2:S$401,$X279)="","",INDEX('Per Invoice'!S$2:S$401,$X279)))</f>
        <v/>
      </c>
      <c r="T279" s="7">
        <f>IF($X279="","",IF(INDEX('Per Invoice'!T$2:T$401,$X279)="","",INDEX('Per Invoice'!T$2:T$401,$X279)))</f>
        <v/>
      </c>
      <c r="U279" s="7">
        <f>IF($X279="","",IF(INDEX('Per Invoice'!U$2:U$401,$X279)="","",INDEX('Per Invoice'!U$2:U$401,$X279)))</f>
        <v/>
      </c>
      <c r="V279" s="7">
        <f>IF($X279="","",IF(INDEX('Per Invoice'!V$2:V$401,$X279)="","",INDEX('Per Invoice'!V$2:V$401,$X279)))</f>
        <v/>
      </c>
      <c r="W279" s="7">
        <f>IF($X279="","",IF(INDEX('Per Invoice'!W$2:W$401,$X279)="","",INDEX('Per Invoice'!W$2:W$401,$X279)))</f>
        <v/>
      </c>
      <c r="X279" s="16">
        <f>IFERROR(MATCH(Settings!$C$33&amp;"|"&amp;ROWS($X$2:$X279),'Per Invoice'!$Y$2:$Y$401,0),"")</f>
        <v/>
      </c>
    </row>
    <row r="280">
      <c r="A280">
        <f>IF($X280="","",IF(INDEX('Per Invoice'!A$2:A$401,$X280)="","",INDEX('Per Invoice'!A$2:A$401,$X280)))</f>
        <v/>
      </c>
      <c r="B280">
        <f>IF($X280="","",IF(INDEX('Per Invoice'!B$2:B$401,$X280)="","",INDEX('Per Invoice'!B$2:B$401,$X280)))</f>
        <v/>
      </c>
      <c r="C280">
        <f>IF($X280="","",IF(INDEX('Per Invoice'!C$2:C$401,$X280)="","",INDEX('Per Invoice'!C$2:C$401,$X280)))</f>
        <v/>
      </c>
      <c r="D280">
        <f>IF($X280="","",IF(INDEX('Per Invoice'!D$2:D$401,$X280)="","",INDEX('Per Invoice'!D$2:D$401,$X280)))</f>
        <v/>
      </c>
      <c r="E280">
        <f>IF($X280="","",IF(INDEX('Per Invoice'!E$2:E$401,$X280)="","",INDEX('Per Invoice'!E$2:E$401,$X280)))</f>
        <v/>
      </c>
      <c r="F280">
        <f>IF($X280="","",IF(INDEX('Per Invoice'!F$2:F$401,$X280)="","",INDEX('Per Invoice'!F$2:F$401,$X280)))</f>
        <v/>
      </c>
      <c r="G280">
        <f>IF($X280="","",IF(INDEX('Per Invoice'!G$2:G$401,$X280)="","",INDEX('Per Invoice'!G$2:G$401,$X280)))</f>
        <v/>
      </c>
      <c r="H280">
        <f>IF($X280="","",IF(INDEX('Per Invoice'!H$2:H$401,$X280)="","",INDEX('Per Invoice'!H$2:H$401,$X280)))</f>
        <v/>
      </c>
      <c r="I280">
        <f>IF($X280="","",IF(INDEX('Per Invoice'!I$2:I$401,$X280)="","",INDEX('Per Invoice'!I$2:I$401,$X280)))</f>
        <v/>
      </c>
      <c r="J280">
        <f>IF($X280="","",IF(INDEX('Per Invoice'!J$2:J$401,$X280)="","",INDEX('Per Invoice'!J$2:J$401,$X280)))</f>
        <v/>
      </c>
      <c r="K280" s="14">
        <f>IF($X280="","",IF(INDEX('Per Invoice'!K$2:K$401,$X280)="","",INDEX('Per Invoice'!K$2:K$401,$X280)))</f>
        <v/>
      </c>
      <c r="L280">
        <f>IF($X280="","",IF(INDEX('Per Invoice'!L$2:L$401,$X280)="","",INDEX('Per Invoice'!L$2:L$401,$X280)))</f>
        <v/>
      </c>
      <c r="M280" s="7">
        <f>IF($X280="","",IF(INDEX('Per Invoice'!M$2:M$401,$X280)="","",INDEX('Per Invoice'!M$2:M$401,$X280)))</f>
        <v/>
      </c>
      <c r="N280">
        <f>IF($X280="","",IF(INDEX('Per Invoice'!N$2:N$401,$X280)="","",INDEX('Per Invoice'!N$2:N$401,$X280)))</f>
        <v/>
      </c>
      <c r="O280" s="7">
        <f>IF($X280="","",IF(INDEX('Per Invoice'!O$2:O$401,$X280)="","",INDEX('Per Invoice'!O$2:O$401,$X280)))</f>
        <v/>
      </c>
      <c r="P280" s="7">
        <f>IF($X280="","",IF(INDEX('Per Invoice'!P$2:P$401,$X280)="","",INDEX('Per Invoice'!P$2:P$401,$X280)))</f>
        <v/>
      </c>
      <c r="Q280">
        <f>IF($X280="","",IF(INDEX('Per Invoice'!Q$2:Q$401,$X280)="","",INDEX('Per Invoice'!Q$2:Q$401,$X280)))</f>
        <v/>
      </c>
      <c r="R280" s="7">
        <f>IF($X280="","",IF(INDEX('Per Invoice'!R$2:R$401,$X280)="","",INDEX('Per Invoice'!R$2:R$401,$X280)))</f>
        <v/>
      </c>
      <c r="S280" s="7">
        <f>IF($X280="","",IF(INDEX('Per Invoice'!S$2:S$401,$X280)="","",INDEX('Per Invoice'!S$2:S$401,$X280)))</f>
        <v/>
      </c>
      <c r="T280" s="7">
        <f>IF($X280="","",IF(INDEX('Per Invoice'!T$2:T$401,$X280)="","",INDEX('Per Invoice'!T$2:T$401,$X280)))</f>
        <v/>
      </c>
      <c r="U280" s="7">
        <f>IF($X280="","",IF(INDEX('Per Invoice'!U$2:U$401,$X280)="","",INDEX('Per Invoice'!U$2:U$401,$X280)))</f>
        <v/>
      </c>
      <c r="V280" s="7">
        <f>IF($X280="","",IF(INDEX('Per Invoice'!V$2:V$401,$X280)="","",INDEX('Per Invoice'!V$2:V$401,$X280)))</f>
        <v/>
      </c>
      <c r="W280" s="7">
        <f>IF($X280="","",IF(INDEX('Per Invoice'!W$2:W$401,$X280)="","",INDEX('Per Invoice'!W$2:W$401,$X280)))</f>
        <v/>
      </c>
      <c r="X280" s="16">
        <f>IFERROR(MATCH(Settings!$C$33&amp;"|"&amp;ROWS($X$2:$X280),'Per Invoice'!$Y$2:$Y$401,0),"")</f>
        <v/>
      </c>
    </row>
    <row r="281">
      <c r="A281">
        <f>IF($X281="","",IF(INDEX('Per Invoice'!A$2:A$401,$X281)="","",INDEX('Per Invoice'!A$2:A$401,$X281)))</f>
        <v/>
      </c>
      <c r="B281">
        <f>IF($X281="","",IF(INDEX('Per Invoice'!B$2:B$401,$X281)="","",INDEX('Per Invoice'!B$2:B$401,$X281)))</f>
        <v/>
      </c>
      <c r="C281">
        <f>IF($X281="","",IF(INDEX('Per Invoice'!C$2:C$401,$X281)="","",INDEX('Per Invoice'!C$2:C$401,$X281)))</f>
        <v/>
      </c>
      <c r="D281">
        <f>IF($X281="","",IF(INDEX('Per Invoice'!D$2:D$401,$X281)="","",INDEX('Per Invoice'!D$2:D$401,$X281)))</f>
        <v/>
      </c>
      <c r="E281">
        <f>IF($X281="","",IF(INDEX('Per Invoice'!E$2:E$401,$X281)="","",INDEX('Per Invoice'!E$2:E$401,$X281)))</f>
        <v/>
      </c>
      <c r="F281">
        <f>IF($X281="","",IF(INDEX('Per Invoice'!F$2:F$401,$X281)="","",INDEX('Per Invoice'!F$2:F$401,$X281)))</f>
        <v/>
      </c>
      <c r="G281">
        <f>IF($X281="","",IF(INDEX('Per Invoice'!G$2:G$401,$X281)="","",INDEX('Per Invoice'!G$2:G$401,$X281)))</f>
        <v/>
      </c>
      <c r="H281">
        <f>IF($X281="","",IF(INDEX('Per Invoice'!H$2:H$401,$X281)="","",INDEX('Per Invoice'!H$2:H$401,$X281)))</f>
        <v/>
      </c>
      <c r="I281">
        <f>IF($X281="","",IF(INDEX('Per Invoice'!I$2:I$401,$X281)="","",INDEX('Per Invoice'!I$2:I$401,$X281)))</f>
        <v/>
      </c>
      <c r="J281">
        <f>IF($X281="","",IF(INDEX('Per Invoice'!J$2:J$401,$X281)="","",INDEX('Per Invoice'!J$2:J$401,$X281)))</f>
        <v/>
      </c>
      <c r="K281" s="14">
        <f>IF($X281="","",IF(INDEX('Per Invoice'!K$2:K$401,$X281)="","",INDEX('Per Invoice'!K$2:K$401,$X281)))</f>
        <v/>
      </c>
      <c r="L281">
        <f>IF($X281="","",IF(INDEX('Per Invoice'!L$2:L$401,$X281)="","",INDEX('Per Invoice'!L$2:L$401,$X281)))</f>
        <v/>
      </c>
      <c r="M281" s="7">
        <f>IF($X281="","",IF(INDEX('Per Invoice'!M$2:M$401,$X281)="","",INDEX('Per Invoice'!M$2:M$401,$X281)))</f>
        <v/>
      </c>
      <c r="N281">
        <f>IF($X281="","",IF(INDEX('Per Invoice'!N$2:N$401,$X281)="","",INDEX('Per Invoice'!N$2:N$401,$X281)))</f>
        <v/>
      </c>
      <c r="O281" s="7">
        <f>IF($X281="","",IF(INDEX('Per Invoice'!O$2:O$401,$X281)="","",INDEX('Per Invoice'!O$2:O$401,$X281)))</f>
        <v/>
      </c>
      <c r="P281" s="7">
        <f>IF($X281="","",IF(INDEX('Per Invoice'!P$2:P$401,$X281)="","",INDEX('Per Invoice'!P$2:P$401,$X281)))</f>
        <v/>
      </c>
      <c r="Q281">
        <f>IF($X281="","",IF(INDEX('Per Invoice'!Q$2:Q$401,$X281)="","",INDEX('Per Invoice'!Q$2:Q$401,$X281)))</f>
        <v/>
      </c>
      <c r="R281" s="7">
        <f>IF($X281="","",IF(INDEX('Per Invoice'!R$2:R$401,$X281)="","",INDEX('Per Invoice'!R$2:R$401,$X281)))</f>
        <v/>
      </c>
      <c r="S281" s="7">
        <f>IF($X281="","",IF(INDEX('Per Invoice'!S$2:S$401,$X281)="","",INDEX('Per Invoice'!S$2:S$401,$X281)))</f>
        <v/>
      </c>
      <c r="T281" s="7">
        <f>IF($X281="","",IF(INDEX('Per Invoice'!T$2:T$401,$X281)="","",INDEX('Per Invoice'!T$2:T$401,$X281)))</f>
        <v/>
      </c>
      <c r="U281" s="7">
        <f>IF($X281="","",IF(INDEX('Per Invoice'!U$2:U$401,$X281)="","",INDEX('Per Invoice'!U$2:U$401,$X281)))</f>
        <v/>
      </c>
      <c r="V281" s="7">
        <f>IF($X281="","",IF(INDEX('Per Invoice'!V$2:V$401,$X281)="","",INDEX('Per Invoice'!V$2:V$401,$X281)))</f>
        <v/>
      </c>
      <c r="W281" s="7">
        <f>IF($X281="","",IF(INDEX('Per Invoice'!W$2:W$401,$X281)="","",INDEX('Per Invoice'!W$2:W$401,$X281)))</f>
        <v/>
      </c>
      <c r="X281" s="16">
        <f>IFERROR(MATCH(Settings!$C$33&amp;"|"&amp;ROWS($X$2:$X281),'Per Invoice'!$Y$2:$Y$401,0),"")</f>
        <v/>
      </c>
    </row>
    <row r="282">
      <c r="A282">
        <f>IF($X282="","",IF(INDEX('Per Invoice'!A$2:A$401,$X282)="","",INDEX('Per Invoice'!A$2:A$401,$X282)))</f>
        <v/>
      </c>
      <c r="B282">
        <f>IF($X282="","",IF(INDEX('Per Invoice'!B$2:B$401,$X282)="","",INDEX('Per Invoice'!B$2:B$401,$X282)))</f>
        <v/>
      </c>
      <c r="C282">
        <f>IF($X282="","",IF(INDEX('Per Invoice'!C$2:C$401,$X282)="","",INDEX('Per Invoice'!C$2:C$401,$X282)))</f>
        <v/>
      </c>
      <c r="D282">
        <f>IF($X282="","",IF(INDEX('Per Invoice'!D$2:D$401,$X282)="","",INDEX('Per Invoice'!D$2:D$401,$X282)))</f>
        <v/>
      </c>
      <c r="E282">
        <f>IF($X282="","",IF(INDEX('Per Invoice'!E$2:E$401,$X282)="","",INDEX('Per Invoice'!E$2:E$401,$X282)))</f>
        <v/>
      </c>
      <c r="F282">
        <f>IF($X282="","",IF(INDEX('Per Invoice'!F$2:F$401,$X282)="","",INDEX('Per Invoice'!F$2:F$401,$X282)))</f>
        <v/>
      </c>
      <c r="G282">
        <f>IF($X282="","",IF(INDEX('Per Invoice'!G$2:G$401,$X282)="","",INDEX('Per Invoice'!G$2:G$401,$X282)))</f>
        <v/>
      </c>
      <c r="H282">
        <f>IF($X282="","",IF(INDEX('Per Invoice'!H$2:H$401,$X282)="","",INDEX('Per Invoice'!H$2:H$401,$X282)))</f>
        <v/>
      </c>
      <c r="I282">
        <f>IF($X282="","",IF(INDEX('Per Invoice'!I$2:I$401,$X282)="","",INDEX('Per Invoice'!I$2:I$401,$X282)))</f>
        <v/>
      </c>
      <c r="J282">
        <f>IF($X282="","",IF(INDEX('Per Invoice'!J$2:J$401,$X282)="","",INDEX('Per Invoice'!J$2:J$401,$X282)))</f>
        <v/>
      </c>
      <c r="K282" s="14">
        <f>IF($X282="","",IF(INDEX('Per Invoice'!K$2:K$401,$X282)="","",INDEX('Per Invoice'!K$2:K$401,$X282)))</f>
        <v/>
      </c>
      <c r="L282">
        <f>IF($X282="","",IF(INDEX('Per Invoice'!L$2:L$401,$X282)="","",INDEX('Per Invoice'!L$2:L$401,$X282)))</f>
        <v/>
      </c>
      <c r="M282" s="7">
        <f>IF($X282="","",IF(INDEX('Per Invoice'!M$2:M$401,$X282)="","",INDEX('Per Invoice'!M$2:M$401,$X282)))</f>
        <v/>
      </c>
      <c r="N282">
        <f>IF($X282="","",IF(INDEX('Per Invoice'!N$2:N$401,$X282)="","",INDEX('Per Invoice'!N$2:N$401,$X282)))</f>
        <v/>
      </c>
      <c r="O282" s="7">
        <f>IF($X282="","",IF(INDEX('Per Invoice'!O$2:O$401,$X282)="","",INDEX('Per Invoice'!O$2:O$401,$X282)))</f>
        <v/>
      </c>
      <c r="P282" s="7">
        <f>IF($X282="","",IF(INDEX('Per Invoice'!P$2:P$401,$X282)="","",INDEX('Per Invoice'!P$2:P$401,$X282)))</f>
        <v/>
      </c>
      <c r="Q282">
        <f>IF($X282="","",IF(INDEX('Per Invoice'!Q$2:Q$401,$X282)="","",INDEX('Per Invoice'!Q$2:Q$401,$X282)))</f>
        <v/>
      </c>
      <c r="R282" s="7">
        <f>IF($X282="","",IF(INDEX('Per Invoice'!R$2:R$401,$X282)="","",INDEX('Per Invoice'!R$2:R$401,$X282)))</f>
        <v/>
      </c>
      <c r="S282" s="7">
        <f>IF($X282="","",IF(INDEX('Per Invoice'!S$2:S$401,$X282)="","",INDEX('Per Invoice'!S$2:S$401,$X282)))</f>
        <v/>
      </c>
      <c r="T282" s="7">
        <f>IF($X282="","",IF(INDEX('Per Invoice'!T$2:T$401,$X282)="","",INDEX('Per Invoice'!T$2:T$401,$X282)))</f>
        <v/>
      </c>
      <c r="U282" s="7">
        <f>IF($X282="","",IF(INDEX('Per Invoice'!U$2:U$401,$X282)="","",INDEX('Per Invoice'!U$2:U$401,$X282)))</f>
        <v/>
      </c>
      <c r="V282" s="7">
        <f>IF($X282="","",IF(INDEX('Per Invoice'!V$2:V$401,$X282)="","",INDEX('Per Invoice'!V$2:V$401,$X282)))</f>
        <v/>
      </c>
      <c r="W282" s="7">
        <f>IF($X282="","",IF(INDEX('Per Invoice'!W$2:W$401,$X282)="","",INDEX('Per Invoice'!W$2:W$401,$X282)))</f>
        <v/>
      </c>
      <c r="X282" s="16">
        <f>IFERROR(MATCH(Settings!$C$33&amp;"|"&amp;ROWS($X$2:$X282),'Per Invoice'!$Y$2:$Y$401,0),"")</f>
        <v/>
      </c>
    </row>
    <row r="283">
      <c r="A283">
        <f>IF($X283="","",IF(INDEX('Per Invoice'!A$2:A$401,$X283)="","",INDEX('Per Invoice'!A$2:A$401,$X283)))</f>
        <v/>
      </c>
      <c r="B283">
        <f>IF($X283="","",IF(INDEX('Per Invoice'!B$2:B$401,$X283)="","",INDEX('Per Invoice'!B$2:B$401,$X283)))</f>
        <v/>
      </c>
      <c r="C283">
        <f>IF($X283="","",IF(INDEX('Per Invoice'!C$2:C$401,$X283)="","",INDEX('Per Invoice'!C$2:C$401,$X283)))</f>
        <v/>
      </c>
      <c r="D283">
        <f>IF($X283="","",IF(INDEX('Per Invoice'!D$2:D$401,$X283)="","",INDEX('Per Invoice'!D$2:D$401,$X283)))</f>
        <v/>
      </c>
      <c r="E283">
        <f>IF($X283="","",IF(INDEX('Per Invoice'!E$2:E$401,$X283)="","",INDEX('Per Invoice'!E$2:E$401,$X283)))</f>
        <v/>
      </c>
      <c r="F283">
        <f>IF($X283="","",IF(INDEX('Per Invoice'!F$2:F$401,$X283)="","",INDEX('Per Invoice'!F$2:F$401,$X283)))</f>
        <v/>
      </c>
      <c r="G283">
        <f>IF($X283="","",IF(INDEX('Per Invoice'!G$2:G$401,$X283)="","",INDEX('Per Invoice'!G$2:G$401,$X283)))</f>
        <v/>
      </c>
      <c r="H283">
        <f>IF($X283="","",IF(INDEX('Per Invoice'!H$2:H$401,$X283)="","",INDEX('Per Invoice'!H$2:H$401,$X283)))</f>
        <v/>
      </c>
      <c r="I283">
        <f>IF($X283="","",IF(INDEX('Per Invoice'!I$2:I$401,$X283)="","",INDEX('Per Invoice'!I$2:I$401,$X283)))</f>
        <v/>
      </c>
      <c r="J283">
        <f>IF($X283="","",IF(INDEX('Per Invoice'!J$2:J$401,$X283)="","",INDEX('Per Invoice'!J$2:J$401,$X283)))</f>
        <v/>
      </c>
      <c r="K283" s="14">
        <f>IF($X283="","",IF(INDEX('Per Invoice'!K$2:K$401,$X283)="","",INDEX('Per Invoice'!K$2:K$401,$X283)))</f>
        <v/>
      </c>
      <c r="L283">
        <f>IF($X283="","",IF(INDEX('Per Invoice'!L$2:L$401,$X283)="","",INDEX('Per Invoice'!L$2:L$401,$X283)))</f>
        <v/>
      </c>
      <c r="M283" s="7">
        <f>IF($X283="","",IF(INDEX('Per Invoice'!M$2:M$401,$X283)="","",INDEX('Per Invoice'!M$2:M$401,$X283)))</f>
        <v/>
      </c>
      <c r="N283">
        <f>IF($X283="","",IF(INDEX('Per Invoice'!N$2:N$401,$X283)="","",INDEX('Per Invoice'!N$2:N$401,$X283)))</f>
        <v/>
      </c>
      <c r="O283" s="7">
        <f>IF($X283="","",IF(INDEX('Per Invoice'!O$2:O$401,$X283)="","",INDEX('Per Invoice'!O$2:O$401,$X283)))</f>
        <v/>
      </c>
      <c r="P283" s="7">
        <f>IF($X283="","",IF(INDEX('Per Invoice'!P$2:P$401,$X283)="","",INDEX('Per Invoice'!P$2:P$401,$X283)))</f>
        <v/>
      </c>
      <c r="Q283">
        <f>IF($X283="","",IF(INDEX('Per Invoice'!Q$2:Q$401,$X283)="","",INDEX('Per Invoice'!Q$2:Q$401,$X283)))</f>
        <v/>
      </c>
      <c r="R283" s="7">
        <f>IF($X283="","",IF(INDEX('Per Invoice'!R$2:R$401,$X283)="","",INDEX('Per Invoice'!R$2:R$401,$X283)))</f>
        <v/>
      </c>
      <c r="S283" s="7">
        <f>IF($X283="","",IF(INDEX('Per Invoice'!S$2:S$401,$X283)="","",INDEX('Per Invoice'!S$2:S$401,$X283)))</f>
        <v/>
      </c>
      <c r="T283" s="7">
        <f>IF($X283="","",IF(INDEX('Per Invoice'!T$2:T$401,$X283)="","",INDEX('Per Invoice'!T$2:T$401,$X283)))</f>
        <v/>
      </c>
      <c r="U283" s="7">
        <f>IF($X283="","",IF(INDEX('Per Invoice'!U$2:U$401,$X283)="","",INDEX('Per Invoice'!U$2:U$401,$X283)))</f>
        <v/>
      </c>
      <c r="V283" s="7">
        <f>IF($X283="","",IF(INDEX('Per Invoice'!V$2:V$401,$X283)="","",INDEX('Per Invoice'!V$2:V$401,$X283)))</f>
        <v/>
      </c>
      <c r="W283" s="7">
        <f>IF($X283="","",IF(INDEX('Per Invoice'!W$2:W$401,$X283)="","",INDEX('Per Invoice'!W$2:W$401,$X283)))</f>
        <v/>
      </c>
      <c r="X283" s="16">
        <f>IFERROR(MATCH(Settings!$C$33&amp;"|"&amp;ROWS($X$2:$X283),'Per Invoice'!$Y$2:$Y$401,0),"")</f>
        <v/>
      </c>
    </row>
    <row r="284">
      <c r="A284">
        <f>IF($X284="","",IF(INDEX('Per Invoice'!A$2:A$401,$X284)="","",INDEX('Per Invoice'!A$2:A$401,$X284)))</f>
        <v/>
      </c>
      <c r="B284">
        <f>IF($X284="","",IF(INDEX('Per Invoice'!B$2:B$401,$X284)="","",INDEX('Per Invoice'!B$2:B$401,$X284)))</f>
        <v/>
      </c>
      <c r="C284">
        <f>IF($X284="","",IF(INDEX('Per Invoice'!C$2:C$401,$X284)="","",INDEX('Per Invoice'!C$2:C$401,$X284)))</f>
        <v/>
      </c>
      <c r="D284">
        <f>IF($X284="","",IF(INDEX('Per Invoice'!D$2:D$401,$X284)="","",INDEX('Per Invoice'!D$2:D$401,$X284)))</f>
        <v/>
      </c>
      <c r="E284">
        <f>IF($X284="","",IF(INDEX('Per Invoice'!E$2:E$401,$X284)="","",INDEX('Per Invoice'!E$2:E$401,$X284)))</f>
        <v/>
      </c>
      <c r="F284">
        <f>IF($X284="","",IF(INDEX('Per Invoice'!F$2:F$401,$X284)="","",INDEX('Per Invoice'!F$2:F$401,$X284)))</f>
        <v/>
      </c>
      <c r="G284">
        <f>IF($X284="","",IF(INDEX('Per Invoice'!G$2:G$401,$X284)="","",INDEX('Per Invoice'!G$2:G$401,$X284)))</f>
        <v/>
      </c>
      <c r="H284">
        <f>IF($X284="","",IF(INDEX('Per Invoice'!H$2:H$401,$X284)="","",INDEX('Per Invoice'!H$2:H$401,$X284)))</f>
        <v/>
      </c>
      <c r="I284">
        <f>IF($X284="","",IF(INDEX('Per Invoice'!I$2:I$401,$X284)="","",INDEX('Per Invoice'!I$2:I$401,$X284)))</f>
        <v/>
      </c>
      <c r="J284">
        <f>IF($X284="","",IF(INDEX('Per Invoice'!J$2:J$401,$X284)="","",INDEX('Per Invoice'!J$2:J$401,$X284)))</f>
        <v/>
      </c>
      <c r="K284" s="14">
        <f>IF($X284="","",IF(INDEX('Per Invoice'!K$2:K$401,$X284)="","",INDEX('Per Invoice'!K$2:K$401,$X284)))</f>
        <v/>
      </c>
      <c r="L284">
        <f>IF($X284="","",IF(INDEX('Per Invoice'!L$2:L$401,$X284)="","",INDEX('Per Invoice'!L$2:L$401,$X284)))</f>
        <v/>
      </c>
      <c r="M284" s="7">
        <f>IF($X284="","",IF(INDEX('Per Invoice'!M$2:M$401,$X284)="","",INDEX('Per Invoice'!M$2:M$401,$X284)))</f>
        <v/>
      </c>
      <c r="N284">
        <f>IF($X284="","",IF(INDEX('Per Invoice'!N$2:N$401,$X284)="","",INDEX('Per Invoice'!N$2:N$401,$X284)))</f>
        <v/>
      </c>
      <c r="O284" s="7">
        <f>IF($X284="","",IF(INDEX('Per Invoice'!O$2:O$401,$X284)="","",INDEX('Per Invoice'!O$2:O$401,$X284)))</f>
        <v/>
      </c>
      <c r="P284" s="7">
        <f>IF($X284="","",IF(INDEX('Per Invoice'!P$2:P$401,$X284)="","",INDEX('Per Invoice'!P$2:P$401,$X284)))</f>
        <v/>
      </c>
      <c r="Q284">
        <f>IF($X284="","",IF(INDEX('Per Invoice'!Q$2:Q$401,$X284)="","",INDEX('Per Invoice'!Q$2:Q$401,$X284)))</f>
        <v/>
      </c>
      <c r="R284" s="7">
        <f>IF($X284="","",IF(INDEX('Per Invoice'!R$2:R$401,$X284)="","",INDEX('Per Invoice'!R$2:R$401,$X284)))</f>
        <v/>
      </c>
      <c r="S284" s="7">
        <f>IF($X284="","",IF(INDEX('Per Invoice'!S$2:S$401,$X284)="","",INDEX('Per Invoice'!S$2:S$401,$X284)))</f>
        <v/>
      </c>
      <c r="T284" s="7">
        <f>IF($X284="","",IF(INDEX('Per Invoice'!T$2:T$401,$X284)="","",INDEX('Per Invoice'!T$2:T$401,$X284)))</f>
        <v/>
      </c>
      <c r="U284" s="7">
        <f>IF($X284="","",IF(INDEX('Per Invoice'!U$2:U$401,$X284)="","",INDEX('Per Invoice'!U$2:U$401,$X284)))</f>
        <v/>
      </c>
      <c r="V284" s="7">
        <f>IF($X284="","",IF(INDEX('Per Invoice'!V$2:V$401,$X284)="","",INDEX('Per Invoice'!V$2:V$401,$X284)))</f>
        <v/>
      </c>
      <c r="W284" s="7">
        <f>IF($X284="","",IF(INDEX('Per Invoice'!W$2:W$401,$X284)="","",INDEX('Per Invoice'!W$2:W$401,$X284)))</f>
        <v/>
      </c>
      <c r="X284" s="16">
        <f>IFERROR(MATCH(Settings!$C$33&amp;"|"&amp;ROWS($X$2:$X284),'Per Invoice'!$Y$2:$Y$401,0),"")</f>
        <v/>
      </c>
    </row>
    <row r="285">
      <c r="A285">
        <f>IF($X285="","",IF(INDEX('Per Invoice'!A$2:A$401,$X285)="","",INDEX('Per Invoice'!A$2:A$401,$X285)))</f>
        <v/>
      </c>
      <c r="B285">
        <f>IF($X285="","",IF(INDEX('Per Invoice'!B$2:B$401,$X285)="","",INDEX('Per Invoice'!B$2:B$401,$X285)))</f>
        <v/>
      </c>
      <c r="C285">
        <f>IF($X285="","",IF(INDEX('Per Invoice'!C$2:C$401,$X285)="","",INDEX('Per Invoice'!C$2:C$401,$X285)))</f>
        <v/>
      </c>
      <c r="D285">
        <f>IF($X285="","",IF(INDEX('Per Invoice'!D$2:D$401,$X285)="","",INDEX('Per Invoice'!D$2:D$401,$X285)))</f>
        <v/>
      </c>
      <c r="E285">
        <f>IF($X285="","",IF(INDEX('Per Invoice'!E$2:E$401,$X285)="","",INDEX('Per Invoice'!E$2:E$401,$X285)))</f>
        <v/>
      </c>
      <c r="F285">
        <f>IF($X285="","",IF(INDEX('Per Invoice'!F$2:F$401,$X285)="","",INDEX('Per Invoice'!F$2:F$401,$X285)))</f>
        <v/>
      </c>
      <c r="G285">
        <f>IF($X285="","",IF(INDEX('Per Invoice'!G$2:G$401,$X285)="","",INDEX('Per Invoice'!G$2:G$401,$X285)))</f>
        <v/>
      </c>
      <c r="H285">
        <f>IF($X285="","",IF(INDEX('Per Invoice'!H$2:H$401,$X285)="","",INDEX('Per Invoice'!H$2:H$401,$X285)))</f>
        <v/>
      </c>
      <c r="I285">
        <f>IF($X285="","",IF(INDEX('Per Invoice'!I$2:I$401,$X285)="","",INDEX('Per Invoice'!I$2:I$401,$X285)))</f>
        <v/>
      </c>
      <c r="J285">
        <f>IF($X285="","",IF(INDEX('Per Invoice'!J$2:J$401,$X285)="","",INDEX('Per Invoice'!J$2:J$401,$X285)))</f>
        <v/>
      </c>
      <c r="K285" s="14">
        <f>IF($X285="","",IF(INDEX('Per Invoice'!K$2:K$401,$X285)="","",INDEX('Per Invoice'!K$2:K$401,$X285)))</f>
        <v/>
      </c>
      <c r="L285">
        <f>IF($X285="","",IF(INDEX('Per Invoice'!L$2:L$401,$X285)="","",INDEX('Per Invoice'!L$2:L$401,$X285)))</f>
        <v/>
      </c>
      <c r="M285" s="7">
        <f>IF($X285="","",IF(INDEX('Per Invoice'!M$2:M$401,$X285)="","",INDEX('Per Invoice'!M$2:M$401,$X285)))</f>
        <v/>
      </c>
      <c r="N285">
        <f>IF($X285="","",IF(INDEX('Per Invoice'!N$2:N$401,$X285)="","",INDEX('Per Invoice'!N$2:N$401,$X285)))</f>
        <v/>
      </c>
      <c r="O285" s="7">
        <f>IF($X285="","",IF(INDEX('Per Invoice'!O$2:O$401,$X285)="","",INDEX('Per Invoice'!O$2:O$401,$X285)))</f>
        <v/>
      </c>
      <c r="P285" s="7">
        <f>IF($X285="","",IF(INDEX('Per Invoice'!P$2:P$401,$X285)="","",INDEX('Per Invoice'!P$2:P$401,$X285)))</f>
        <v/>
      </c>
      <c r="Q285">
        <f>IF($X285="","",IF(INDEX('Per Invoice'!Q$2:Q$401,$X285)="","",INDEX('Per Invoice'!Q$2:Q$401,$X285)))</f>
        <v/>
      </c>
      <c r="R285" s="7">
        <f>IF($X285="","",IF(INDEX('Per Invoice'!R$2:R$401,$X285)="","",INDEX('Per Invoice'!R$2:R$401,$X285)))</f>
        <v/>
      </c>
      <c r="S285" s="7">
        <f>IF($X285="","",IF(INDEX('Per Invoice'!S$2:S$401,$X285)="","",INDEX('Per Invoice'!S$2:S$401,$X285)))</f>
        <v/>
      </c>
      <c r="T285" s="7">
        <f>IF($X285="","",IF(INDEX('Per Invoice'!T$2:T$401,$X285)="","",INDEX('Per Invoice'!T$2:T$401,$X285)))</f>
        <v/>
      </c>
      <c r="U285" s="7">
        <f>IF($X285="","",IF(INDEX('Per Invoice'!U$2:U$401,$X285)="","",INDEX('Per Invoice'!U$2:U$401,$X285)))</f>
        <v/>
      </c>
      <c r="V285" s="7">
        <f>IF($X285="","",IF(INDEX('Per Invoice'!V$2:V$401,$X285)="","",INDEX('Per Invoice'!V$2:V$401,$X285)))</f>
        <v/>
      </c>
      <c r="W285" s="7">
        <f>IF($X285="","",IF(INDEX('Per Invoice'!W$2:W$401,$X285)="","",INDEX('Per Invoice'!W$2:W$401,$X285)))</f>
        <v/>
      </c>
      <c r="X285" s="16">
        <f>IFERROR(MATCH(Settings!$C$33&amp;"|"&amp;ROWS($X$2:$X285),'Per Invoice'!$Y$2:$Y$401,0),"")</f>
        <v/>
      </c>
    </row>
    <row r="286">
      <c r="A286">
        <f>IF($X286="","",IF(INDEX('Per Invoice'!A$2:A$401,$X286)="","",INDEX('Per Invoice'!A$2:A$401,$X286)))</f>
        <v/>
      </c>
      <c r="B286">
        <f>IF($X286="","",IF(INDEX('Per Invoice'!B$2:B$401,$X286)="","",INDEX('Per Invoice'!B$2:B$401,$X286)))</f>
        <v/>
      </c>
      <c r="C286">
        <f>IF($X286="","",IF(INDEX('Per Invoice'!C$2:C$401,$X286)="","",INDEX('Per Invoice'!C$2:C$401,$X286)))</f>
        <v/>
      </c>
      <c r="D286">
        <f>IF($X286="","",IF(INDEX('Per Invoice'!D$2:D$401,$X286)="","",INDEX('Per Invoice'!D$2:D$401,$X286)))</f>
        <v/>
      </c>
      <c r="E286">
        <f>IF($X286="","",IF(INDEX('Per Invoice'!E$2:E$401,$X286)="","",INDEX('Per Invoice'!E$2:E$401,$X286)))</f>
        <v/>
      </c>
      <c r="F286">
        <f>IF($X286="","",IF(INDEX('Per Invoice'!F$2:F$401,$X286)="","",INDEX('Per Invoice'!F$2:F$401,$X286)))</f>
        <v/>
      </c>
      <c r="G286">
        <f>IF($X286="","",IF(INDEX('Per Invoice'!G$2:G$401,$X286)="","",INDEX('Per Invoice'!G$2:G$401,$X286)))</f>
        <v/>
      </c>
      <c r="H286">
        <f>IF($X286="","",IF(INDEX('Per Invoice'!H$2:H$401,$X286)="","",INDEX('Per Invoice'!H$2:H$401,$X286)))</f>
        <v/>
      </c>
      <c r="I286">
        <f>IF($X286="","",IF(INDEX('Per Invoice'!I$2:I$401,$X286)="","",INDEX('Per Invoice'!I$2:I$401,$X286)))</f>
        <v/>
      </c>
      <c r="J286">
        <f>IF($X286="","",IF(INDEX('Per Invoice'!J$2:J$401,$X286)="","",INDEX('Per Invoice'!J$2:J$401,$X286)))</f>
        <v/>
      </c>
      <c r="K286" s="14">
        <f>IF($X286="","",IF(INDEX('Per Invoice'!K$2:K$401,$X286)="","",INDEX('Per Invoice'!K$2:K$401,$X286)))</f>
        <v/>
      </c>
      <c r="L286">
        <f>IF($X286="","",IF(INDEX('Per Invoice'!L$2:L$401,$X286)="","",INDEX('Per Invoice'!L$2:L$401,$X286)))</f>
        <v/>
      </c>
      <c r="M286" s="7">
        <f>IF($X286="","",IF(INDEX('Per Invoice'!M$2:M$401,$X286)="","",INDEX('Per Invoice'!M$2:M$401,$X286)))</f>
        <v/>
      </c>
      <c r="N286">
        <f>IF($X286="","",IF(INDEX('Per Invoice'!N$2:N$401,$X286)="","",INDEX('Per Invoice'!N$2:N$401,$X286)))</f>
        <v/>
      </c>
      <c r="O286" s="7">
        <f>IF($X286="","",IF(INDEX('Per Invoice'!O$2:O$401,$X286)="","",INDEX('Per Invoice'!O$2:O$401,$X286)))</f>
        <v/>
      </c>
      <c r="P286" s="7">
        <f>IF($X286="","",IF(INDEX('Per Invoice'!P$2:P$401,$X286)="","",INDEX('Per Invoice'!P$2:P$401,$X286)))</f>
        <v/>
      </c>
      <c r="Q286">
        <f>IF($X286="","",IF(INDEX('Per Invoice'!Q$2:Q$401,$X286)="","",INDEX('Per Invoice'!Q$2:Q$401,$X286)))</f>
        <v/>
      </c>
      <c r="R286" s="7">
        <f>IF($X286="","",IF(INDEX('Per Invoice'!R$2:R$401,$X286)="","",INDEX('Per Invoice'!R$2:R$401,$X286)))</f>
        <v/>
      </c>
      <c r="S286" s="7">
        <f>IF($X286="","",IF(INDEX('Per Invoice'!S$2:S$401,$X286)="","",INDEX('Per Invoice'!S$2:S$401,$X286)))</f>
        <v/>
      </c>
      <c r="T286" s="7">
        <f>IF($X286="","",IF(INDEX('Per Invoice'!T$2:T$401,$X286)="","",INDEX('Per Invoice'!T$2:T$401,$X286)))</f>
        <v/>
      </c>
      <c r="U286" s="7">
        <f>IF($X286="","",IF(INDEX('Per Invoice'!U$2:U$401,$X286)="","",INDEX('Per Invoice'!U$2:U$401,$X286)))</f>
        <v/>
      </c>
      <c r="V286" s="7">
        <f>IF($X286="","",IF(INDEX('Per Invoice'!V$2:V$401,$X286)="","",INDEX('Per Invoice'!V$2:V$401,$X286)))</f>
        <v/>
      </c>
      <c r="W286" s="7">
        <f>IF($X286="","",IF(INDEX('Per Invoice'!W$2:W$401,$X286)="","",INDEX('Per Invoice'!W$2:W$401,$X286)))</f>
        <v/>
      </c>
      <c r="X286" s="16">
        <f>IFERROR(MATCH(Settings!$C$33&amp;"|"&amp;ROWS($X$2:$X286),'Per Invoice'!$Y$2:$Y$401,0),"")</f>
        <v/>
      </c>
    </row>
    <row r="287">
      <c r="A287">
        <f>IF($X287="","",IF(INDEX('Per Invoice'!A$2:A$401,$X287)="","",INDEX('Per Invoice'!A$2:A$401,$X287)))</f>
        <v/>
      </c>
      <c r="B287">
        <f>IF($X287="","",IF(INDEX('Per Invoice'!B$2:B$401,$X287)="","",INDEX('Per Invoice'!B$2:B$401,$X287)))</f>
        <v/>
      </c>
      <c r="C287">
        <f>IF($X287="","",IF(INDEX('Per Invoice'!C$2:C$401,$X287)="","",INDEX('Per Invoice'!C$2:C$401,$X287)))</f>
        <v/>
      </c>
      <c r="D287">
        <f>IF($X287="","",IF(INDEX('Per Invoice'!D$2:D$401,$X287)="","",INDEX('Per Invoice'!D$2:D$401,$X287)))</f>
        <v/>
      </c>
      <c r="E287">
        <f>IF($X287="","",IF(INDEX('Per Invoice'!E$2:E$401,$X287)="","",INDEX('Per Invoice'!E$2:E$401,$X287)))</f>
        <v/>
      </c>
      <c r="F287">
        <f>IF($X287="","",IF(INDEX('Per Invoice'!F$2:F$401,$X287)="","",INDEX('Per Invoice'!F$2:F$401,$X287)))</f>
        <v/>
      </c>
      <c r="G287">
        <f>IF($X287="","",IF(INDEX('Per Invoice'!G$2:G$401,$X287)="","",INDEX('Per Invoice'!G$2:G$401,$X287)))</f>
        <v/>
      </c>
      <c r="H287">
        <f>IF($X287="","",IF(INDEX('Per Invoice'!H$2:H$401,$X287)="","",INDEX('Per Invoice'!H$2:H$401,$X287)))</f>
        <v/>
      </c>
      <c r="I287">
        <f>IF($X287="","",IF(INDEX('Per Invoice'!I$2:I$401,$X287)="","",INDEX('Per Invoice'!I$2:I$401,$X287)))</f>
        <v/>
      </c>
      <c r="J287">
        <f>IF($X287="","",IF(INDEX('Per Invoice'!J$2:J$401,$X287)="","",INDEX('Per Invoice'!J$2:J$401,$X287)))</f>
        <v/>
      </c>
      <c r="K287" s="14">
        <f>IF($X287="","",IF(INDEX('Per Invoice'!K$2:K$401,$X287)="","",INDEX('Per Invoice'!K$2:K$401,$X287)))</f>
        <v/>
      </c>
      <c r="L287">
        <f>IF($X287="","",IF(INDEX('Per Invoice'!L$2:L$401,$X287)="","",INDEX('Per Invoice'!L$2:L$401,$X287)))</f>
        <v/>
      </c>
      <c r="M287" s="7">
        <f>IF($X287="","",IF(INDEX('Per Invoice'!M$2:M$401,$X287)="","",INDEX('Per Invoice'!M$2:M$401,$X287)))</f>
        <v/>
      </c>
      <c r="N287">
        <f>IF($X287="","",IF(INDEX('Per Invoice'!N$2:N$401,$X287)="","",INDEX('Per Invoice'!N$2:N$401,$X287)))</f>
        <v/>
      </c>
      <c r="O287" s="7">
        <f>IF($X287="","",IF(INDEX('Per Invoice'!O$2:O$401,$X287)="","",INDEX('Per Invoice'!O$2:O$401,$X287)))</f>
        <v/>
      </c>
      <c r="P287" s="7">
        <f>IF($X287="","",IF(INDEX('Per Invoice'!P$2:P$401,$X287)="","",INDEX('Per Invoice'!P$2:P$401,$X287)))</f>
        <v/>
      </c>
      <c r="Q287">
        <f>IF($X287="","",IF(INDEX('Per Invoice'!Q$2:Q$401,$X287)="","",INDEX('Per Invoice'!Q$2:Q$401,$X287)))</f>
        <v/>
      </c>
      <c r="R287" s="7">
        <f>IF($X287="","",IF(INDEX('Per Invoice'!R$2:R$401,$X287)="","",INDEX('Per Invoice'!R$2:R$401,$X287)))</f>
        <v/>
      </c>
      <c r="S287" s="7">
        <f>IF($X287="","",IF(INDEX('Per Invoice'!S$2:S$401,$X287)="","",INDEX('Per Invoice'!S$2:S$401,$X287)))</f>
        <v/>
      </c>
      <c r="T287" s="7">
        <f>IF($X287="","",IF(INDEX('Per Invoice'!T$2:T$401,$X287)="","",INDEX('Per Invoice'!T$2:T$401,$X287)))</f>
        <v/>
      </c>
      <c r="U287" s="7">
        <f>IF($X287="","",IF(INDEX('Per Invoice'!U$2:U$401,$X287)="","",INDEX('Per Invoice'!U$2:U$401,$X287)))</f>
        <v/>
      </c>
      <c r="V287" s="7">
        <f>IF($X287="","",IF(INDEX('Per Invoice'!V$2:V$401,$X287)="","",INDEX('Per Invoice'!V$2:V$401,$X287)))</f>
        <v/>
      </c>
      <c r="W287" s="7">
        <f>IF($X287="","",IF(INDEX('Per Invoice'!W$2:W$401,$X287)="","",INDEX('Per Invoice'!W$2:W$401,$X287)))</f>
        <v/>
      </c>
      <c r="X287" s="16">
        <f>IFERROR(MATCH(Settings!$C$33&amp;"|"&amp;ROWS($X$2:$X287),'Per Invoice'!$Y$2:$Y$401,0),"")</f>
        <v/>
      </c>
    </row>
    <row r="288">
      <c r="A288">
        <f>IF($X288="","",IF(INDEX('Per Invoice'!A$2:A$401,$X288)="","",INDEX('Per Invoice'!A$2:A$401,$X288)))</f>
        <v/>
      </c>
      <c r="B288">
        <f>IF($X288="","",IF(INDEX('Per Invoice'!B$2:B$401,$X288)="","",INDEX('Per Invoice'!B$2:B$401,$X288)))</f>
        <v/>
      </c>
      <c r="C288">
        <f>IF($X288="","",IF(INDEX('Per Invoice'!C$2:C$401,$X288)="","",INDEX('Per Invoice'!C$2:C$401,$X288)))</f>
        <v/>
      </c>
      <c r="D288">
        <f>IF($X288="","",IF(INDEX('Per Invoice'!D$2:D$401,$X288)="","",INDEX('Per Invoice'!D$2:D$401,$X288)))</f>
        <v/>
      </c>
      <c r="E288">
        <f>IF($X288="","",IF(INDEX('Per Invoice'!E$2:E$401,$X288)="","",INDEX('Per Invoice'!E$2:E$401,$X288)))</f>
        <v/>
      </c>
      <c r="F288">
        <f>IF($X288="","",IF(INDEX('Per Invoice'!F$2:F$401,$X288)="","",INDEX('Per Invoice'!F$2:F$401,$X288)))</f>
        <v/>
      </c>
      <c r="G288">
        <f>IF($X288="","",IF(INDEX('Per Invoice'!G$2:G$401,$X288)="","",INDEX('Per Invoice'!G$2:G$401,$X288)))</f>
        <v/>
      </c>
      <c r="H288">
        <f>IF($X288="","",IF(INDEX('Per Invoice'!H$2:H$401,$X288)="","",INDEX('Per Invoice'!H$2:H$401,$X288)))</f>
        <v/>
      </c>
      <c r="I288">
        <f>IF($X288="","",IF(INDEX('Per Invoice'!I$2:I$401,$X288)="","",INDEX('Per Invoice'!I$2:I$401,$X288)))</f>
        <v/>
      </c>
      <c r="J288">
        <f>IF($X288="","",IF(INDEX('Per Invoice'!J$2:J$401,$X288)="","",INDEX('Per Invoice'!J$2:J$401,$X288)))</f>
        <v/>
      </c>
      <c r="K288" s="14">
        <f>IF($X288="","",IF(INDEX('Per Invoice'!K$2:K$401,$X288)="","",INDEX('Per Invoice'!K$2:K$401,$X288)))</f>
        <v/>
      </c>
      <c r="L288">
        <f>IF($X288="","",IF(INDEX('Per Invoice'!L$2:L$401,$X288)="","",INDEX('Per Invoice'!L$2:L$401,$X288)))</f>
        <v/>
      </c>
      <c r="M288" s="7">
        <f>IF($X288="","",IF(INDEX('Per Invoice'!M$2:M$401,$X288)="","",INDEX('Per Invoice'!M$2:M$401,$X288)))</f>
        <v/>
      </c>
      <c r="N288">
        <f>IF($X288="","",IF(INDEX('Per Invoice'!N$2:N$401,$X288)="","",INDEX('Per Invoice'!N$2:N$401,$X288)))</f>
        <v/>
      </c>
      <c r="O288" s="7">
        <f>IF($X288="","",IF(INDEX('Per Invoice'!O$2:O$401,$X288)="","",INDEX('Per Invoice'!O$2:O$401,$X288)))</f>
        <v/>
      </c>
      <c r="P288" s="7">
        <f>IF($X288="","",IF(INDEX('Per Invoice'!P$2:P$401,$X288)="","",INDEX('Per Invoice'!P$2:P$401,$X288)))</f>
        <v/>
      </c>
      <c r="Q288">
        <f>IF($X288="","",IF(INDEX('Per Invoice'!Q$2:Q$401,$X288)="","",INDEX('Per Invoice'!Q$2:Q$401,$X288)))</f>
        <v/>
      </c>
      <c r="R288" s="7">
        <f>IF($X288="","",IF(INDEX('Per Invoice'!R$2:R$401,$X288)="","",INDEX('Per Invoice'!R$2:R$401,$X288)))</f>
        <v/>
      </c>
      <c r="S288" s="7">
        <f>IF($X288="","",IF(INDEX('Per Invoice'!S$2:S$401,$X288)="","",INDEX('Per Invoice'!S$2:S$401,$X288)))</f>
        <v/>
      </c>
      <c r="T288" s="7">
        <f>IF($X288="","",IF(INDEX('Per Invoice'!T$2:T$401,$X288)="","",INDEX('Per Invoice'!T$2:T$401,$X288)))</f>
        <v/>
      </c>
      <c r="U288" s="7">
        <f>IF($X288="","",IF(INDEX('Per Invoice'!U$2:U$401,$X288)="","",INDEX('Per Invoice'!U$2:U$401,$X288)))</f>
        <v/>
      </c>
      <c r="V288" s="7">
        <f>IF($X288="","",IF(INDEX('Per Invoice'!V$2:V$401,$X288)="","",INDEX('Per Invoice'!V$2:V$401,$X288)))</f>
        <v/>
      </c>
      <c r="W288" s="7">
        <f>IF($X288="","",IF(INDEX('Per Invoice'!W$2:W$401,$X288)="","",INDEX('Per Invoice'!W$2:W$401,$X288)))</f>
        <v/>
      </c>
      <c r="X288" s="16">
        <f>IFERROR(MATCH(Settings!$C$33&amp;"|"&amp;ROWS($X$2:$X288),'Per Invoice'!$Y$2:$Y$401,0),"")</f>
        <v/>
      </c>
    </row>
    <row r="289">
      <c r="A289">
        <f>IF($X289="","",IF(INDEX('Per Invoice'!A$2:A$401,$X289)="","",INDEX('Per Invoice'!A$2:A$401,$X289)))</f>
        <v/>
      </c>
      <c r="B289">
        <f>IF($X289="","",IF(INDEX('Per Invoice'!B$2:B$401,$X289)="","",INDEX('Per Invoice'!B$2:B$401,$X289)))</f>
        <v/>
      </c>
      <c r="C289">
        <f>IF($X289="","",IF(INDEX('Per Invoice'!C$2:C$401,$X289)="","",INDEX('Per Invoice'!C$2:C$401,$X289)))</f>
        <v/>
      </c>
      <c r="D289">
        <f>IF($X289="","",IF(INDEX('Per Invoice'!D$2:D$401,$X289)="","",INDEX('Per Invoice'!D$2:D$401,$X289)))</f>
        <v/>
      </c>
      <c r="E289">
        <f>IF($X289="","",IF(INDEX('Per Invoice'!E$2:E$401,$X289)="","",INDEX('Per Invoice'!E$2:E$401,$X289)))</f>
        <v/>
      </c>
      <c r="F289">
        <f>IF($X289="","",IF(INDEX('Per Invoice'!F$2:F$401,$X289)="","",INDEX('Per Invoice'!F$2:F$401,$X289)))</f>
        <v/>
      </c>
      <c r="G289">
        <f>IF($X289="","",IF(INDEX('Per Invoice'!G$2:G$401,$X289)="","",INDEX('Per Invoice'!G$2:G$401,$X289)))</f>
        <v/>
      </c>
      <c r="H289">
        <f>IF($X289="","",IF(INDEX('Per Invoice'!H$2:H$401,$X289)="","",INDEX('Per Invoice'!H$2:H$401,$X289)))</f>
        <v/>
      </c>
      <c r="I289">
        <f>IF($X289="","",IF(INDEX('Per Invoice'!I$2:I$401,$X289)="","",INDEX('Per Invoice'!I$2:I$401,$X289)))</f>
        <v/>
      </c>
      <c r="J289">
        <f>IF($X289="","",IF(INDEX('Per Invoice'!J$2:J$401,$X289)="","",INDEX('Per Invoice'!J$2:J$401,$X289)))</f>
        <v/>
      </c>
      <c r="K289" s="14">
        <f>IF($X289="","",IF(INDEX('Per Invoice'!K$2:K$401,$X289)="","",INDEX('Per Invoice'!K$2:K$401,$X289)))</f>
        <v/>
      </c>
      <c r="L289">
        <f>IF($X289="","",IF(INDEX('Per Invoice'!L$2:L$401,$X289)="","",INDEX('Per Invoice'!L$2:L$401,$X289)))</f>
        <v/>
      </c>
      <c r="M289" s="7">
        <f>IF($X289="","",IF(INDEX('Per Invoice'!M$2:M$401,$X289)="","",INDEX('Per Invoice'!M$2:M$401,$X289)))</f>
        <v/>
      </c>
      <c r="N289">
        <f>IF($X289="","",IF(INDEX('Per Invoice'!N$2:N$401,$X289)="","",INDEX('Per Invoice'!N$2:N$401,$X289)))</f>
        <v/>
      </c>
      <c r="O289" s="7">
        <f>IF($X289="","",IF(INDEX('Per Invoice'!O$2:O$401,$X289)="","",INDEX('Per Invoice'!O$2:O$401,$X289)))</f>
        <v/>
      </c>
      <c r="P289" s="7">
        <f>IF($X289="","",IF(INDEX('Per Invoice'!P$2:P$401,$X289)="","",INDEX('Per Invoice'!P$2:P$401,$X289)))</f>
        <v/>
      </c>
      <c r="Q289">
        <f>IF($X289="","",IF(INDEX('Per Invoice'!Q$2:Q$401,$X289)="","",INDEX('Per Invoice'!Q$2:Q$401,$X289)))</f>
        <v/>
      </c>
      <c r="R289" s="7">
        <f>IF($X289="","",IF(INDEX('Per Invoice'!R$2:R$401,$X289)="","",INDEX('Per Invoice'!R$2:R$401,$X289)))</f>
        <v/>
      </c>
      <c r="S289" s="7">
        <f>IF($X289="","",IF(INDEX('Per Invoice'!S$2:S$401,$X289)="","",INDEX('Per Invoice'!S$2:S$401,$X289)))</f>
        <v/>
      </c>
      <c r="T289" s="7">
        <f>IF($X289="","",IF(INDEX('Per Invoice'!T$2:T$401,$X289)="","",INDEX('Per Invoice'!T$2:T$401,$X289)))</f>
        <v/>
      </c>
      <c r="U289" s="7">
        <f>IF($X289="","",IF(INDEX('Per Invoice'!U$2:U$401,$X289)="","",INDEX('Per Invoice'!U$2:U$401,$X289)))</f>
        <v/>
      </c>
      <c r="V289" s="7">
        <f>IF($X289="","",IF(INDEX('Per Invoice'!V$2:V$401,$X289)="","",INDEX('Per Invoice'!V$2:V$401,$X289)))</f>
        <v/>
      </c>
      <c r="W289" s="7">
        <f>IF($X289="","",IF(INDEX('Per Invoice'!W$2:W$401,$X289)="","",INDEX('Per Invoice'!W$2:W$401,$X289)))</f>
        <v/>
      </c>
      <c r="X289" s="16">
        <f>IFERROR(MATCH(Settings!$C$33&amp;"|"&amp;ROWS($X$2:$X289),'Per Invoice'!$Y$2:$Y$401,0),"")</f>
        <v/>
      </c>
    </row>
    <row r="290">
      <c r="A290">
        <f>IF($X290="","",IF(INDEX('Per Invoice'!A$2:A$401,$X290)="","",INDEX('Per Invoice'!A$2:A$401,$X290)))</f>
        <v/>
      </c>
      <c r="B290">
        <f>IF($X290="","",IF(INDEX('Per Invoice'!B$2:B$401,$X290)="","",INDEX('Per Invoice'!B$2:B$401,$X290)))</f>
        <v/>
      </c>
      <c r="C290">
        <f>IF($X290="","",IF(INDEX('Per Invoice'!C$2:C$401,$X290)="","",INDEX('Per Invoice'!C$2:C$401,$X290)))</f>
        <v/>
      </c>
      <c r="D290">
        <f>IF($X290="","",IF(INDEX('Per Invoice'!D$2:D$401,$X290)="","",INDEX('Per Invoice'!D$2:D$401,$X290)))</f>
        <v/>
      </c>
      <c r="E290">
        <f>IF($X290="","",IF(INDEX('Per Invoice'!E$2:E$401,$X290)="","",INDEX('Per Invoice'!E$2:E$401,$X290)))</f>
        <v/>
      </c>
      <c r="F290">
        <f>IF($X290="","",IF(INDEX('Per Invoice'!F$2:F$401,$X290)="","",INDEX('Per Invoice'!F$2:F$401,$X290)))</f>
        <v/>
      </c>
      <c r="G290">
        <f>IF($X290="","",IF(INDEX('Per Invoice'!G$2:G$401,$X290)="","",INDEX('Per Invoice'!G$2:G$401,$X290)))</f>
        <v/>
      </c>
      <c r="H290">
        <f>IF($X290="","",IF(INDEX('Per Invoice'!H$2:H$401,$X290)="","",INDEX('Per Invoice'!H$2:H$401,$X290)))</f>
        <v/>
      </c>
      <c r="I290">
        <f>IF($X290="","",IF(INDEX('Per Invoice'!I$2:I$401,$X290)="","",INDEX('Per Invoice'!I$2:I$401,$X290)))</f>
        <v/>
      </c>
      <c r="J290">
        <f>IF($X290="","",IF(INDEX('Per Invoice'!J$2:J$401,$X290)="","",INDEX('Per Invoice'!J$2:J$401,$X290)))</f>
        <v/>
      </c>
      <c r="K290" s="14">
        <f>IF($X290="","",IF(INDEX('Per Invoice'!K$2:K$401,$X290)="","",INDEX('Per Invoice'!K$2:K$401,$X290)))</f>
        <v/>
      </c>
      <c r="L290">
        <f>IF($X290="","",IF(INDEX('Per Invoice'!L$2:L$401,$X290)="","",INDEX('Per Invoice'!L$2:L$401,$X290)))</f>
        <v/>
      </c>
      <c r="M290" s="7">
        <f>IF($X290="","",IF(INDEX('Per Invoice'!M$2:M$401,$X290)="","",INDEX('Per Invoice'!M$2:M$401,$X290)))</f>
        <v/>
      </c>
      <c r="N290">
        <f>IF($X290="","",IF(INDEX('Per Invoice'!N$2:N$401,$X290)="","",INDEX('Per Invoice'!N$2:N$401,$X290)))</f>
        <v/>
      </c>
      <c r="O290" s="7">
        <f>IF($X290="","",IF(INDEX('Per Invoice'!O$2:O$401,$X290)="","",INDEX('Per Invoice'!O$2:O$401,$X290)))</f>
        <v/>
      </c>
      <c r="P290" s="7">
        <f>IF($X290="","",IF(INDEX('Per Invoice'!P$2:P$401,$X290)="","",INDEX('Per Invoice'!P$2:P$401,$X290)))</f>
        <v/>
      </c>
      <c r="Q290">
        <f>IF($X290="","",IF(INDEX('Per Invoice'!Q$2:Q$401,$X290)="","",INDEX('Per Invoice'!Q$2:Q$401,$X290)))</f>
        <v/>
      </c>
      <c r="R290" s="7">
        <f>IF($X290="","",IF(INDEX('Per Invoice'!R$2:R$401,$X290)="","",INDEX('Per Invoice'!R$2:R$401,$X290)))</f>
        <v/>
      </c>
      <c r="S290" s="7">
        <f>IF($X290="","",IF(INDEX('Per Invoice'!S$2:S$401,$X290)="","",INDEX('Per Invoice'!S$2:S$401,$X290)))</f>
        <v/>
      </c>
      <c r="T290" s="7">
        <f>IF($X290="","",IF(INDEX('Per Invoice'!T$2:T$401,$X290)="","",INDEX('Per Invoice'!T$2:T$401,$X290)))</f>
        <v/>
      </c>
      <c r="U290" s="7">
        <f>IF($X290="","",IF(INDEX('Per Invoice'!U$2:U$401,$X290)="","",INDEX('Per Invoice'!U$2:U$401,$X290)))</f>
        <v/>
      </c>
      <c r="V290" s="7">
        <f>IF($X290="","",IF(INDEX('Per Invoice'!V$2:V$401,$X290)="","",INDEX('Per Invoice'!V$2:V$401,$X290)))</f>
        <v/>
      </c>
      <c r="W290" s="7">
        <f>IF($X290="","",IF(INDEX('Per Invoice'!W$2:W$401,$X290)="","",INDEX('Per Invoice'!W$2:W$401,$X290)))</f>
        <v/>
      </c>
      <c r="X290" s="16">
        <f>IFERROR(MATCH(Settings!$C$33&amp;"|"&amp;ROWS($X$2:$X290),'Per Invoice'!$Y$2:$Y$401,0),"")</f>
        <v/>
      </c>
    </row>
    <row r="291">
      <c r="A291">
        <f>IF($X291="","",IF(INDEX('Per Invoice'!A$2:A$401,$X291)="","",INDEX('Per Invoice'!A$2:A$401,$X291)))</f>
        <v/>
      </c>
      <c r="B291">
        <f>IF($X291="","",IF(INDEX('Per Invoice'!B$2:B$401,$X291)="","",INDEX('Per Invoice'!B$2:B$401,$X291)))</f>
        <v/>
      </c>
      <c r="C291">
        <f>IF($X291="","",IF(INDEX('Per Invoice'!C$2:C$401,$X291)="","",INDEX('Per Invoice'!C$2:C$401,$X291)))</f>
        <v/>
      </c>
      <c r="D291">
        <f>IF($X291="","",IF(INDEX('Per Invoice'!D$2:D$401,$X291)="","",INDEX('Per Invoice'!D$2:D$401,$X291)))</f>
        <v/>
      </c>
      <c r="E291">
        <f>IF($X291="","",IF(INDEX('Per Invoice'!E$2:E$401,$X291)="","",INDEX('Per Invoice'!E$2:E$401,$X291)))</f>
        <v/>
      </c>
      <c r="F291">
        <f>IF($X291="","",IF(INDEX('Per Invoice'!F$2:F$401,$X291)="","",INDEX('Per Invoice'!F$2:F$401,$X291)))</f>
        <v/>
      </c>
      <c r="G291">
        <f>IF($X291="","",IF(INDEX('Per Invoice'!G$2:G$401,$X291)="","",INDEX('Per Invoice'!G$2:G$401,$X291)))</f>
        <v/>
      </c>
      <c r="H291">
        <f>IF($X291="","",IF(INDEX('Per Invoice'!H$2:H$401,$X291)="","",INDEX('Per Invoice'!H$2:H$401,$X291)))</f>
        <v/>
      </c>
      <c r="I291">
        <f>IF($X291="","",IF(INDEX('Per Invoice'!I$2:I$401,$X291)="","",INDEX('Per Invoice'!I$2:I$401,$X291)))</f>
        <v/>
      </c>
      <c r="J291">
        <f>IF($X291="","",IF(INDEX('Per Invoice'!J$2:J$401,$X291)="","",INDEX('Per Invoice'!J$2:J$401,$X291)))</f>
        <v/>
      </c>
      <c r="K291" s="14">
        <f>IF($X291="","",IF(INDEX('Per Invoice'!K$2:K$401,$X291)="","",INDEX('Per Invoice'!K$2:K$401,$X291)))</f>
        <v/>
      </c>
      <c r="L291">
        <f>IF($X291="","",IF(INDEX('Per Invoice'!L$2:L$401,$X291)="","",INDEX('Per Invoice'!L$2:L$401,$X291)))</f>
        <v/>
      </c>
      <c r="M291" s="7">
        <f>IF($X291="","",IF(INDEX('Per Invoice'!M$2:M$401,$X291)="","",INDEX('Per Invoice'!M$2:M$401,$X291)))</f>
        <v/>
      </c>
      <c r="N291">
        <f>IF($X291="","",IF(INDEX('Per Invoice'!N$2:N$401,$X291)="","",INDEX('Per Invoice'!N$2:N$401,$X291)))</f>
        <v/>
      </c>
      <c r="O291" s="7">
        <f>IF($X291="","",IF(INDEX('Per Invoice'!O$2:O$401,$X291)="","",INDEX('Per Invoice'!O$2:O$401,$X291)))</f>
        <v/>
      </c>
      <c r="P291" s="7">
        <f>IF($X291="","",IF(INDEX('Per Invoice'!P$2:P$401,$X291)="","",INDEX('Per Invoice'!P$2:P$401,$X291)))</f>
        <v/>
      </c>
      <c r="Q291">
        <f>IF($X291="","",IF(INDEX('Per Invoice'!Q$2:Q$401,$X291)="","",INDEX('Per Invoice'!Q$2:Q$401,$X291)))</f>
        <v/>
      </c>
      <c r="R291" s="7">
        <f>IF($X291="","",IF(INDEX('Per Invoice'!R$2:R$401,$X291)="","",INDEX('Per Invoice'!R$2:R$401,$X291)))</f>
        <v/>
      </c>
      <c r="S291" s="7">
        <f>IF($X291="","",IF(INDEX('Per Invoice'!S$2:S$401,$X291)="","",INDEX('Per Invoice'!S$2:S$401,$X291)))</f>
        <v/>
      </c>
      <c r="T291" s="7">
        <f>IF($X291="","",IF(INDEX('Per Invoice'!T$2:T$401,$X291)="","",INDEX('Per Invoice'!T$2:T$401,$X291)))</f>
        <v/>
      </c>
      <c r="U291" s="7">
        <f>IF($X291="","",IF(INDEX('Per Invoice'!U$2:U$401,$X291)="","",INDEX('Per Invoice'!U$2:U$401,$X291)))</f>
        <v/>
      </c>
      <c r="V291" s="7">
        <f>IF($X291="","",IF(INDEX('Per Invoice'!V$2:V$401,$X291)="","",INDEX('Per Invoice'!V$2:V$401,$X291)))</f>
        <v/>
      </c>
      <c r="W291" s="7">
        <f>IF($X291="","",IF(INDEX('Per Invoice'!W$2:W$401,$X291)="","",INDEX('Per Invoice'!W$2:W$401,$X291)))</f>
        <v/>
      </c>
      <c r="X291" s="16">
        <f>IFERROR(MATCH(Settings!$C$33&amp;"|"&amp;ROWS($X$2:$X291),'Per Invoice'!$Y$2:$Y$401,0),"")</f>
        <v/>
      </c>
    </row>
    <row r="292">
      <c r="A292">
        <f>IF($X292="","",IF(INDEX('Per Invoice'!A$2:A$401,$X292)="","",INDEX('Per Invoice'!A$2:A$401,$X292)))</f>
        <v/>
      </c>
      <c r="B292">
        <f>IF($X292="","",IF(INDEX('Per Invoice'!B$2:B$401,$X292)="","",INDEX('Per Invoice'!B$2:B$401,$X292)))</f>
        <v/>
      </c>
      <c r="C292">
        <f>IF($X292="","",IF(INDEX('Per Invoice'!C$2:C$401,$X292)="","",INDEX('Per Invoice'!C$2:C$401,$X292)))</f>
        <v/>
      </c>
      <c r="D292">
        <f>IF($X292="","",IF(INDEX('Per Invoice'!D$2:D$401,$X292)="","",INDEX('Per Invoice'!D$2:D$401,$X292)))</f>
        <v/>
      </c>
      <c r="E292">
        <f>IF($X292="","",IF(INDEX('Per Invoice'!E$2:E$401,$X292)="","",INDEX('Per Invoice'!E$2:E$401,$X292)))</f>
        <v/>
      </c>
      <c r="F292">
        <f>IF($X292="","",IF(INDEX('Per Invoice'!F$2:F$401,$X292)="","",INDEX('Per Invoice'!F$2:F$401,$X292)))</f>
        <v/>
      </c>
      <c r="G292">
        <f>IF($X292="","",IF(INDEX('Per Invoice'!G$2:G$401,$X292)="","",INDEX('Per Invoice'!G$2:G$401,$X292)))</f>
        <v/>
      </c>
      <c r="H292">
        <f>IF($X292="","",IF(INDEX('Per Invoice'!H$2:H$401,$X292)="","",INDEX('Per Invoice'!H$2:H$401,$X292)))</f>
        <v/>
      </c>
      <c r="I292">
        <f>IF($X292="","",IF(INDEX('Per Invoice'!I$2:I$401,$X292)="","",INDEX('Per Invoice'!I$2:I$401,$X292)))</f>
        <v/>
      </c>
      <c r="J292">
        <f>IF($X292="","",IF(INDEX('Per Invoice'!J$2:J$401,$X292)="","",INDEX('Per Invoice'!J$2:J$401,$X292)))</f>
        <v/>
      </c>
      <c r="K292" s="14">
        <f>IF($X292="","",IF(INDEX('Per Invoice'!K$2:K$401,$X292)="","",INDEX('Per Invoice'!K$2:K$401,$X292)))</f>
        <v/>
      </c>
      <c r="L292">
        <f>IF($X292="","",IF(INDEX('Per Invoice'!L$2:L$401,$X292)="","",INDEX('Per Invoice'!L$2:L$401,$X292)))</f>
        <v/>
      </c>
      <c r="M292" s="7">
        <f>IF($X292="","",IF(INDEX('Per Invoice'!M$2:M$401,$X292)="","",INDEX('Per Invoice'!M$2:M$401,$X292)))</f>
        <v/>
      </c>
      <c r="N292">
        <f>IF($X292="","",IF(INDEX('Per Invoice'!N$2:N$401,$X292)="","",INDEX('Per Invoice'!N$2:N$401,$X292)))</f>
        <v/>
      </c>
      <c r="O292" s="7">
        <f>IF($X292="","",IF(INDEX('Per Invoice'!O$2:O$401,$X292)="","",INDEX('Per Invoice'!O$2:O$401,$X292)))</f>
        <v/>
      </c>
      <c r="P292" s="7">
        <f>IF($X292="","",IF(INDEX('Per Invoice'!P$2:P$401,$X292)="","",INDEX('Per Invoice'!P$2:P$401,$X292)))</f>
        <v/>
      </c>
      <c r="Q292">
        <f>IF($X292="","",IF(INDEX('Per Invoice'!Q$2:Q$401,$X292)="","",INDEX('Per Invoice'!Q$2:Q$401,$X292)))</f>
        <v/>
      </c>
      <c r="R292" s="7">
        <f>IF($X292="","",IF(INDEX('Per Invoice'!R$2:R$401,$X292)="","",INDEX('Per Invoice'!R$2:R$401,$X292)))</f>
        <v/>
      </c>
      <c r="S292" s="7">
        <f>IF($X292="","",IF(INDEX('Per Invoice'!S$2:S$401,$X292)="","",INDEX('Per Invoice'!S$2:S$401,$X292)))</f>
        <v/>
      </c>
      <c r="T292" s="7">
        <f>IF($X292="","",IF(INDEX('Per Invoice'!T$2:T$401,$X292)="","",INDEX('Per Invoice'!T$2:T$401,$X292)))</f>
        <v/>
      </c>
      <c r="U292" s="7">
        <f>IF($X292="","",IF(INDEX('Per Invoice'!U$2:U$401,$X292)="","",INDEX('Per Invoice'!U$2:U$401,$X292)))</f>
        <v/>
      </c>
      <c r="V292" s="7">
        <f>IF($X292="","",IF(INDEX('Per Invoice'!V$2:V$401,$X292)="","",INDEX('Per Invoice'!V$2:V$401,$X292)))</f>
        <v/>
      </c>
      <c r="W292" s="7">
        <f>IF($X292="","",IF(INDEX('Per Invoice'!W$2:W$401,$X292)="","",INDEX('Per Invoice'!W$2:W$401,$X292)))</f>
        <v/>
      </c>
      <c r="X292" s="16">
        <f>IFERROR(MATCH(Settings!$C$33&amp;"|"&amp;ROWS($X$2:$X292),'Per Invoice'!$Y$2:$Y$401,0),"")</f>
        <v/>
      </c>
    </row>
    <row r="293">
      <c r="A293">
        <f>IF($X293="","",IF(INDEX('Per Invoice'!A$2:A$401,$X293)="","",INDEX('Per Invoice'!A$2:A$401,$X293)))</f>
        <v/>
      </c>
      <c r="B293">
        <f>IF($X293="","",IF(INDEX('Per Invoice'!B$2:B$401,$X293)="","",INDEX('Per Invoice'!B$2:B$401,$X293)))</f>
        <v/>
      </c>
      <c r="C293">
        <f>IF($X293="","",IF(INDEX('Per Invoice'!C$2:C$401,$X293)="","",INDEX('Per Invoice'!C$2:C$401,$X293)))</f>
        <v/>
      </c>
      <c r="D293">
        <f>IF($X293="","",IF(INDEX('Per Invoice'!D$2:D$401,$X293)="","",INDEX('Per Invoice'!D$2:D$401,$X293)))</f>
        <v/>
      </c>
      <c r="E293">
        <f>IF($X293="","",IF(INDEX('Per Invoice'!E$2:E$401,$X293)="","",INDEX('Per Invoice'!E$2:E$401,$X293)))</f>
        <v/>
      </c>
      <c r="F293">
        <f>IF($X293="","",IF(INDEX('Per Invoice'!F$2:F$401,$X293)="","",INDEX('Per Invoice'!F$2:F$401,$X293)))</f>
        <v/>
      </c>
      <c r="G293">
        <f>IF($X293="","",IF(INDEX('Per Invoice'!G$2:G$401,$X293)="","",INDEX('Per Invoice'!G$2:G$401,$X293)))</f>
        <v/>
      </c>
      <c r="H293">
        <f>IF($X293="","",IF(INDEX('Per Invoice'!H$2:H$401,$X293)="","",INDEX('Per Invoice'!H$2:H$401,$X293)))</f>
        <v/>
      </c>
      <c r="I293">
        <f>IF($X293="","",IF(INDEX('Per Invoice'!I$2:I$401,$X293)="","",INDEX('Per Invoice'!I$2:I$401,$X293)))</f>
        <v/>
      </c>
      <c r="J293">
        <f>IF($X293="","",IF(INDEX('Per Invoice'!J$2:J$401,$X293)="","",INDEX('Per Invoice'!J$2:J$401,$X293)))</f>
        <v/>
      </c>
      <c r="K293" s="14">
        <f>IF($X293="","",IF(INDEX('Per Invoice'!K$2:K$401,$X293)="","",INDEX('Per Invoice'!K$2:K$401,$X293)))</f>
        <v/>
      </c>
      <c r="L293">
        <f>IF($X293="","",IF(INDEX('Per Invoice'!L$2:L$401,$X293)="","",INDEX('Per Invoice'!L$2:L$401,$X293)))</f>
        <v/>
      </c>
      <c r="M293" s="7">
        <f>IF($X293="","",IF(INDEX('Per Invoice'!M$2:M$401,$X293)="","",INDEX('Per Invoice'!M$2:M$401,$X293)))</f>
        <v/>
      </c>
      <c r="N293">
        <f>IF($X293="","",IF(INDEX('Per Invoice'!N$2:N$401,$X293)="","",INDEX('Per Invoice'!N$2:N$401,$X293)))</f>
        <v/>
      </c>
      <c r="O293" s="7">
        <f>IF($X293="","",IF(INDEX('Per Invoice'!O$2:O$401,$X293)="","",INDEX('Per Invoice'!O$2:O$401,$X293)))</f>
        <v/>
      </c>
      <c r="P293" s="7">
        <f>IF($X293="","",IF(INDEX('Per Invoice'!P$2:P$401,$X293)="","",INDEX('Per Invoice'!P$2:P$401,$X293)))</f>
        <v/>
      </c>
      <c r="Q293">
        <f>IF($X293="","",IF(INDEX('Per Invoice'!Q$2:Q$401,$X293)="","",INDEX('Per Invoice'!Q$2:Q$401,$X293)))</f>
        <v/>
      </c>
      <c r="R293" s="7">
        <f>IF($X293="","",IF(INDEX('Per Invoice'!R$2:R$401,$X293)="","",INDEX('Per Invoice'!R$2:R$401,$X293)))</f>
        <v/>
      </c>
      <c r="S293" s="7">
        <f>IF($X293="","",IF(INDEX('Per Invoice'!S$2:S$401,$X293)="","",INDEX('Per Invoice'!S$2:S$401,$X293)))</f>
        <v/>
      </c>
      <c r="T293" s="7">
        <f>IF($X293="","",IF(INDEX('Per Invoice'!T$2:T$401,$X293)="","",INDEX('Per Invoice'!T$2:T$401,$X293)))</f>
        <v/>
      </c>
      <c r="U293" s="7">
        <f>IF($X293="","",IF(INDEX('Per Invoice'!U$2:U$401,$X293)="","",INDEX('Per Invoice'!U$2:U$401,$X293)))</f>
        <v/>
      </c>
      <c r="V293" s="7">
        <f>IF($X293="","",IF(INDEX('Per Invoice'!V$2:V$401,$X293)="","",INDEX('Per Invoice'!V$2:V$401,$X293)))</f>
        <v/>
      </c>
      <c r="W293" s="7">
        <f>IF($X293="","",IF(INDEX('Per Invoice'!W$2:W$401,$X293)="","",INDEX('Per Invoice'!W$2:W$401,$X293)))</f>
        <v/>
      </c>
      <c r="X293" s="16">
        <f>IFERROR(MATCH(Settings!$C$33&amp;"|"&amp;ROWS($X$2:$X293),'Per Invoice'!$Y$2:$Y$401,0),"")</f>
        <v/>
      </c>
    </row>
    <row r="294">
      <c r="A294">
        <f>IF($X294="","",IF(INDEX('Per Invoice'!A$2:A$401,$X294)="","",INDEX('Per Invoice'!A$2:A$401,$X294)))</f>
        <v/>
      </c>
      <c r="B294">
        <f>IF($X294="","",IF(INDEX('Per Invoice'!B$2:B$401,$X294)="","",INDEX('Per Invoice'!B$2:B$401,$X294)))</f>
        <v/>
      </c>
      <c r="C294">
        <f>IF($X294="","",IF(INDEX('Per Invoice'!C$2:C$401,$X294)="","",INDEX('Per Invoice'!C$2:C$401,$X294)))</f>
        <v/>
      </c>
      <c r="D294">
        <f>IF($X294="","",IF(INDEX('Per Invoice'!D$2:D$401,$X294)="","",INDEX('Per Invoice'!D$2:D$401,$X294)))</f>
        <v/>
      </c>
      <c r="E294">
        <f>IF($X294="","",IF(INDEX('Per Invoice'!E$2:E$401,$X294)="","",INDEX('Per Invoice'!E$2:E$401,$X294)))</f>
        <v/>
      </c>
      <c r="F294">
        <f>IF($X294="","",IF(INDEX('Per Invoice'!F$2:F$401,$X294)="","",INDEX('Per Invoice'!F$2:F$401,$X294)))</f>
        <v/>
      </c>
      <c r="G294">
        <f>IF($X294="","",IF(INDEX('Per Invoice'!G$2:G$401,$X294)="","",INDEX('Per Invoice'!G$2:G$401,$X294)))</f>
        <v/>
      </c>
      <c r="H294">
        <f>IF($X294="","",IF(INDEX('Per Invoice'!H$2:H$401,$X294)="","",INDEX('Per Invoice'!H$2:H$401,$X294)))</f>
        <v/>
      </c>
      <c r="I294">
        <f>IF($X294="","",IF(INDEX('Per Invoice'!I$2:I$401,$X294)="","",INDEX('Per Invoice'!I$2:I$401,$X294)))</f>
        <v/>
      </c>
      <c r="J294">
        <f>IF($X294="","",IF(INDEX('Per Invoice'!J$2:J$401,$X294)="","",INDEX('Per Invoice'!J$2:J$401,$X294)))</f>
        <v/>
      </c>
      <c r="K294" s="14">
        <f>IF($X294="","",IF(INDEX('Per Invoice'!K$2:K$401,$X294)="","",INDEX('Per Invoice'!K$2:K$401,$X294)))</f>
        <v/>
      </c>
      <c r="L294">
        <f>IF($X294="","",IF(INDEX('Per Invoice'!L$2:L$401,$X294)="","",INDEX('Per Invoice'!L$2:L$401,$X294)))</f>
        <v/>
      </c>
      <c r="M294" s="7">
        <f>IF($X294="","",IF(INDEX('Per Invoice'!M$2:M$401,$X294)="","",INDEX('Per Invoice'!M$2:M$401,$X294)))</f>
        <v/>
      </c>
      <c r="N294">
        <f>IF($X294="","",IF(INDEX('Per Invoice'!N$2:N$401,$X294)="","",INDEX('Per Invoice'!N$2:N$401,$X294)))</f>
        <v/>
      </c>
      <c r="O294" s="7">
        <f>IF($X294="","",IF(INDEX('Per Invoice'!O$2:O$401,$X294)="","",INDEX('Per Invoice'!O$2:O$401,$X294)))</f>
        <v/>
      </c>
      <c r="P294" s="7">
        <f>IF($X294="","",IF(INDEX('Per Invoice'!P$2:P$401,$X294)="","",INDEX('Per Invoice'!P$2:P$401,$X294)))</f>
        <v/>
      </c>
      <c r="Q294">
        <f>IF($X294="","",IF(INDEX('Per Invoice'!Q$2:Q$401,$X294)="","",INDEX('Per Invoice'!Q$2:Q$401,$X294)))</f>
        <v/>
      </c>
      <c r="R294" s="7">
        <f>IF($X294="","",IF(INDEX('Per Invoice'!R$2:R$401,$X294)="","",INDEX('Per Invoice'!R$2:R$401,$X294)))</f>
        <v/>
      </c>
      <c r="S294" s="7">
        <f>IF($X294="","",IF(INDEX('Per Invoice'!S$2:S$401,$X294)="","",INDEX('Per Invoice'!S$2:S$401,$X294)))</f>
        <v/>
      </c>
      <c r="T294" s="7">
        <f>IF($X294="","",IF(INDEX('Per Invoice'!T$2:T$401,$X294)="","",INDEX('Per Invoice'!T$2:T$401,$X294)))</f>
        <v/>
      </c>
      <c r="U294" s="7">
        <f>IF($X294="","",IF(INDEX('Per Invoice'!U$2:U$401,$X294)="","",INDEX('Per Invoice'!U$2:U$401,$X294)))</f>
        <v/>
      </c>
      <c r="V294" s="7">
        <f>IF($X294="","",IF(INDEX('Per Invoice'!V$2:V$401,$X294)="","",INDEX('Per Invoice'!V$2:V$401,$X294)))</f>
        <v/>
      </c>
      <c r="W294" s="7">
        <f>IF($X294="","",IF(INDEX('Per Invoice'!W$2:W$401,$X294)="","",INDEX('Per Invoice'!W$2:W$401,$X294)))</f>
        <v/>
      </c>
      <c r="X294" s="16">
        <f>IFERROR(MATCH(Settings!$C$33&amp;"|"&amp;ROWS($X$2:$X294),'Per Invoice'!$Y$2:$Y$401,0),"")</f>
        <v/>
      </c>
    </row>
    <row r="295">
      <c r="A295">
        <f>IF($X295="","",IF(INDEX('Per Invoice'!A$2:A$401,$X295)="","",INDEX('Per Invoice'!A$2:A$401,$X295)))</f>
        <v/>
      </c>
      <c r="B295">
        <f>IF($X295="","",IF(INDEX('Per Invoice'!B$2:B$401,$X295)="","",INDEX('Per Invoice'!B$2:B$401,$X295)))</f>
        <v/>
      </c>
      <c r="C295">
        <f>IF($X295="","",IF(INDEX('Per Invoice'!C$2:C$401,$X295)="","",INDEX('Per Invoice'!C$2:C$401,$X295)))</f>
        <v/>
      </c>
      <c r="D295">
        <f>IF($X295="","",IF(INDEX('Per Invoice'!D$2:D$401,$X295)="","",INDEX('Per Invoice'!D$2:D$401,$X295)))</f>
        <v/>
      </c>
      <c r="E295">
        <f>IF($X295="","",IF(INDEX('Per Invoice'!E$2:E$401,$X295)="","",INDEX('Per Invoice'!E$2:E$401,$X295)))</f>
        <v/>
      </c>
      <c r="F295">
        <f>IF($X295="","",IF(INDEX('Per Invoice'!F$2:F$401,$X295)="","",INDEX('Per Invoice'!F$2:F$401,$X295)))</f>
        <v/>
      </c>
      <c r="G295">
        <f>IF($X295="","",IF(INDEX('Per Invoice'!G$2:G$401,$X295)="","",INDEX('Per Invoice'!G$2:G$401,$X295)))</f>
        <v/>
      </c>
      <c r="H295">
        <f>IF($X295="","",IF(INDEX('Per Invoice'!H$2:H$401,$X295)="","",INDEX('Per Invoice'!H$2:H$401,$X295)))</f>
        <v/>
      </c>
      <c r="I295">
        <f>IF($X295="","",IF(INDEX('Per Invoice'!I$2:I$401,$X295)="","",INDEX('Per Invoice'!I$2:I$401,$X295)))</f>
        <v/>
      </c>
      <c r="J295">
        <f>IF($X295="","",IF(INDEX('Per Invoice'!J$2:J$401,$X295)="","",INDEX('Per Invoice'!J$2:J$401,$X295)))</f>
        <v/>
      </c>
      <c r="K295" s="14">
        <f>IF($X295="","",IF(INDEX('Per Invoice'!K$2:K$401,$X295)="","",INDEX('Per Invoice'!K$2:K$401,$X295)))</f>
        <v/>
      </c>
      <c r="L295">
        <f>IF($X295="","",IF(INDEX('Per Invoice'!L$2:L$401,$X295)="","",INDEX('Per Invoice'!L$2:L$401,$X295)))</f>
        <v/>
      </c>
      <c r="M295" s="7">
        <f>IF($X295="","",IF(INDEX('Per Invoice'!M$2:M$401,$X295)="","",INDEX('Per Invoice'!M$2:M$401,$X295)))</f>
        <v/>
      </c>
      <c r="N295">
        <f>IF($X295="","",IF(INDEX('Per Invoice'!N$2:N$401,$X295)="","",INDEX('Per Invoice'!N$2:N$401,$X295)))</f>
        <v/>
      </c>
      <c r="O295" s="7">
        <f>IF($X295="","",IF(INDEX('Per Invoice'!O$2:O$401,$X295)="","",INDEX('Per Invoice'!O$2:O$401,$X295)))</f>
        <v/>
      </c>
      <c r="P295" s="7">
        <f>IF($X295="","",IF(INDEX('Per Invoice'!P$2:P$401,$X295)="","",INDEX('Per Invoice'!P$2:P$401,$X295)))</f>
        <v/>
      </c>
      <c r="Q295">
        <f>IF($X295="","",IF(INDEX('Per Invoice'!Q$2:Q$401,$X295)="","",INDEX('Per Invoice'!Q$2:Q$401,$X295)))</f>
        <v/>
      </c>
      <c r="R295" s="7">
        <f>IF($X295="","",IF(INDEX('Per Invoice'!R$2:R$401,$X295)="","",INDEX('Per Invoice'!R$2:R$401,$X295)))</f>
        <v/>
      </c>
      <c r="S295" s="7">
        <f>IF($X295="","",IF(INDEX('Per Invoice'!S$2:S$401,$X295)="","",INDEX('Per Invoice'!S$2:S$401,$X295)))</f>
        <v/>
      </c>
      <c r="T295" s="7">
        <f>IF($X295="","",IF(INDEX('Per Invoice'!T$2:T$401,$X295)="","",INDEX('Per Invoice'!T$2:T$401,$X295)))</f>
        <v/>
      </c>
      <c r="U295" s="7">
        <f>IF($X295="","",IF(INDEX('Per Invoice'!U$2:U$401,$X295)="","",INDEX('Per Invoice'!U$2:U$401,$X295)))</f>
        <v/>
      </c>
      <c r="V295" s="7">
        <f>IF($X295="","",IF(INDEX('Per Invoice'!V$2:V$401,$X295)="","",INDEX('Per Invoice'!V$2:V$401,$X295)))</f>
        <v/>
      </c>
      <c r="W295" s="7">
        <f>IF($X295="","",IF(INDEX('Per Invoice'!W$2:W$401,$X295)="","",INDEX('Per Invoice'!W$2:W$401,$X295)))</f>
        <v/>
      </c>
      <c r="X295" s="16">
        <f>IFERROR(MATCH(Settings!$C$33&amp;"|"&amp;ROWS($X$2:$X295),'Per Invoice'!$Y$2:$Y$401,0),"")</f>
        <v/>
      </c>
    </row>
    <row r="296">
      <c r="A296">
        <f>IF($X296="","",IF(INDEX('Per Invoice'!A$2:A$401,$X296)="","",INDEX('Per Invoice'!A$2:A$401,$X296)))</f>
        <v/>
      </c>
      <c r="B296">
        <f>IF($X296="","",IF(INDEX('Per Invoice'!B$2:B$401,$X296)="","",INDEX('Per Invoice'!B$2:B$401,$X296)))</f>
        <v/>
      </c>
      <c r="C296">
        <f>IF($X296="","",IF(INDEX('Per Invoice'!C$2:C$401,$X296)="","",INDEX('Per Invoice'!C$2:C$401,$X296)))</f>
        <v/>
      </c>
      <c r="D296">
        <f>IF($X296="","",IF(INDEX('Per Invoice'!D$2:D$401,$X296)="","",INDEX('Per Invoice'!D$2:D$401,$X296)))</f>
        <v/>
      </c>
      <c r="E296">
        <f>IF($X296="","",IF(INDEX('Per Invoice'!E$2:E$401,$X296)="","",INDEX('Per Invoice'!E$2:E$401,$X296)))</f>
        <v/>
      </c>
      <c r="F296">
        <f>IF($X296="","",IF(INDEX('Per Invoice'!F$2:F$401,$X296)="","",INDEX('Per Invoice'!F$2:F$401,$X296)))</f>
        <v/>
      </c>
      <c r="G296">
        <f>IF($X296="","",IF(INDEX('Per Invoice'!G$2:G$401,$X296)="","",INDEX('Per Invoice'!G$2:G$401,$X296)))</f>
        <v/>
      </c>
      <c r="H296">
        <f>IF($X296="","",IF(INDEX('Per Invoice'!H$2:H$401,$X296)="","",INDEX('Per Invoice'!H$2:H$401,$X296)))</f>
        <v/>
      </c>
      <c r="I296">
        <f>IF($X296="","",IF(INDEX('Per Invoice'!I$2:I$401,$X296)="","",INDEX('Per Invoice'!I$2:I$401,$X296)))</f>
        <v/>
      </c>
      <c r="J296">
        <f>IF($X296="","",IF(INDEX('Per Invoice'!J$2:J$401,$X296)="","",INDEX('Per Invoice'!J$2:J$401,$X296)))</f>
        <v/>
      </c>
      <c r="K296" s="14">
        <f>IF($X296="","",IF(INDEX('Per Invoice'!K$2:K$401,$X296)="","",INDEX('Per Invoice'!K$2:K$401,$X296)))</f>
        <v/>
      </c>
      <c r="L296">
        <f>IF($X296="","",IF(INDEX('Per Invoice'!L$2:L$401,$X296)="","",INDEX('Per Invoice'!L$2:L$401,$X296)))</f>
        <v/>
      </c>
      <c r="M296" s="7">
        <f>IF($X296="","",IF(INDEX('Per Invoice'!M$2:M$401,$X296)="","",INDEX('Per Invoice'!M$2:M$401,$X296)))</f>
        <v/>
      </c>
      <c r="N296">
        <f>IF($X296="","",IF(INDEX('Per Invoice'!N$2:N$401,$X296)="","",INDEX('Per Invoice'!N$2:N$401,$X296)))</f>
        <v/>
      </c>
      <c r="O296" s="7">
        <f>IF($X296="","",IF(INDEX('Per Invoice'!O$2:O$401,$X296)="","",INDEX('Per Invoice'!O$2:O$401,$X296)))</f>
        <v/>
      </c>
      <c r="P296" s="7">
        <f>IF($X296="","",IF(INDEX('Per Invoice'!P$2:P$401,$X296)="","",INDEX('Per Invoice'!P$2:P$401,$X296)))</f>
        <v/>
      </c>
      <c r="Q296">
        <f>IF($X296="","",IF(INDEX('Per Invoice'!Q$2:Q$401,$X296)="","",INDEX('Per Invoice'!Q$2:Q$401,$X296)))</f>
        <v/>
      </c>
      <c r="R296" s="7">
        <f>IF($X296="","",IF(INDEX('Per Invoice'!R$2:R$401,$X296)="","",INDEX('Per Invoice'!R$2:R$401,$X296)))</f>
        <v/>
      </c>
      <c r="S296" s="7">
        <f>IF($X296="","",IF(INDEX('Per Invoice'!S$2:S$401,$X296)="","",INDEX('Per Invoice'!S$2:S$401,$X296)))</f>
        <v/>
      </c>
      <c r="T296" s="7">
        <f>IF($X296="","",IF(INDEX('Per Invoice'!T$2:T$401,$X296)="","",INDEX('Per Invoice'!T$2:T$401,$X296)))</f>
        <v/>
      </c>
      <c r="U296" s="7">
        <f>IF($X296="","",IF(INDEX('Per Invoice'!U$2:U$401,$X296)="","",INDEX('Per Invoice'!U$2:U$401,$X296)))</f>
        <v/>
      </c>
      <c r="V296" s="7">
        <f>IF($X296="","",IF(INDEX('Per Invoice'!V$2:V$401,$X296)="","",INDEX('Per Invoice'!V$2:V$401,$X296)))</f>
        <v/>
      </c>
      <c r="W296" s="7">
        <f>IF($X296="","",IF(INDEX('Per Invoice'!W$2:W$401,$X296)="","",INDEX('Per Invoice'!W$2:W$401,$X296)))</f>
        <v/>
      </c>
      <c r="X296" s="16">
        <f>IFERROR(MATCH(Settings!$C$33&amp;"|"&amp;ROWS($X$2:$X296),'Per Invoice'!$Y$2:$Y$401,0),"")</f>
        <v/>
      </c>
    </row>
    <row r="297">
      <c r="A297">
        <f>IF($X297="","",IF(INDEX('Per Invoice'!A$2:A$401,$X297)="","",INDEX('Per Invoice'!A$2:A$401,$X297)))</f>
        <v/>
      </c>
      <c r="B297">
        <f>IF($X297="","",IF(INDEX('Per Invoice'!B$2:B$401,$X297)="","",INDEX('Per Invoice'!B$2:B$401,$X297)))</f>
        <v/>
      </c>
      <c r="C297">
        <f>IF($X297="","",IF(INDEX('Per Invoice'!C$2:C$401,$X297)="","",INDEX('Per Invoice'!C$2:C$401,$X297)))</f>
        <v/>
      </c>
      <c r="D297">
        <f>IF($X297="","",IF(INDEX('Per Invoice'!D$2:D$401,$X297)="","",INDEX('Per Invoice'!D$2:D$401,$X297)))</f>
        <v/>
      </c>
      <c r="E297">
        <f>IF($X297="","",IF(INDEX('Per Invoice'!E$2:E$401,$X297)="","",INDEX('Per Invoice'!E$2:E$401,$X297)))</f>
        <v/>
      </c>
      <c r="F297">
        <f>IF($X297="","",IF(INDEX('Per Invoice'!F$2:F$401,$X297)="","",INDEX('Per Invoice'!F$2:F$401,$X297)))</f>
        <v/>
      </c>
      <c r="G297">
        <f>IF($X297="","",IF(INDEX('Per Invoice'!G$2:G$401,$X297)="","",INDEX('Per Invoice'!G$2:G$401,$X297)))</f>
        <v/>
      </c>
      <c r="H297">
        <f>IF($X297="","",IF(INDEX('Per Invoice'!H$2:H$401,$X297)="","",INDEX('Per Invoice'!H$2:H$401,$X297)))</f>
        <v/>
      </c>
      <c r="I297">
        <f>IF($X297="","",IF(INDEX('Per Invoice'!I$2:I$401,$X297)="","",INDEX('Per Invoice'!I$2:I$401,$X297)))</f>
        <v/>
      </c>
      <c r="J297">
        <f>IF($X297="","",IF(INDEX('Per Invoice'!J$2:J$401,$X297)="","",INDEX('Per Invoice'!J$2:J$401,$X297)))</f>
        <v/>
      </c>
      <c r="K297" s="14">
        <f>IF($X297="","",IF(INDEX('Per Invoice'!K$2:K$401,$X297)="","",INDEX('Per Invoice'!K$2:K$401,$X297)))</f>
        <v/>
      </c>
      <c r="L297">
        <f>IF($X297="","",IF(INDEX('Per Invoice'!L$2:L$401,$X297)="","",INDEX('Per Invoice'!L$2:L$401,$X297)))</f>
        <v/>
      </c>
      <c r="M297" s="7">
        <f>IF($X297="","",IF(INDEX('Per Invoice'!M$2:M$401,$X297)="","",INDEX('Per Invoice'!M$2:M$401,$X297)))</f>
        <v/>
      </c>
      <c r="N297">
        <f>IF($X297="","",IF(INDEX('Per Invoice'!N$2:N$401,$X297)="","",INDEX('Per Invoice'!N$2:N$401,$X297)))</f>
        <v/>
      </c>
      <c r="O297" s="7">
        <f>IF($X297="","",IF(INDEX('Per Invoice'!O$2:O$401,$X297)="","",INDEX('Per Invoice'!O$2:O$401,$X297)))</f>
        <v/>
      </c>
      <c r="P297" s="7">
        <f>IF($X297="","",IF(INDEX('Per Invoice'!P$2:P$401,$X297)="","",INDEX('Per Invoice'!P$2:P$401,$X297)))</f>
        <v/>
      </c>
      <c r="Q297">
        <f>IF($X297="","",IF(INDEX('Per Invoice'!Q$2:Q$401,$X297)="","",INDEX('Per Invoice'!Q$2:Q$401,$X297)))</f>
        <v/>
      </c>
      <c r="R297" s="7">
        <f>IF($X297="","",IF(INDEX('Per Invoice'!R$2:R$401,$X297)="","",INDEX('Per Invoice'!R$2:R$401,$X297)))</f>
        <v/>
      </c>
      <c r="S297" s="7">
        <f>IF($X297="","",IF(INDEX('Per Invoice'!S$2:S$401,$X297)="","",INDEX('Per Invoice'!S$2:S$401,$X297)))</f>
        <v/>
      </c>
      <c r="T297" s="7">
        <f>IF($X297="","",IF(INDEX('Per Invoice'!T$2:T$401,$X297)="","",INDEX('Per Invoice'!T$2:T$401,$X297)))</f>
        <v/>
      </c>
      <c r="U297" s="7">
        <f>IF($X297="","",IF(INDEX('Per Invoice'!U$2:U$401,$X297)="","",INDEX('Per Invoice'!U$2:U$401,$X297)))</f>
        <v/>
      </c>
      <c r="V297" s="7">
        <f>IF($X297="","",IF(INDEX('Per Invoice'!V$2:V$401,$X297)="","",INDEX('Per Invoice'!V$2:V$401,$X297)))</f>
        <v/>
      </c>
      <c r="W297" s="7">
        <f>IF($X297="","",IF(INDEX('Per Invoice'!W$2:W$401,$X297)="","",INDEX('Per Invoice'!W$2:W$401,$X297)))</f>
        <v/>
      </c>
      <c r="X297" s="16">
        <f>IFERROR(MATCH(Settings!$C$33&amp;"|"&amp;ROWS($X$2:$X297),'Per Invoice'!$Y$2:$Y$401,0),"")</f>
        <v/>
      </c>
    </row>
    <row r="298">
      <c r="A298">
        <f>IF($X298="","",IF(INDEX('Per Invoice'!A$2:A$401,$X298)="","",INDEX('Per Invoice'!A$2:A$401,$X298)))</f>
        <v/>
      </c>
      <c r="B298">
        <f>IF($X298="","",IF(INDEX('Per Invoice'!B$2:B$401,$X298)="","",INDEX('Per Invoice'!B$2:B$401,$X298)))</f>
        <v/>
      </c>
      <c r="C298">
        <f>IF($X298="","",IF(INDEX('Per Invoice'!C$2:C$401,$X298)="","",INDEX('Per Invoice'!C$2:C$401,$X298)))</f>
        <v/>
      </c>
      <c r="D298">
        <f>IF($X298="","",IF(INDEX('Per Invoice'!D$2:D$401,$X298)="","",INDEX('Per Invoice'!D$2:D$401,$X298)))</f>
        <v/>
      </c>
      <c r="E298">
        <f>IF($X298="","",IF(INDEX('Per Invoice'!E$2:E$401,$X298)="","",INDEX('Per Invoice'!E$2:E$401,$X298)))</f>
        <v/>
      </c>
      <c r="F298">
        <f>IF($X298="","",IF(INDEX('Per Invoice'!F$2:F$401,$X298)="","",INDEX('Per Invoice'!F$2:F$401,$X298)))</f>
        <v/>
      </c>
      <c r="G298">
        <f>IF($X298="","",IF(INDEX('Per Invoice'!G$2:G$401,$X298)="","",INDEX('Per Invoice'!G$2:G$401,$X298)))</f>
        <v/>
      </c>
      <c r="H298">
        <f>IF($X298="","",IF(INDEX('Per Invoice'!H$2:H$401,$X298)="","",INDEX('Per Invoice'!H$2:H$401,$X298)))</f>
        <v/>
      </c>
      <c r="I298">
        <f>IF($X298="","",IF(INDEX('Per Invoice'!I$2:I$401,$X298)="","",INDEX('Per Invoice'!I$2:I$401,$X298)))</f>
        <v/>
      </c>
      <c r="J298">
        <f>IF($X298="","",IF(INDEX('Per Invoice'!J$2:J$401,$X298)="","",INDEX('Per Invoice'!J$2:J$401,$X298)))</f>
        <v/>
      </c>
      <c r="K298" s="14">
        <f>IF($X298="","",IF(INDEX('Per Invoice'!K$2:K$401,$X298)="","",INDEX('Per Invoice'!K$2:K$401,$X298)))</f>
        <v/>
      </c>
      <c r="L298">
        <f>IF($X298="","",IF(INDEX('Per Invoice'!L$2:L$401,$X298)="","",INDEX('Per Invoice'!L$2:L$401,$X298)))</f>
        <v/>
      </c>
      <c r="M298" s="7">
        <f>IF($X298="","",IF(INDEX('Per Invoice'!M$2:M$401,$X298)="","",INDEX('Per Invoice'!M$2:M$401,$X298)))</f>
        <v/>
      </c>
      <c r="N298">
        <f>IF($X298="","",IF(INDEX('Per Invoice'!N$2:N$401,$X298)="","",INDEX('Per Invoice'!N$2:N$401,$X298)))</f>
        <v/>
      </c>
      <c r="O298" s="7">
        <f>IF($X298="","",IF(INDEX('Per Invoice'!O$2:O$401,$X298)="","",INDEX('Per Invoice'!O$2:O$401,$X298)))</f>
        <v/>
      </c>
      <c r="P298" s="7">
        <f>IF($X298="","",IF(INDEX('Per Invoice'!P$2:P$401,$X298)="","",INDEX('Per Invoice'!P$2:P$401,$X298)))</f>
        <v/>
      </c>
      <c r="Q298">
        <f>IF($X298="","",IF(INDEX('Per Invoice'!Q$2:Q$401,$X298)="","",INDEX('Per Invoice'!Q$2:Q$401,$X298)))</f>
        <v/>
      </c>
      <c r="R298" s="7">
        <f>IF($X298="","",IF(INDEX('Per Invoice'!R$2:R$401,$X298)="","",INDEX('Per Invoice'!R$2:R$401,$X298)))</f>
        <v/>
      </c>
      <c r="S298" s="7">
        <f>IF($X298="","",IF(INDEX('Per Invoice'!S$2:S$401,$X298)="","",INDEX('Per Invoice'!S$2:S$401,$X298)))</f>
        <v/>
      </c>
      <c r="T298" s="7">
        <f>IF($X298="","",IF(INDEX('Per Invoice'!T$2:T$401,$X298)="","",INDEX('Per Invoice'!T$2:T$401,$X298)))</f>
        <v/>
      </c>
      <c r="U298" s="7">
        <f>IF($X298="","",IF(INDEX('Per Invoice'!U$2:U$401,$X298)="","",INDEX('Per Invoice'!U$2:U$401,$X298)))</f>
        <v/>
      </c>
      <c r="V298" s="7">
        <f>IF($X298="","",IF(INDEX('Per Invoice'!V$2:V$401,$X298)="","",INDEX('Per Invoice'!V$2:V$401,$X298)))</f>
        <v/>
      </c>
      <c r="W298" s="7">
        <f>IF($X298="","",IF(INDEX('Per Invoice'!W$2:W$401,$X298)="","",INDEX('Per Invoice'!W$2:W$401,$X298)))</f>
        <v/>
      </c>
      <c r="X298" s="16">
        <f>IFERROR(MATCH(Settings!$C$33&amp;"|"&amp;ROWS($X$2:$X298),'Per Invoice'!$Y$2:$Y$401,0),"")</f>
        <v/>
      </c>
    </row>
    <row r="299">
      <c r="A299">
        <f>IF($X299="","",IF(INDEX('Per Invoice'!A$2:A$401,$X299)="","",INDEX('Per Invoice'!A$2:A$401,$X299)))</f>
        <v/>
      </c>
      <c r="B299">
        <f>IF($X299="","",IF(INDEX('Per Invoice'!B$2:B$401,$X299)="","",INDEX('Per Invoice'!B$2:B$401,$X299)))</f>
        <v/>
      </c>
      <c r="C299">
        <f>IF($X299="","",IF(INDEX('Per Invoice'!C$2:C$401,$X299)="","",INDEX('Per Invoice'!C$2:C$401,$X299)))</f>
        <v/>
      </c>
      <c r="D299">
        <f>IF($X299="","",IF(INDEX('Per Invoice'!D$2:D$401,$X299)="","",INDEX('Per Invoice'!D$2:D$401,$X299)))</f>
        <v/>
      </c>
      <c r="E299">
        <f>IF($X299="","",IF(INDEX('Per Invoice'!E$2:E$401,$X299)="","",INDEX('Per Invoice'!E$2:E$401,$X299)))</f>
        <v/>
      </c>
      <c r="F299">
        <f>IF($X299="","",IF(INDEX('Per Invoice'!F$2:F$401,$X299)="","",INDEX('Per Invoice'!F$2:F$401,$X299)))</f>
        <v/>
      </c>
      <c r="G299">
        <f>IF($X299="","",IF(INDEX('Per Invoice'!G$2:G$401,$X299)="","",INDEX('Per Invoice'!G$2:G$401,$X299)))</f>
        <v/>
      </c>
      <c r="H299">
        <f>IF($X299="","",IF(INDEX('Per Invoice'!H$2:H$401,$X299)="","",INDEX('Per Invoice'!H$2:H$401,$X299)))</f>
        <v/>
      </c>
      <c r="I299">
        <f>IF($X299="","",IF(INDEX('Per Invoice'!I$2:I$401,$X299)="","",INDEX('Per Invoice'!I$2:I$401,$X299)))</f>
        <v/>
      </c>
      <c r="J299">
        <f>IF($X299="","",IF(INDEX('Per Invoice'!J$2:J$401,$X299)="","",INDEX('Per Invoice'!J$2:J$401,$X299)))</f>
        <v/>
      </c>
      <c r="K299" s="14">
        <f>IF($X299="","",IF(INDEX('Per Invoice'!K$2:K$401,$X299)="","",INDEX('Per Invoice'!K$2:K$401,$X299)))</f>
        <v/>
      </c>
      <c r="L299">
        <f>IF($X299="","",IF(INDEX('Per Invoice'!L$2:L$401,$X299)="","",INDEX('Per Invoice'!L$2:L$401,$X299)))</f>
        <v/>
      </c>
      <c r="M299" s="7">
        <f>IF($X299="","",IF(INDEX('Per Invoice'!M$2:M$401,$X299)="","",INDEX('Per Invoice'!M$2:M$401,$X299)))</f>
        <v/>
      </c>
      <c r="N299">
        <f>IF($X299="","",IF(INDEX('Per Invoice'!N$2:N$401,$X299)="","",INDEX('Per Invoice'!N$2:N$401,$X299)))</f>
        <v/>
      </c>
      <c r="O299" s="7">
        <f>IF($X299="","",IF(INDEX('Per Invoice'!O$2:O$401,$X299)="","",INDEX('Per Invoice'!O$2:O$401,$X299)))</f>
        <v/>
      </c>
      <c r="P299" s="7">
        <f>IF($X299="","",IF(INDEX('Per Invoice'!P$2:P$401,$X299)="","",INDEX('Per Invoice'!P$2:P$401,$X299)))</f>
        <v/>
      </c>
      <c r="Q299">
        <f>IF($X299="","",IF(INDEX('Per Invoice'!Q$2:Q$401,$X299)="","",INDEX('Per Invoice'!Q$2:Q$401,$X299)))</f>
        <v/>
      </c>
      <c r="R299" s="7">
        <f>IF($X299="","",IF(INDEX('Per Invoice'!R$2:R$401,$X299)="","",INDEX('Per Invoice'!R$2:R$401,$X299)))</f>
        <v/>
      </c>
      <c r="S299" s="7">
        <f>IF($X299="","",IF(INDEX('Per Invoice'!S$2:S$401,$X299)="","",INDEX('Per Invoice'!S$2:S$401,$X299)))</f>
        <v/>
      </c>
      <c r="T299" s="7">
        <f>IF($X299="","",IF(INDEX('Per Invoice'!T$2:T$401,$X299)="","",INDEX('Per Invoice'!T$2:T$401,$X299)))</f>
        <v/>
      </c>
      <c r="U299" s="7">
        <f>IF($X299="","",IF(INDEX('Per Invoice'!U$2:U$401,$X299)="","",INDEX('Per Invoice'!U$2:U$401,$X299)))</f>
        <v/>
      </c>
      <c r="V299" s="7">
        <f>IF($X299="","",IF(INDEX('Per Invoice'!V$2:V$401,$X299)="","",INDEX('Per Invoice'!V$2:V$401,$X299)))</f>
        <v/>
      </c>
      <c r="W299" s="7">
        <f>IF($X299="","",IF(INDEX('Per Invoice'!W$2:W$401,$X299)="","",INDEX('Per Invoice'!W$2:W$401,$X299)))</f>
        <v/>
      </c>
      <c r="X299" s="16">
        <f>IFERROR(MATCH(Settings!$C$33&amp;"|"&amp;ROWS($X$2:$X299),'Per Invoice'!$Y$2:$Y$401,0),"")</f>
        <v/>
      </c>
    </row>
    <row r="300">
      <c r="A300">
        <f>IF($X300="","",IF(INDEX('Per Invoice'!A$2:A$401,$X300)="","",INDEX('Per Invoice'!A$2:A$401,$X300)))</f>
        <v/>
      </c>
      <c r="B300">
        <f>IF($X300="","",IF(INDEX('Per Invoice'!B$2:B$401,$X300)="","",INDEX('Per Invoice'!B$2:B$401,$X300)))</f>
        <v/>
      </c>
      <c r="C300">
        <f>IF($X300="","",IF(INDEX('Per Invoice'!C$2:C$401,$X300)="","",INDEX('Per Invoice'!C$2:C$401,$X300)))</f>
        <v/>
      </c>
      <c r="D300">
        <f>IF($X300="","",IF(INDEX('Per Invoice'!D$2:D$401,$X300)="","",INDEX('Per Invoice'!D$2:D$401,$X300)))</f>
        <v/>
      </c>
      <c r="E300">
        <f>IF($X300="","",IF(INDEX('Per Invoice'!E$2:E$401,$X300)="","",INDEX('Per Invoice'!E$2:E$401,$X300)))</f>
        <v/>
      </c>
      <c r="F300">
        <f>IF($X300="","",IF(INDEX('Per Invoice'!F$2:F$401,$X300)="","",INDEX('Per Invoice'!F$2:F$401,$X300)))</f>
        <v/>
      </c>
      <c r="G300">
        <f>IF($X300="","",IF(INDEX('Per Invoice'!G$2:G$401,$X300)="","",INDEX('Per Invoice'!G$2:G$401,$X300)))</f>
        <v/>
      </c>
      <c r="H300">
        <f>IF($X300="","",IF(INDEX('Per Invoice'!H$2:H$401,$X300)="","",INDEX('Per Invoice'!H$2:H$401,$X300)))</f>
        <v/>
      </c>
      <c r="I300">
        <f>IF($X300="","",IF(INDEX('Per Invoice'!I$2:I$401,$X300)="","",INDEX('Per Invoice'!I$2:I$401,$X300)))</f>
        <v/>
      </c>
      <c r="J300">
        <f>IF($X300="","",IF(INDEX('Per Invoice'!J$2:J$401,$X300)="","",INDEX('Per Invoice'!J$2:J$401,$X300)))</f>
        <v/>
      </c>
      <c r="K300" s="14">
        <f>IF($X300="","",IF(INDEX('Per Invoice'!K$2:K$401,$X300)="","",INDEX('Per Invoice'!K$2:K$401,$X300)))</f>
        <v/>
      </c>
      <c r="L300">
        <f>IF($X300="","",IF(INDEX('Per Invoice'!L$2:L$401,$X300)="","",INDEX('Per Invoice'!L$2:L$401,$X300)))</f>
        <v/>
      </c>
      <c r="M300" s="7">
        <f>IF($X300="","",IF(INDEX('Per Invoice'!M$2:M$401,$X300)="","",INDEX('Per Invoice'!M$2:M$401,$X300)))</f>
        <v/>
      </c>
      <c r="N300">
        <f>IF($X300="","",IF(INDEX('Per Invoice'!N$2:N$401,$X300)="","",INDEX('Per Invoice'!N$2:N$401,$X300)))</f>
        <v/>
      </c>
      <c r="O300" s="7">
        <f>IF($X300="","",IF(INDEX('Per Invoice'!O$2:O$401,$X300)="","",INDEX('Per Invoice'!O$2:O$401,$X300)))</f>
        <v/>
      </c>
      <c r="P300" s="7">
        <f>IF($X300="","",IF(INDEX('Per Invoice'!P$2:P$401,$X300)="","",INDEX('Per Invoice'!P$2:P$401,$X300)))</f>
        <v/>
      </c>
      <c r="Q300">
        <f>IF($X300="","",IF(INDEX('Per Invoice'!Q$2:Q$401,$X300)="","",INDEX('Per Invoice'!Q$2:Q$401,$X300)))</f>
        <v/>
      </c>
      <c r="R300" s="7">
        <f>IF($X300="","",IF(INDEX('Per Invoice'!R$2:R$401,$X300)="","",INDEX('Per Invoice'!R$2:R$401,$X300)))</f>
        <v/>
      </c>
      <c r="S300" s="7">
        <f>IF($X300="","",IF(INDEX('Per Invoice'!S$2:S$401,$X300)="","",INDEX('Per Invoice'!S$2:S$401,$X300)))</f>
        <v/>
      </c>
      <c r="T300" s="7">
        <f>IF($X300="","",IF(INDEX('Per Invoice'!T$2:T$401,$X300)="","",INDEX('Per Invoice'!T$2:T$401,$X300)))</f>
        <v/>
      </c>
      <c r="U300" s="7">
        <f>IF($X300="","",IF(INDEX('Per Invoice'!U$2:U$401,$X300)="","",INDEX('Per Invoice'!U$2:U$401,$X300)))</f>
        <v/>
      </c>
      <c r="V300" s="7">
        <f>IF($X300="","",IF(INDEX('Per Invoice'!V$2:V$401,$X300)="","",INDEX('Per Invoice'!V$2:V$401,$X300)))</f>
        <v/>
      </c>
      <c r="W300" s="7">
        <f>IF($X300="","",IF(INDEX('Per Invoice'!W$2:W$401,$X300)="","",INDEX('Per Invoice'!W$2:W$401,$X300)))</f>
        <v/>
      </c>
      <c r="X300" s="16">
        <f>IFERROR(MATCH(Settings!$C$33&amp;"|"&amp;ROWS($X$2:$X300),'Per Invoice'!$Y$2:$Y$401,0),"")</f>
        <v/>
      </c>
    </row>
    <row r="301">
      <c r="A301">
        <f>IF($X301="","",IF(INDEX('Per Invoice'!A$2:A$401,$X301)="","",INDEX('Per Invoice'!A$2:A$401,$X301)))</f>
        <v/>
      </c>
      <c r="B301">
        <f>IF($X301="","",IF(INDEX('Per Invoice'!B$2:B$401,$X301)="","",INDEX('Per Invoice'!B$2:B$401,$X301)))</f>
        <v/>
      </c>
      <c r="C301">
        <f>IF($X301="","",IF(INDEX('Per Invoice'!C$2:C$401,$X301)="","",INDEX('Per Invoice'!C$2:C$401,$X301)))</f>
        <v/>
      </c>
      <c r="D301">
        <f>IF($X301="","",IF(INDEX('Per Invoice'!D$2:D$401,$X301)="","",INDEX('Per Invoice'!D$2:D$401,$X301)))</f>
        <v/>
      </c>
      <c r="E301">
        <f>IF($X301="","",IF(INDEX('Per Invoice'!E$2:E$401,$X301)="","",INDEX('Per Invoice'!E$2:E$401,$X301)))</f>
        <v/>
      </c>
      <c r="F301">
        <f>IF($X301="","",IF(INDEX('Per Invoice'!F$2:F$401,$X301)="","",INDEX('Per Invoice'!F$2:F$401,$X301)))</f>
        <v/>
      </c>
      <c r="G301">
        <f>IF($X301="","",IF(INDEX('Per Invoice'!G$2:G$401,$X301)="","",INDEX('Per Invoice'!G$2:G$401,$X301)))</f>
        <v/>
      </c>
      <c r="H301">
        <f>IF($X301="","",IF(INDEX('Per Invoice'!H$2:H$401,$X301)="","",INDEX('Per Invoice'!H$2:H$401,$X301)))</f>
        <v/>
      </c>
      <c r="I301">
        <f>IF($X301="","",IF(INDEX('Per Invoice'!I$2:I$401,$X301)="","",INDEX('Per Invoice'!I$2:I$401,$X301)))</f>
        <v/>
      </c>
      <c r="J301">
        <f>IF($X301="","",IF(INDEX('Per Invoice'!J$2:J$401,$X301)="","",INDEX('Per Invoice'!J$2:J$401,$X301)))</f>
        <v/>
      </c>
      <c r="K301" s="14">
        <f>IF($X301="","",IF(INDEX('Per Invoice'!K$2:K$401,$X301)="","",INDEX('Per Invoice'!K$2:K$401,$X301)))</f>
        <v/>
      </c>
      <c r="L301">
        <f>IF($X301="","",IF(INDEX('Per Invoice'!L$2:L$401,$X301)="","",INDEX('Per Invoice'!L$2:L$401,$X301)))</f>
        <v/>
      </c>
      <c r="M301" s="7">
        <f>IF($X301="","",IF(INDEX('Per Invoice'!M$2:M$401,$X301)="","",INDEX('Per Invoice'!M$2:M$401,$X301)))</f>
        <v/>
      </c>
      <c r="N301">
        <f>IF($X301="","",IF(INDEX('Per Invoice'!N$2:N$401,$X301)="","",INDEX('Per Invoice'!N$2:N$401,$X301)))</f>
        <v/>
      </c>
      <c r="O301" s="7">
        <f>IF($X301="","",IF(INDEX('Per Invoice'!O$2:O$401,$X301)="","",INDEX('Per Invoice'!O$2:O$401,$X301)))</f>
        <v/>
      </c>
      <c r="P301" s="7">
        <f>IF($X301="","",IF(INDEX('Per Invoice'!P$2:P$401,$X301)="","",INDEX('Per Invoice'!P$2:P$401,$X301)))</f>
        <v/>
      </c>
      <c r="Q301">
        <f>IF($X301="","",IF(INDEX('Per Invoice'!Q$2:Q$401,$X301)="","",INDEX('Per Invoice'!Q$2:Q$401,$X301)))</f>
        <v/>
      </c>
      <c r="R301" s="7">
        <f>IF($X301="","",IF(INDEX('Per Invoice'!R$2:R$401,$X301)="","",INDEX('Per Invoice'!R$2:R$401,$X301)))</f>
        <v/>
      </c>
      <c r="S301" s="7">
        <f>IF($X301="","",IF(INDEX('Per Invoice'!S$2:S$401,$X301)="","",INDEX('Per Invoice'!S$2:S$401,$X301)))</f>
        <v/>
      </c>
      <c r="T301" s="7">
        <f>IF($X301="","",IF(INDEX('Per Invoice'!T$2:T$401,$X301)="","",INDEX('Per Invoice'!T$2:T$401,$X301)))</f>
        <v/>
      </c>
      <c r="U301" s="7">
        <f>IF($X301="","",IF(INDEX('Per Invoice'!U$2:U$401,$X301)="","",INDEX('Per Invoice'!U$2:U$401,$X301)))</f>
        <v/>
      </c>
      <c r="V301" s="7">
        <f>IF($X301="","",IF(INDEX('Per Invoice'!V$2:V$401,$X301)="","",INDEX('Per Invoice'!V$2:V$401,$X301)))</f>
        <v/>
      </c>
      <c r="W301" s="7">
        <f>IF($X301="","",IF(INDEX('Per Invoice'!W$2:W$401,$X301)="","",INDEX('Per Invoice'!W$2:W$401,$X301)))</f>
        <v/>
      </c>
      <c r="X301" s="16">
        <f>IFERROR(MATCH(Settings!$C$33&amp;"|"&amp;ROWS($X$2:$X301),'Per Invoice'!$Y$2:$Y$401,0),"")</f>
        <v/>
      </c>
    </row>
    <row r="302">
      <c r="A302">
        <f>IF($X302="","",IF(INDEX('Per Invoice'!A$2:A$401,$X302)="","",INDEX('Per Invoice'!A$2:A$401,$X302)))</f>
        <v/>
      </c>
      <c r="B302">
        <f>IF($X302="","",IF(INDEX('Per Invoice'!B$2:B$401,$X302)="","",INDEX('Per Invoice'!B$2:B$401,$X302)))</f>
        <v/>
      </c>
      <c r="C302">
        <f>IF($X302="","",IF(INDEX('Per Invoice'!C$2:C$401,$X302)="","",INDEX('Per Invoice'!C$2:C$401,$X302)))</f>
        <v/>
      </c>
      <c r="D302">
        <f>IF($X302="","",IF(INDEX('Per Invoice'!D$2:D$401,$X302)="","",INDEX('Per Invoice'!D$2:D$401,$X302)))</f>
        <v/>
      </c>
      <c r="E302">
        <f>IF($X302="","",IF(INDEX('Per Invoice'!E$2:E$401,$X302)="","",INDEX('Per Invoice'!E$2:E$401,$X302)))</f>
        <v/>
      </c>
      <c r="F302">
        <f>IF($X302="","",IF(INDEX('Per Invoice'!F$2:F$401,$X302)="","",INDEX('Per Invoice'!F$2:F$401,$X302)))</f>
        <v/>
      </c>
      <c r="G302">
        <f>IF($X302="","",IF(INDEX('Per Invoice'!G$2:G$401,$X302)="","",INDEX('Per Invoice'!G$2:G$401,$X302)))</f>
        <v/>
      </c>
      <c r="H302">
        <f>IF($X302="","",IF(INDEX('Per Invoice'!H$2:H$401,$X302)="","",INDEX('Per Invoice'!H$2:H$401,$X302)))</f>
        <v/>
      </c>
      <c r="I302">
        <f>IF($X302="","",IF(INDEX('Per Invoice'!I$2:I$401,$X302)="","",INDEX('Per Invoice'!I$2:I$401,$X302)))</f>
        <v/>
      </c>
      <c r="J302">
        <f>IF($X302="","",IF(INDEX('Per Invoice'!J$2:J$401,$X302)="","",INDEX('Per Invoice'!J$2:J$401,$X302)))</f>
        <v/>
      </c>
      <c r="K302" s="14">
        <f>IF($X302="","",IF(INDEX('Per Invoice'!K$2:K$401,$X302)="","",INDEX('Per Invoice'!K$2:K$401,$X302)))</f>
        <v/>
      </c>
      <c r="L302">
        <f>IF($X302="","",IF(INDEX('Per Invoice'!L$2:L$401,$X302)="","",INDEX('Per Invoice'!L$2:L$401,$X302)))</f>
        <v/>
      </c>
      <c r="M302" s="7">
        <f>IF($X302="","",IF(INDEX('Per Invoice'!M$2:M$401,$X302)="","",INDEX('Per Invoice'!M$2:M$401,$X302)))</f>
        <v/>
      </c>
      <c r="N302">
        <f>IF($X302="","",IF(INDEX('Per Invoice'!N$2:N$401,$X302)="","",INDEX('Per Invoice'!N$2:N$401,$X302)))</f>
        <v/>
      </c>
      <c r="O302" s="7">
        <f>IF($X302="","",IF(INDEX('Per Invoice'!O$2:O$401,$X302)="","",INDEX('Per Invoice'!O$2:O$401,$X302)))</f>
        <v/>
      </c>
      <c r="P302" s="7">
        <f>IF($X302="","",IF(INDEX('Per Invoice'!P$2:P$401,$X302)="","",INDEX('Per Invoice'!P$2:P$401,$X302)))</f>
        <v/>
      </c>
      <c r="Q302">
        <f>IF($X302="","",IF(INDEX('Per Invoice'!Q$2:Q$401,$X302)="","",INDEX('Per Invoice'!Q$2:Q$401,$X302)))</f>
        <v/>
      </c>
      <c r="R302" s="7">
        <f>IF($X302="","",IF(INDEX('Per Invoice'!R$2:R$401,$X302)="","",INDEX('Per Invoice'!R$2:R$401,$X302)))</f>
        <v/>
      </c>
      <c r="S302" s="7">
        <f>IF($X302="","",IF(INDEX('Per Invoice'!S$2:S$401,$X302)="","",INDEX('Per Invoice'!S$2:S$401,$X302)))</f>
        <v/>
      </c>
      <c r="T302" s="7">
        <f>IF($X302="","",IF(INDEX('Per Invoice'!T$2:T$401,$X302)="","",INDEX('Per Invoice'!T$2:T$401,$X302)))</f>
        <v/>
      </c>
      <c r="U302" s="7">
        <f>IF($X302="","",IF(INDEX('Per Invoice'!U$2:U$401,$X302)="","",INDEX('Per Invoice'!U$2:U$401,$X302)))</f>
        <v/>
      </c>
      <c r="V302" s="7">
        <f>IF($X302="","",IF(INDEX('Per Invoice'!V$2:V$401,$X302)="","",INDEX('Per Invoice'!V$2:V$401,$X302)))</f>
        <v/>
      </c>
      <c r="W302" s="7">
        <f>IF($X302="","",IF(INDEX('Per Invoice'!W$2:W$401,$X302)="","",INDEX('Per Invoice'!W$2:W$401,$X302)))</f>
        <v/>
      </c>
      <c r="X302" s="16">
        <f>IFERROR(MATCH(Settings!$C$33&amp;"|"&amp;ROWS($X$2:$X302),'Per Invoice'!$Y$2:$Y$401,0),"")</f>
        <v/>
      </c>
    </row>
    <row r="303">
      <c r="A303">
        <f>IF($X303="","",IF(INDEX('Per Invoice'!A$2:A$401,$X303)="","",INDEX('Per Invoice'!A$2:A$401,$X303)))</f>
        <v/>
      </c>
      <c r="B303">
        <f>IF($X303="","",IF(INDEX('Per Invoice'!B$2:B$401,$X303)="","",INDEX('Per Invoice'!B$2:B$401,$X303)))</f>
        <v/>
      </c>
      <c r="C303">
        <f>IF($X303="","",IF(INDEX('Per Invoice'!C$2:C$401,$X303)="","",INDEX('Per Invoice'!C$2:C$401,$X303)))</f>
        <v/>
      </c>
      <c r="D303">
        <f>IF($X303="","",IF(INDEX('Per Invoice'!D$2:D$401,$X303)="","",INDEX('Per Invoice'!D$2:D$401,$X303)))</f>
        <v/>
      </c>
      <c r="E303">
        <f>IF($X303="","",IF(INDEX('Per Invoice'!E$2:E$401,$X303)="","",INDEX('Per Invoice'!E$2:E$401,$X303)))</f>
        <v/>
      </c>
      <c r="F303">
        <f>IF($X303="","",IF(INDEX('Per Invoice'!F$2:F$401,$X303)="","",INDEX('Per Invoice'!F$2:F$401,$X303)))</f>
        <v/>
      </c>
      <c r="G303">
        <f>IF($X303="","",IF(INDEX('Per Invoice'!G$2:G$401,$X303)="","",INDEX('Per Invoice'!G$2:G$401,$X303)))</f>
        <v/>
      </c>
      <c r="H303">
        <f>IF($X303="","",IF(INDEX('Per Invoice'!H$2:H$401,$X303)="","",INDEX('Per Invoice'!H$2:H$401,$X303)))</f>
        <v/>
      </c>
      <c r="I303">
        <f>IF($X303="","",IF(INDEX('Per Invoice'!I$2:I$401,$X303)="","",INDEX('Per Invoice'!I$2:I$401,$X303)))</f>
        <v/>
      </c>
      <c r="J303">
        <f>IF($X303="","",IF(INDEX('Per Invoice'!J$2:J$401,$X303)="","",INDEX('Per Invoice'!J$2:J$401,$X303)))</f>
        <v/>
      </c>
      <c r="K303" s="14">
        <f>IF($X303="","",IF(INDEX('Per Invoice'!K$2:K$401,$X303)="","",INDEX('Per Invoice'!K$2:K$401,$X303)))</f>
        <v/>
      </c>
      <c r="L303">
        <f>IF($X303="","",IF(INDEX('Per Invoice'!L$2:L$401,$X303)="","",INDEX('Per Invoice'!L$2:L$401,$X303)))</f>
        <v/>
      </c>
      <c r="M303" s="7">
        <f>IF($X303="","",IF(INDEX('Per Invoice'!M$2:M$401,$X303)="","",INDEX('Per Invoice'!M$2:M$401,$X303)))</f>
        <v/>
      </c>
      <c r="N303">
        <f>IF($X303="","",IF(INDEX('Per Invoice'!N$2:N$401,$X303)="","",INDEX('Per Invoice'!N$2:N$401,$X303)))</f>
        <v/>
      </c>
      <c r="O303" s="7">
        <f>IF($X303="","",IF(INDEX('Per Invoice'!O$2:O$401,$X303)="","",INDEX('Per Invoice'!O$2:O$401,$X303)))</f>
        <v/>
      </c>
      <c r="P303" s="7">
        <f>IF($X303="","",IF(INDEX('Per Invoice'!P$2:P$401,$X303)="","",INDEX('Per Invoice'!P$2:P$401,$X303)))</f>
        <v/>
      </c>
      <c r="Q303">
        <f>IF($X303="","",IF(INDEX('Per Invoice'!Q$2:Q$401,$X303)="","",INDEX('Per Invoice'!Q$2:Q$401,$X303)))</f>
        <v/>
      </c>
      <c r="R303" s="7">
        <f>IF($X303="","",IF(INDEX('Per Invoice'!R$2:R$401,$X303)="","",INDEX('Per Invoice'!R$2:R$401,$X303)))</f>
        <v/>
      </c>
      <c r="S303" s="7">
        <f>IF($X303="","",IF(INDEX('Per Invoice'!S$2:S$401,$X303)="","",INDEX('Per Invoice'!S$2:S$401,$X303)))</f>
        <v/>
      </c>
      <c r="T303" s="7">
        <f>IF($X303="","",IF(INDEX('Per Invoice'!T$2:T$401,$X303)="","",INDEX('Per Invoice'!T$2:T$401,$X303)))</f>
        <v/>
      </c>
      <c r="U303" s="7">
        <f>IF($X303="","",IF(INDEX('Per Invoice'!U$2:U$401,$X303)="","",INDEX('Per Invoice'!U$2:U$401,$X303)))</f>
        <v/>
      </c>
      <c r="V303" s="7">
        <f>IF($X303="","",IF(INDEX('Per Invoice'!V$2:V$401,$X303)="","",INDEX('Per Invoice'!V$2:V$401,$X303)))</f>
        <v/>
      </c>
      <c r="W303" s="7">
        <f>IF($X303="","",IF(INDEX('Per Invoice'!W$2:W$401,$X303)="","",INDEX('Per Invoice'!W$2:W$401,$X303)))</f>
        <v/>
      </c>
      <c r="X303" s="16">
        <f>IFERROR(MATCH(Settings!$C$33&amp;"|"&amp;ROWS($X$2:$X303),'Per Invoice'!$Y$2:$Y$401,0),"")</f>
        <v/>
      </c>
    </row>
    <row r="304">
      <c r="A304">
        <f>IF($X304="","",IF(INDEX('Per Invoice'!A$2:A$401,$X304)="","",INDEX('Per Invoice'!A$2:A$401,$X304)))</f>
        <v/>
      </c>
      <c r="B304">
        <f>IF($X304="","",IF(INDEX('Per Invoice'!B$2:B$401,$X304)="","",INDEX('Per Invoice'!B$2:B$401,$X304)))</f>
        <v/>
      </c>
      <c r="C304">
        <f>IF($X304="","",IF(INDEX('Per Invoice'!C$2:C$401,$X304)="","",INDEX('Per Invoice'!C$2:C$401,$X304)))</f>
        <v/>
      </c>
      <c r="D304">
        <f>IF($X304="","",IF(INDEX('Per Invoice'!D$2:D$401,$X304)="","",INDEX('Per Invoice'!D$2:D$401,$X304)))</f>
        <v/>
      </c>
      <c r="E304">
        <f>IF($X304="","",IF(INDEX('Per Invoice'!E$2:E$401,$X304)="","",INDEX('Per Invoice'!E$2:E$401,$X304)))</f>
        <v/>
      </c>
      <c r="F304">
        <f>IF($X304="","",IF(INDEX('Per Invoice'!F$2:F$401,$X304)="","",INDEX('Per Invoice'!F$2:F$401,$X304)))</f>
        <v/>
      </c>
      <c r="G304">
        <f>IF($X304="","",IF(INDEX('Per Invoice'!G$2:G$401,$X304)="","",INDEX('Per Invoice'!G$2:G$401,$X304)))</f>
        <v/>
      </c>
      <c r="H304">
        <f>IF($X304="","",IF(INDEX('Per Invoice'!H$2:H$401,$X304)="","",INDEX('Per Invoice'!H$2:H$401,$X304)))</f>
        <v/>
      </c>
      <c r="I304">
        <f>IF($X304="","",IF(INDEX('Per Invoice'!I$2:I$401,$X304)="","",INDEX('Per Invoice'!I$2:I$401,$X304)))</f>
        <v/>
      </c>
      <c r="J304">
        <f>IF($X304="","",IF(INDEX('Per Invoice'!J$2:J$401,$X304)="","",INDEX('Per Invoice'!J$2:J$401,$X304)))</f>
        <v/>
      </c>
      <c r="K304" s="14">
        <f>IF($X304="","",IF(INDEX('Per Invoice'!K$2:K$401,$X304)="","",INDEX('Per Invoice'!K$2:K$401,$X304)))</f>
        <v/>
      </c>
      <c r="L304">
        <f>IF($X304="","",IF(INDEX('Per Invoice'!L$2:L$401,$X304)="","",INDEX('Per Invoice'!L$2:L$401,$X304)))</f>
        <v/>
      </c>
      <c r="M304" s="7">
        <f>IF($X304="","",IF(INDEX('Per Invoice'!M$2:M$401,$X304)="","",INDEX('Per Invoice'!M$2:M$401,$X304)))</f>
        <v/>
      </c>
      <c r="N304">
        <f>IF($X304="","",IF(INDEX('Per Invoice'!N$2:N$401,$X304)="","",INDEX('Per Invoice'!N$2:N$401,$X304)))</f>
        <v/>
      </c>
      <c r="O304" s="7">
        <f>IF($X304="","",IF(INDEX('Per Invoice'!O$2:O$401,$X304)="","",INDEX('Per Invoice'!O$2:O$401,$X304)))</f>
        <v/>
      </c>
      <c r="P304" s="7">
        <f>IF($X304="","",IF(INDEX('Per Invoice'!P$2:P$401,$X304)="","",INDEX('Per Invoice'!P$2:P$401,$X304)))</f>
        <v/>
      </c>
      <c r="Q304">
        <f>IF($X304="","",IF(INDEX('Per Invoice'!Q$2:Q$401,$X304)="","",INDEX('Per Invoice'!Q$2:Q$401,$X304)))</f>
        <v/>
      </c>
      <c r="R304" s="7">
        <f>IF($X304="","",IF(INDEX('Per Invoice'!R$2:R$401,$X304)="","",INDEX('Per Invoice'!R$2:R$401,$X304)))</f>
        <v/>
      </c>
      <c r="S304" s="7">
        <f>IF($X304="","",IF(INDEX('Per Invoice'!S$2:S$401,$X304)="","",INDEX('Per Invoice'!S$2:S$401,$X304)))</f>
        <v/>
      </c>
      <c r="T304" s="7">
        <f>IF($X304="","",IF(INDEX('Per Invoice'!T$2:T$401,$X304)="","",INDEX('Per Invoice'!T$2:T$401,$X304)))</f>
        <v/>
      </c>
      <c r="U304" s="7">
        <f>IF($X304="","",IF(INDEX('Per Invoice'!U$2:U$401,$X304)="","",INDEX('Per Invoice'!U$2:U$401,$X304)))</f>
        <v/>
      </c>
      <c r="V304" s="7">
        <f>IF($X304="","",IF(INDEX('Per Invoice'!V$2:V$401,$X304)="","",INDEX('Per Invoice'!V$2:V$401,$X304)))</f>
        <v/>
      </c>
      <c r="W304" s="7">
        <f>IF($X304="","",IF(INDEX('Per Invoice'!W$2:W$401,$X304)="","",INDEX('Per Invoice'!W$2:W$401,$X304)))</f>
        <v/>
      </c>
      <c r="X304" s="16">
        <f>IFERROR(MATCH(Settings!$C$33&amp;"|"&amp;ROWS($X$2:$X304),'Per Invoice'!$Y$2:$Y$401,0),"")</f>
        <v/>
      </c>
    </row>
    <row r="305">
      <c r="A305">
        <f>IF($X305="","",IF(INDEX('Per Invoice'!A$2:A$401,$X305)="","",INDEX('Per Invoice'!A$2:A$401,$X305)))</f>
        <v/>
      </c>
      <c r="B305">
        <f>IF($X305="","",IF(INDEX('Per Invoice'!B$2:B$401,$X305)="","",INDEX('Per Invoice'!B$2:B$401,$X305)))</f>
        <v/>
      </c>
      <c r="C305">
        <f>IF($X305="","",IF(INDEX('Per Invoice'!C$2:C$401,$X305)="","",INDEX('Per Invoice'!C$2:C$401,$X305)))</f>
        <v/>
      </c>
      <c r="D305">
        <f>IF($X305="","",IF(INDEX('Per Invoice'!D$2:D$401,$X305)="","",INDEX('Per Invoice'!D$2:D$401,$X305)))</f>
        <v/>
      </c>
      <c r="E305">
        <f>IF($X305="","",IF(INDEX('Per Invoice'!E$2:E$401,$X305)="","",INDEX('Per Invoice'!E$2:E$401,$X305)))</f>
        <v/>
      </c>
      <c r="F305">
        <f>IF($X305="","",IF(INDEX('Per Invoice'!F$2:F$401,$X305)="","",INDEX('Per Invoice'!F$2:F$401,$X305)))</f>
        <v/>
      </c>
      <c r="G305">
        <f>IF($X305="","",IF(INDEX('Per Invoice'!G$2:G$401,$X305)="","",INDEX('Per Invoice'!G$2:G$401,$X305)))</f>
        <v/>
      </c>
      <c r="H305">
        <f>IF($X305="","",IF(INDEX('Per Invoice'!H$2:H$401,$X305)="","",INDEX('Per Invoice'!H$2:H$401,$X305)))</f>
        <v/>
      </c>
      <c r="I305">
        <f>IF($X305="","",IF(INDEX('Per Invoice'!I$2:I$401,$X305)="","",INDEX('Per Invoice'!I$2:I$401,$X305)))</f>
        <v/>
      </c>
      <c r="J305">
        <f>IF($X305="","",IF(INDEX('Per Invoice'!J$2:J$401,$X305)="","",INDEX('Per Invoice'!J$2:J$401,$X305)))</f>
        <v/>
      </c>
      <c r="K305" s="14">
        <f>IF($X305="","",IF(INDEX('Per Invoice'!K$2:K$401,$X305)="","",INDEX('Per Invoice'!K$2:K$401,$X305)))</f>
        <v/>
      </c>
      <c r="L305">
        <f>IF($X305="","",IF(INDEX('Per Invoice'!L$2:L$401,$X305)="","",INDEX('Per Invoice'!L$2:L$401,$X305)))</f>
        <v/>
      </c>
      <c r="M305" s="7">
        <f>IF($X305="","",IF(INDEX('Per Invoice'!M$2:M$401,$X305)="","",INDEX('Per Invoice'!M$2:M$401,$X305)))</f>
        <v/>
      </c>
      <c r="N305">
        <f>IF($X305="","",IF(INDEX('Per Invoice'!N$2:N$401,$X305)="","",INDEX('Per Invoice'!N$2:N$401,$X305)))</f>
        <v/>
      </c>
      <c r="O305" s="7">
        <f>IF($X305="","",IF(INDEX('Per Invoice'!O$2:O$401,$X305)="","",INDEX('Per Invoice'!O$2:O$401,$X305)))</f>
        <v/>
      </c>
      <c r="P305" s="7">
        <f>IF($X305="","",IF(INDEX('Per Invoice'!P$2:P$401,$X305)="","",INDEX('Per Invoice'!P$2:P$401,$X305)))</f>
        <v/>
      </c>
      <c r="Q305">
        <f>IF($X305="","",IF(INDEX('Per Invoice'!Q$2:Q$401,$X305)="","",INDEX('Per Invoice'!Q$2:Q$401,$X305)))</f>
        <v/>
      </c>
      <c r="R305" s="7">
        <f>IF($X305="","",IF(INDEX('Per Invoice'!R$2:R$401,$X305)="","",INDEX('Per Invoice'!R$2:R$401,$X305)))</f>
        <v/>
      </c>
      <c r="S305" s="7">
        <f>IF($X305="","",IF(INDEX('Per Invoice'!S$2:S$401,$X305)="","",INDEX('Per Invoice'!S$2:S$401,$X305)))</f>
        <v/>
      </c>
      <c r="T305" s="7">
        <f>IF($X305="","",IF(INDEX('Per Invoice'!T$2:T$401,$X305)="","",INDEX('Per Invoice'!T$2:T$401,$X305)))</f>
        <v/>
      </c>
      <c r="U305" s="7">
        <f>IF($X305="","",IF(INDEX('Per Invoice'!U$2:U$401,$X305)="","",INDEX('Per Invoice'!U$2:U$401,$X305)))</f>
        <v/>
      </c>
      <c r="V305" s="7">
        <f>IF($X305="","",IF(INDEX('Per Invoice'!V$2:V$401,$X305)="","",INDEX('Per Invoice'!V$2:V$401,$X305)))</f>
        <v/>
      </c>
      <c r="W305" s="7">
        <f>IF($X305="","",IF(INDEX('Per Invoice'!W$2:W$401,$X305)="","",INDEX('Per Invoice'!W$2:W$401,$X305)))</f>
        <v/>
      </c>
      <c r="X305" s="16">
        <f>IFERROR(MATCH(Settings!$C$33&amp;"|"&amp;ROWS($X$2:$X305),'Per Invoice'!$Y$2:$Y$401,0),"")</f>
        <v/>
      </c>
    </row>
    <row r="306">
      <c r="A306">
        <f>IF($X306="","",IF(INDEX('Per Invoice'!A$2:A$401,$X306)="","",INDEX('Per Invoice'!A$2:A$401,$X306)))</f>
        <v/>
      </c>
      <c r="B306">
        <f>IF($X306="","",IF(INDEX('Per Invoice'!B$2:B$401,$X306)="","",INDEX('Per Invoice'!B$2:B$401,$X306)))</f>
        <v/>
      </c>
      <c r="C306">
        <f>IF($X306="","",IF(INDEX('Per Invoice'!C$2:C$401,$X306)="","",INDEX('Per Invoice'!C$2:C$401,$X306)))</f>
        <v/>
      </c>
      <c r="D306">
        <f>IF($X306="","",IF(INDEX('Per Invoice'!D$2:D$401,$X306)="","",INDEX('Per Invoice'!D$2:D$401,$X306)))</f>
        <v/>
      </c>
      <c r="E306">
        <f>IF($X306="","",IF(INDEX('Per Invoice'!E$2:E$401,$X306)="","",INDEX('Per Invoice'!E$2:E$401,$X306)))</f>
        <v/>
      </c>
      <c r="F306">
        <f>IF($X306="","",IF(INDEX('Per Invoice'!F$2:F$401,$X306)="","",INDEX('Per Invoice'!F$2:F$401,$X306)))</f>
        <v/>
      </c>
      <c r="G306">
        <f>IF($X306="","",IF(INDEX('Per Invoice'!G$2:G$401,$X306)="","",INDEX('Per Invoice'!G$2:G$401,$X306)))</f>
        <v/>
      </c>
      <c r="H306">
        <f>IF($X306="","",IF(INDEX('Per Invoice'!H$2:H$401,$X306)="","",INDEX('Per Invoice'!H$2:H$401,$X306)))</f>
        <v/>
      </c>
      <c r="I306">
        <f>IF($X306="","",IF(INDEX('Per Invoice'!I$2:I$401,$X306)="","",INDEX('Per Invoice'!I$2:I$401,$X306)))</f>
        <v/>
      </c>
      <c r="J306">
        <f>IF($X306="","",IF(INDEX('Per Invoice'!J$2:J$401,$X306)="","",INDEX('Per Invoice'!J$2:J$401,$X306)))</f>
        <v/>
      </c>
      <c r="K306" s="14">
        <f>IF($X306="","",IF(INDEX('Per Invoice'!K$2:K$401,$X306)="","",INDEX('Per Invoice'!K$2:K$401,$X306)))</f>
        <v/>
      </c>
      <c r="L306">
        <f>IF($X306="","",IF(INDEX('Per Invoice'!L$2:L$401,$X306)="","",INDEX('Per Invoice'!L$2:L$401,$X306)))</f>
        <v/>
      </c>
      <c r="M306" s="7">
        <f>IF($X306="","",IF(INDEX('Per Invoice'!M$2:M$401,$X306)="","",INDEX('Per Invoice'!M$2:M$401,$X306)))</f>
        <v/>
      </c>
      <c r="N306">
        <f>IF($X306="","",IF(INDEX('Per Invoice'!N$2:N$401,$X306)="","",INDEX('Per Invoice'!N$2:N$401,$X306)))</f>
        <v/>
      </c>
      <c r="O306" s="7">
        <f>IF($X306="","",IF(INDEX('Per Invoice'!O$2:O$401,$X306)="","",INDEX('Per Invoice'!O$2:O$401,$X306)))</f>
        <v/>
      </c>
      <c r="P306" s="7">
        <f>IF($X306="","",IF(INDEX('Per Invoice'!P$2:P$401,$X306)="","",INDEX('Per Invoice'!P$2:P$401,$X306)))</f>
        <v/>
      </c>
      <c r="Q306">
        <f>IF($X306="","",IF(INDEX('Per Invoice'!Q$2:Q$401,$X306)="","",INDEX('Per Invoice'!Q$2:Q$401,$X306)))</f>
        <v/>
      </c>
      <c r="R306" s="7">
        <f>IF($X306="","",IF(INDEX('Per Invoice'!R$2:R$401,$X306)="","",INDEX('Per Invoice'!R$2:R$401,$X306)))</f>
        <v/>
      </c>
      <c r="S306" s="7">
        <f>IF($X306="","",IF(INDEX('Per Invoice'!S$2:S$401,$X306)="","",INDEX('Per Invoice'!S$2:S$401,$X306)))</f>
        <v/>
      </c>
      <c r="T306" s="7">
        <f>IF($X306="","",IF(INDEX('Per Invoice'!T$2:T$401,$X306)="","",INDEX('Per Invoice'!T$2:T$401,$X306)))</f>
        <v/>
      </c>
      <c r="U306" s="7">
        <f>IF($X306="","",IF(INDEX('Per Invoice'!U$2:U$401,$X306)="","",INDEX('Per Invoice'!U$2:U$401,$X306)))</f>
        <v/>
      </c>
      <c r="V306" s="7">
        <f>IF($X306="","",IF(INDEX('Per Invoice'!V$2:V$401,$X306)="","",INDEX('Per Invoice'!V$2:V$401,$X306)))</f>
        <v/>
      </c>
      <c r="W306" s="7">
        <f>IF($X306="","",IF(INDEX('Per Invoice'!W$2:W$401,$X306)="","",INDEX('Per Invoice'!W$2:W$401,$X306)))</f>
        <v/>
      </c>
      <c r="X306" s="16">
        <f>IFERROR(MATCH(Settings!$C$33&amp;"|"&amp;ROWS($X$2:$X306),'Per Invoice'!$Y$2:$Y$401,0),"")</f>
        <v/>
      </c>
    </row>
    <row r="307">
      <c r="A307">
        <f>IF($X307="","",IF(INDEX('Per Invoice'!A$2:A$401,$X307)="","",INDEX('Per Invoice'!A$2:A$401,$X307)))</f>
        <v/>
      </c>
      <c r="B307">
        <f>IF($X307="","",IF(INDEX('Per Invoice'!B$2:B$401,$X307)="","",INDEX('Per Invoice'!B$2:B$401,$X307)))</f>
        <v/>
      </c>
      <c r="C307">
        <f>IF($X307="","",IF(INDEX('Per Invoice'!C$2:C$401,$X307)="","",INDEX('Per Invoice'!C$2:C$401,$X307)))</f>
        <v/>
      </c>
      <c r="D307">
        <f>IF($X307="","",IF(INDEX('Per Invoice'!D$2:D$401,$X307)="","",INDEX('Per Invoice'!D$2:D$401,$X307)))</f>
        <v/>
      </c>
      <c r="E307">
        <f>IF($X307="","",IF(INDEX('Per Invoice'!E$2:E$401,$X307)="","",INDEX('Per Invoice'!E$2:E$401,$X307)))</f>
        <v/>
      </c>
      <c r="F307">
        <f>IF($X307="","",IF(INDEX('Per Invoice'!F$2:F$401,$X307)="","",INDEX('Per Invoice'!F$2:F$401,$X307)))</f>
        <v/>
      </c>
      <c r="G307">
        <f>IF($X307="","",IF(INDEX('Per Invoice'!G$2:G$401,$X307)="","",INDEX('Per Invoice'!G$2:G$401,$X307)))</f>
        <v/>
      </c>
      <c r="H307">
        <f>IF($X307="","",IF(INDEX('Per Invoice'!H$2:H$401,$X307)="","",INDEX('Per Invoice'!H$2:H$401,$X307)))</f>
        <v/>
      </c>
      <c r="I307">
        <f>IF($X307="","",IF(INDEX('Per Invoice'!I$2:I$401,$X307)="","",INDEX('Per Invoice'!I$2:I$401,$X307)))</f>
        <v/>
      </c>
      <c r="J307">
        <f>IF($X307="","",IF(INDEX('Per Invoice'!J$2:J$401,$X307)="","",INDEX('Per Invoice'!J$2:J$401,$X307)))</f>
        <v/>
      </c>
      <c r="K307" s="14">
        <f>IF($X307="","",IF(INDEX('Per Invoice'!K$2:K$401,$X307)="","",INDEX('Per Invoice'!K$2:K$401,$X307)))</f>
        <v/>
      </c>
      <c r="L307">
        <f>IF($X307="","",IF(INDEX('Per Invoice'!L$2:L$401,$X307)="","",INDEX('Per Invoice'!L$2:L$401,$X307)))</f>
        <v/>
      </c>
      <c r="M307" s="7">
        <f>IF($X307="","",IF(INDEX('Per Invoice'!M$2:M$401,$X307)="","",INDEX('Per Invoice'!M$2:M$401,$X307)))</f>
        <v/>
      </c>
      <c r="N307">
        <f>IF($X307="","",IF(INDEX('Per Invoice'!N$2:N$401,$X307)="","",INDEX('Per Invoice'!N$2:N$401,$X307)))</f>
        <v/>
      </c>
      <c r="O307" s="7">
        <f>IF($X307="","",IF(INDEX('Per Invoice'!O$2:O$401,$X307)="","",INDEX('Per Invoice'!O$2:O$401,$X307)))</f>
        <v/>
      </c>
      <c r="P307" s="7">
        <f>IF($X307="","",IF(INDEX('Per Invoice'!P$2:P$401,$X307)="","",INDEX('Per Invoice'!P$2:P$401,$X307)))</f>
        <v/>
      </c>
      <c r="Q307">
        <f>IF($X307="","",IF(INDEX('Per Invoice'!Q$2:Q$401,$X307)="","",INDEX('Per Invoice'!Q$2:Q$401,$X307)))</f>
        <v/>
      </c>
      <c r="R307" s="7">
        <f>IF($X307="","",IF(INDEX('Per Invoice'!R$2:R$401,$X307)="","",INDEX('Per Invoice'!R$2:R$401,$X307)))</f>
        <v/>
      </c>
      <c r="S307" s="7">
        <f>IF($X307="","",IF(INDEX('Per Invoice'!S$2:S$401,$X307)="","",INDEX('Per Invoice'!S$2:S$401,$X307)))</f>
        <v/>
      </c>
      <c r="T307" s="7">
        <f>IF($X307="","",IF(INDEX('Per Invoice'!T$2:T$401,$X307)="","",INDEX('Per Invoice'!T$2:T$401,$X307)))</f>
        <v/>
      </c>
      <c r="U307" s="7">
        <f>IF($X307="","",IF(INDEX('Per Invoice'!U$2:U$401,$X307)="","",INDEX('Per Invoice'!U$2:U$401,$X307)))</f>
        <v/>
      </c>
      <c r="V307" s="7">
        <f>IF($X307="","",IF(INDEX('Per Invoice'!V$2:V$401,$X307)="","",INDEX('Per Invoice'!V$2:V$401,$X307)))</f>
        <v/>
      </c>
      <c r="W307" s="7">
        <f>IF($X307="","",IF(INDEX('Per Invoice'!W$2:W$401,$X307)="","",INDEX('Per Invoice'!W$2:W$401,$X307)))</f>
        <v/>
      </c>
      <c r="X307" s="16">
        <f>IFERROR(MATCH(Settings!$C$33&amp;"|"&amp;ROWS($X$2:$X307),'Per Invoice'!$Y$2:$Y$401,0),"")</f>
        <v/>
      </c>
    </row>
    <row r="308">
      <c r="A308">
        <f>IF($X308="","",IF(INDEX('Per Invoice'!A$2:A$401,$X308)="","",INDEX('Per Invoice'!A$2:A$401,$X308)))</f>
        <v/>
      </c>
      <c r="B308">
        <f>IF($X308="","",IF(INDEX('Per Invoice'!B$2:B$401,$X308)="","",INDEX('Per Invoice'!B$2:B$401,$X308)))</f>
        <v/>
      </c>
      <c r="C308">
        <f>IF($X308="","",IF(INDEX('Per Invoice'!C$2:C$401,$X308)="","",INDEX('Per Invoice'!C$2:C$401,$X308)))</f>
        <v/>
      </c>
      <c r="D308">
        <f>IF($X308="","",IF(INDEX('Per Invoice'!D$2:D$401,$X308)="","",INDEX('Per Invoice'!D$2:D$401,$X308)))</f>
        <v/>
      </c>
      <c r="E308">
        <f>IF($X308="","",IF(INDEX('Per Invoice'!E$2:E$401,$X308)="","",INDEX('Per Invoice'!E$2:E$401,$X308)))</f>
        <v/>
      </c>
      <c r="F308">
        <f>IF($X308="","",IF(INDEX('Per Invoice'!F$2:F$401,$X308)="","",INDEX('Per Invoice'!F$2:F$401,$X308)))</f>
        <v/>
      </c>
      <c r="G308">
        <f>IF($X308="","",IF(INDEX('Per Invoice'!G$2:G$401,$X308)="","",INDEX('Per Invoice'!G$2:G$401,$X308)))</f>
        <v/>
      </c>
      <c r="H308">
        <f>IF($X308="","",IF(INDEX('Per Invoice'!H$2:H$401,$X308)="","",INDEX('Per Invoice'!H$2:H$401,$X308)))</f>
        <v/>
      </c>
      <c r="I308">
        <f>IF($X308="","",IF(INDEX('Per Invoice'!I$2:I$401,$X308)="","",INDEX('Per Invoice'!I$2:I$401,$X308)))</f>
        <v/>
      </c>
      <c r="J308">
        <f>IF($X308="","",IF(INDEX('Per Invoice'!J$2:J$401,$X308)="","",INDEX('Per Invoice'!J$2:J$401,$X308)))</f>
        <v/>
      </c>
      <c r="K308" s="14">
        <f>IF($X308="","",IF(INDEX('Per Invoice'!K$2:K$401,$X308)="","",INDEX('Per Invoice'!K$2:K$401,$X308)))</f>
        <v/>
      </c>
      <c r="L308">
        <f>IF($X308="","",IF(INDEX('Per Invoice'!L$2:L$401,$X308)="","",INDEX('Per Invoice'!L$2:L$401,$X308)))</f>
        <v/>
      </c>
      <c r="M308" s="7">
        <f>IF($X308="","",IF(INDEX('Per Invoice'!M$2:M$401,$X308)="","",INDEX('Per Invoice'!M$2:M$401,$X308)))</f>
        <v/>
      </c>
      <c r="N308">
        <f>IF($X308="","",IF(INDEX('Per Invoice'!N$2:N$401,$X308)="","",INDEX('Per Invoice'!N$2:N$401,$X308)))</f>
        <v/>
      </c>
      <c r="O308" s="7">
        <f>IF($X308="","",IF(INDEX('Per Invoice'!O$2:O$401,$X308)="","",INDEX('Per Invoice'!O$2:O$401,$X308)))</f>
        <v/>
      </c>
      <c r="P308" s="7">
        <f>IF($X308="","",IF(INDEX('Per Invoice'!P$2:P$401,$X308)="","",INDEX('Per Invoice'!P$2:P$401,$X308)))</f>
        <v/>
      </c>
      <c r="Q308">
        <f>IF($X308="","",IF(INDEX('Per Invoice'!Q$2:Q$401,$X308)="","",INDEX('Per Invoice'!Q$2:Q$401,$X308)))</f>
        <v/>
      </c>
      <c r="R308" s="7">
        <f>IF($X308="","",IF(INDEX('Per Invoice'!R$2:R$401,$X308)="","",INDEX('Per Invoice'!R$2:R$401,$X308)))</f>
        <v/>
      </c>
      <c r="S308" s="7">
        <f>IF($X308="","",IF(INDEX('Per Invoice'!S$2:S$401,$X308)="","",INDEX('Per Invoice'!S$2:S$401,$X308)))</f>
        <v/>
      </c>
      <c r="T308" s="7">
        <f>IF($X308="","",IF(INDEX('Per Invoice'!T$2:T$401,$X308)="","",INDEX('Per Invoice'!T$2:T$401,$X308)))</f>
        <v/>
      </c>
      <c r="U308" s="7">
        <f>IF($X308="","",IF(INDEX('Per Invoice'!U$2:U$401,$X308)="","",INDEX('Per Invoice'!U$2:U$401,$X308)))</f>
        <v/>
      </c>
      <c r="V308" s="7">
        <f>IF($X308="","",IF(INDEX('Per Invoice'!V$2:V$401,$X308)="","",INDEX('Per Invoice'!V$2:V$401,$X308)))</f>
        <v/>
      </c>
      <c r="W308" s="7">
        <f>IF($X308="","",IF(INDEX('Per Invoice'!W$2:W$401,$X308)="","",INDEX('Per Invoice'!W$2:W$401,$X308)))</f>
        <v/>
      </c>
      <c r="X308" s="16">
        <f>IFERROR(MATCH(Settings!$C$33&amp;"|"&amp;ROWS($X$2:$X308),'Per Invoice'!$Y$2:$Y$401,0),"")</f>
        <v/>
      </c>
    </row>
    <row r="309">
      <c r="A309">
        <f>IF($X309="","",IF(INDEX('Per Invoice'!A$2:A$401,$X309)="","",INDEX('Per Invoice'!A$2:A$401,$X309)))</f>
        <v/>
      </c>
      <c r="B309">
        <f>IF($X309="","",IF(INDEX('Per Invoice'!B$2:B$401,$X309)="","",INDEX('Per Invoice'!B$2:B$401,$X309)))</f>
        <v/>
      </c>
      <c r="C309">
        <f>IF($X309="","",IF(INDEX('Per Invoice'!C$2:C$401,$X309)="","",INDEX('Per Invoice'!C$2:C$401,$X309)))</f>
        <v/>
      </c>
      <c r="D309">
        <f>IF($X309="","",IF(INDEX('Per Invoice'!D$2:D$401,$X309)="","",INDEX('Per Invoice'!D$2:D$401,$X309)))</f>
        <v/>
      </c>
      <c r="E309">
        <f>IF($X309="","",IF(INDEX('Per Invoice'!E$2:E$401,$X309)="","",INDEX('Per Invoice'!E$2:E$401,$X309)))</f>
        <v/>
      </c>
      <c r="F309">
        <f>IF($X309="","",IF(INDEX('Per Invoice'!F$2:F$401,$X309)="","",INDEX('Per Invoice'!F$2:F$401,$X309)))</f>
        <v/>
      </c>
      <c r="G309">
        <f>IF($X309="","",IF(INDEX('Per Invoice'!G$2:G$401,$X309)="","",INDEX('Per Invoice'!G$2:G$401,$X309)))</f>
        <v/>
      </c>
      <c r="H309">
        <f>IF($X309="","",IF(INDEX('Per Invoice'!H$2:H$401,$X309)="","",INDEX('Per Invoice'!H$2:H$401,$X309)))</f>
        <v/>
      </c>
      <c r="I309">
        <f>IF($X309="","",IF(INDEX('Per Invoice'!I$2:I$401,$X309)="","",INDEX('Per Invoice'!I$2:I$401,$X309)))</f>
        <v/>
      </c>
      <c r="J309">
        <f>IF($X309="","",IF(INDEX('Per Invoice'!J$2:J$401,$X309)="","",INDEX('Per Invoice'!J$2:J$401,$X309)))</f>
        <v/>
      </c>
      <c r="K309" s="14">
        <f>IF($X309="","",IF(INDEX('Per Invoice'!K$2:K$401,$X309)="","",INDEX('Per Invoice'!K$2:K$401,$X309)))</f>
        <v/>
      </c>
      <c r="L309">
        <f>IF($X309="","",IF(INDEX('Per Invoice'!L$2:L$401,$X309)="","",INDEX('Per Invoice'!L$2:L$401,$X309)))</f>
        <v/>
      </c>
      <c r="M309" s="7">
        <f>IF($X309="","",IF(INDEX('Per Invoice'!M$2:M$401,$X309)="","",INDEX('Per Invoice'!M$2:M$401,$X309)))</f>
        <v/>
      </c>
      <c r="N309">
        <f>IF($X309="","",IF(INDEX('Per Invoice'!N$2:N$401,$X309)="","",INDEX('Per Invoice'!N$2:N$401,$X309)))</f>
        <v/>
      </c>
      <c r="O309" s="7">
        <f>IF($X309="","",IF(INDEX('Per Invoice'!O$2:O$401,$X309)="","",INDEX('Per Invoice'!O$2:O$401,$X309)))</f>
        <v/>
      </c>
      <c r="P309" s="7">
        <f>IF($X309="","",IF(INDEX('Per Invoice'!P$2:P$401,$X309)="","",INDEX('Per Invoice'!P$2:P$401,$X309)))</f>
        <v/>
      </c>
      <c r="Q309">
        <f>IF($X309="","",IF(INDEX('Per Invoice'!Q$2:Q$401,$X309)="","",INDEX('Per Invoice'!Q$2:Q$401,$X309)))</f>
        <v/>
      </c>
      <c r="R309" s="7">
        <f>IF($X309="","",IF(INDEX('Per Invoice'!R$2:R$401,$X309)="","",INDEX('Per Invoice'!R$2:R$401,$X309)))</f>
        <v/>
      </c>
      <c r="S309" s="7">
        <f>IF($X309="","",IF(INDEX('Per Invoice'!S$2:S$401,$X309)="","",INDEX('Per Invoice'!S$2:S$401,$X309)))</f>
        <v/>
      </c>
      <c r="T309" s="7">
        <f>IF($X309="","",IF(INDEX('Per Invoice'!T$2:T$401,$X309)="","",INDEX('Per Invoice'!T$2:T$401,$X309)))</f>
        <v/>
      </c>
      <c r="U309" s="7">
        <f>IF($X309="","",IF(INDEX('Per Invoice'!U$2:U$401,$X309)="","",INDEX('Per Invoice'!U$2:U$401,$X309)))</f>
        <v/>
      </c>
      <c r="V309" s="7">
        <f>IF($X309="","",IF(INDEX('Per Invoice'!V$2:V$401,$X309)="","",INDEX('Per Invoice'!V$2:V$401,$X309)))</f>
        <v/>
      </c>
      <c r="W309" s="7">
        <f>IF($X309="","",IF(INDEX('Per Invoice'!W$2:W$401,$X309)="","",INDEX('Per Invoice'!W$2:W$401,$X309)))</f>
        <v/>
      </c>
      <c r="X309" s="16">
        <f>IFERROR(MATCH(Settings!$C$33&amp;"|"&amp;ROWS($X$2:$X309),'Per Invoice'!$Y$2:$Y$401,0),"")</f>
        <v/>
      </c>
    </row>
    <row r="310">
      <c r="A310">
        <f>IF($X310="","",IF(INDEX('Per Invoice'!A$2:A$401,$X310)="","",INDEX('Per Invoice'!A$2:A$401,$X310)))</f>
        <v/>
      </c>
      <c r="B310">
        <f>IF($X310="","",IF(INDEX('Per Invoice'!B$2:B$401,$X310)="","",INDEX('Per Invoice'!B$2:B$401,$X310)))</f>
        <v/>
      </c>
      <c r="C310">
        <f>IF($X310="","",IF(INDEX('Per Invoice'!C$2:C$401,$X310)="","",INDEX('Per Invoice'!C$2:C$401,$X310)))</f>
        <v/>
      </c>
      <c r="D310">
        <f>IF($X310="","",IF(INDEX('Per Invoice'!D$2:D$401,$X310)="","",INDEX('Per Invoice'!D$2:D$401,$X310)))</f>
        <v/>
      </c>
      <c r="E310">
        <f>IF($X310="","",IF(INDEX('Per Invoice'!E$2:E$401,$X310)="","",INDEX('Per Invoice'!E$2:E$401,$X310)))</f>
        <v/>
      </c>
      <c r="F310">
        <f>IF($X310="","",IF(INDEX('Per Invoice'!F$2:F$401,$X310)="","",INDEX('Per Invoice'!F$2:F$401,$X310)))</f>
        <v/>
      </c>
      <c r="G310">
        <f>IF($X310="","",IF(INDEX('Per Invoice'!G$2:G$401,$X310)="","",INDEX('Per Invoice'!G$2:G$401,$X310)))</f>
        <v/>
      </c>
      <c r="H310">
        <f>IF($X310="","",IF(INDEX('Per Invoice'!H$2:H$401,$X310)="","",INDEX('Per Invoice'!H$2:H$401,$X310)))</f>
        <v/>
      </c>
      <c r="I310">
        <f>IF($X310="","",IF(INDEX('Per Invoice'!I$2:I$401,$X310)="","",INDEX('Per Invoice'!I$2:I$401,$X310)))</f>
        <v/>
      </c>
      <c r="J310">
        <f>IF($X310="","",IF(INDEX('Per Invoice'!J$2:J$401,$X310)="","",INDEX('Per Invoice'!J$2:J$401,$X310)))</f>
        <v/>
      </c>
      <c r="K310" s="14">
        <f>IF($X310="","",IF(INDEX('Per Invoice'!K$2:K$401,$X310)="","",INDEX('Per Invoice'!K$2:K$401,$X310)))</f>
        <v/>
      </c>
      <c r="L310">
        <f>IF($X310="","",IF(INDEX('Per Invoice'!L$2:L$401,$X310)="","",INDEX('Per Invoice'!L$2:L$401,$X310)))</f>
        <v/>
      </c>
      <c r="M310" s="7">
        <f>IF($X310="","",IF(INDEX('Per Invoice'!M$2:M$401,$X310)="","",INDEX('Per Invoice'!M$2:M$401,$X310)))</f>
        <v/>
      </c>
      <c r="N310">
        <f>IF($X310="","",IF(INDEX('Per Invoice'!N$2:N$401,$X310)="","",INDEX('Per Invoice'!N$2:N$401,$X310)))</f>
        <v/>
      </c>
      <c r="O310" s="7">
        <f>IF($X310="","",IF(INDEX('Per Invoice'!O$2:O$401,$X310)="","",INDEX('Per Invoice'!O$2:O$401,$X310)))</f>
        <v/>
      </c>
      <c r="P310" s="7">
        <f>IF($X310="","",IF(INDEX('Per Invoice'!P$2:P$401,$X310)="","",INDEX('Per Invoice'!P$2:P$401,$X310)))</f>
        <v/>
      </c>
      <c r="Q310">
        <f>IF($X310="","",IF(INDEX('Per Invoice'!Q$2:Q$401,$X310)="","",INDEX('Per Invoice'!Q$2:Q$401,$X310)))</f>
        <v/>
      </c>
      <c r="R310" s="7">
        <f>IF($X310="","",IF(INDEX('Per Invoice'!R$2:R$401,$X310)="","",INDEX('Per Invoice'!R$2:R$401,$X310)))</f>
        <v/>
      </c>
      <c r="S310" s="7">
        <f>IF($X310="","",IF(INDEX('Per Invoice'!S$2:S$401,$X310)="","",INDEX('Per Invoice'!S$2:S$401,$X310)))</f>
        <v/>
      </c>
      <c r="T310" s="7">
        <f>IF($X310="","",IF(INDEX('Per Invoice'!T$2:T$401,$X310)="","",INDEX('Per Invoice'!T$2:T$401,$X310)))</f>
        <v/>
      </c>
      <c r="U310" s="7">
        <f>IF($X310="","",IF(INDEX('Per Invoice'!U$2:U$401,$X310)="","",INDEX('Per Invoice'!U$2:U$401,$X310)))</f>
        <v/>
      </c>
      <c r="V310" s="7">
        <f>IF($X310="","",IF(INDEX('Per Invoice'!V$2:V$401,$X310)="","",INDEX('Per Invoice'!V$2:V$401,$X310)))</f>
        <v/>
      </c>
      <c r="W310" s="7">
        <f>IF($X310="","",IF(INDEX('Per Invoice'!W$2:W$401,$X310)="","",INDEX('Per Invoice'!W$2:W$401,$X310)))</f>
        <v/>
      </c>
      <c r="X310" s="16">
        <f>IFERROR(MATCH(Settings!$C$33&amp;"|"&amp;ROWS($X$2:$X310),'Per Invoice'!$Y$2:$Y$401,0),"")</f>
        <v/>
      </c>
    </row>
    <row r="311">
      <c r="A311">
        <f>IF($X311="","",IF(INDEX('Per Invoice'!A$2:A$401,$X311)="","",INDEX('Per Invoice'!A$2:A$401,$X311)))</f>
        <v/>
      </c>
      <c r="B311">
        <f>IF($X311="","",IF(INDEX('Per Invoice'!B$2:B$401,$X311)="","",INDEX('Per Invoice'!B$2:B$401,$X311)))</f>
        <v/>
      </c>
      <c r="C311">
        <f>IF($X311="","",IF(INDEX('Per Invoice'!C$2:C$401,$X311)="","",INDEX('Per Invoice'!C$2:C$401,$X311)))</f>
        <v/>
      </c>
      <c r="D311">
        <f>IF($X311="","",IF(INDEX('Per Invoice'!D$2:D$401,$X311)="","",INDEX('Per Invoice'!D$2:D$401,$X311)))</f>
        <v/>
      </c>
      <c r="E311">
        <f>IF($X311="","",IF(INDEX('Per Invoice'!E$2:E$401,$X311)="","",INDEX('Per Invoice'!E$2:E$401,$X311)))</f>
        <v/>
      </c>
      <c r="F311">
        <f>IF($X311="","",IF(INDEX('Per Invoice'!F$2:F$401,$X311)="","",INDEX('Per Invoice'!F$2:F$401,$X311)))</f>
        <v/>
      </c>
      <c r="G311">
        <f>IF($X311="","",IF(INDEX('Per Invoice'!G$2:G$401,$X311)="","",INDEX('Per Invoice'!G$2:G$401,$X311)))</f>
        <v/>
      </c>
      <c r="H311">
        <f>IF($X311="","",IF(INDEX('Per Invoice'!H$2:H$401,$X311)="","",INDEX('Per Invoice'!H$2:H$401,$X311)))</f>
        <v/>
      </c>
      <c r="I311">
        <f>IF($X311="","",IF(INDEX('Per Invoice'!I$2:I$401,$X311)="","",INDEX('Per Invoice'!I$2:I$401,$X311)))</f>
        <v/>
      </c>
      <c r="J311">
        <f>IF($X311="","",IF(INDEX('Per Invoice'!J$2:J$401,$X311)="","",INDEX('Per Invoice'!J$2:J$401,$X311)))</f>
        <v/>
      </c>
      <c r="K311" s="14">
        <f>IF($X311="","",IF(INDEX('Per Invoice'!K$2:K$401,$X311)="","",INDEX('Per Invoice'!K$2:K$401,$X311)))</f>
        <v/>
      </c>
      <c r="L311">
        <f>IF($X311="","",IF(INDEX('Per Invoice'!L$2:L$401,$X311)="","",INDEX('Per Invoice'!L$2:L$401,$X311)))</f>
        <v/>
      </c>
      <c r="M311" s="7">
        <f>IF($X311="","",IF(INDEX('Per Invoice'!M$2:M$401,$X311)="","",INDEX('Per Invoice'!M$2:M$401,$X311)))</f>
        <v/>
      </c>
      <c r="N311">
        <f>IF($X311="","",IF(INDEX('Per Invoice'!N$2:N$401,$X311)="","",INDEX('Per Invoice'!N$2:N$401,$X311)))</f>
        <v/>
      </c>
      <c r="O311" s="7">
        <f>IF($X311="","",IF(INDEX('Per Invoice'!O$2:O$401,$X311)="","",INDEX('Per Invoice'!O$2:O$401,$X311)))</f>
        <v/>
      </c>
      <c r="P311" s="7">
        <f>IF($X311="","",IF(INDEX('Per Invoice'!P$2:P$401,$X311)="","",INDEX('Per Invoice'!P$2:P$401,$X311)))</f>
        <v/>
      </c>
      <c r="Q311">
        <f>IF($X311="","",IF(INDEX('Per Invoice'!Q$2:Q$401,$X311)="","",INDEX('Per Invoice'!Q$2:Q$401,$X311)))</f>
        <v/>
      </c>
      <c r="R311" s="7">
        <f>IF($X311="","",IF(INDEX('Per Invoice'!R$2:R$401,$X311)="","",INDEX('Per Invoice'!R$2:R$401,$X311)))</f>
        <v/>
      </c>
      <c r="S311" s="7">
        <f>IF($X311="","",IF(INDEX('Per Invoice'!S$2:S$401,$X311)="","",INDEX('Per Invoice'!S$2:S$401,$X311)))</f>
        <v/>
      </c>
      <c r="T311" s="7">
        <f>IF($X311="","",IF(INDEX('Per Invoice'!T$2:T$401,$X311)="","",INDEX('Per Invoice'!T$2:T$401,$X311)))</f>
        <v/>
      </c>
      <c r="U311" s="7">
        <f>IF($X311="","",IF(INDEX('Per Invoice'!U$2:U$401,$X311)="","",INDEX('Per Invoice'!U$2:U$401,$X311)))</f>
        <v/>
      </c>
      <c r="V311" s="7">
        <f>IF($X311="","",IF(INDEX('Per Invoice'!V$2:V$401,$X311)="","",INDEX('Per Invoice'!V$2:V$401,$X311)))</f>
        <v/>
      </c>
      <c r="W311" s="7">
        <f>IF($X311="","",IF(INDEX('Per Invoice'!W$2:W$401,$X311)="","",INDEX('Per Invoice'!W$2:W$401,$X311)))</f>
        <v/>
      </c>
      <c r="X311" s="16">
        <f>IFERROR(MATCH(Settings!$C$33&amp;"|"&amp;ROWS($X$2:$X311),'Per Invoice'!$Y$2:$Y$401,0),"")</f>
        <v/>
      </c>
    </row>
    <row r="312">
      <c r="A312">
        <f>IF($X312="","",IF(INDEX('Per Invoice'!A$2:A$401,$X312)="","",INDEX('Per Invoice'!A$2:A$401,$X312)))</f>
        <v/>
      </c>
      <c r="B312">
        <f>IF($X312="","",IF(INDEX('Per Invoice'!B$2:B$401,$X312)="","",INDEX('Per Invoice'!B$2:B$401,$X312)))</f>
        <v/>
      </c>
      <c r="C312">
        <f>IF($X312="","",IF(INDEX('Per Invoice'!C$2:C$401,$X312)="","",INDEX('Per Invoice'!C$2:C$401,$X312)))</f>
        <v/>
      </c>
      <c r="D312">
        <f>IF($X312="","",IF(INDEX('Per Invoice'!D$2:D$401,$X312)="","",INDEX('Per Invoice'!D$2:D$401,$X312)))</f>
        <v/>
      </c>
      <c r="E312">
        <f>IF($X312="","",IF(INDEX('Per Invoice'!E$2:E$401,$X312)="","",INDEX('Per Invoice'!E$2:E$401,$X312)))</f>
        <v/>
      </c>
      <c r="F312">
        <f>IF($X312="","",IF(INDEX('Per Invoice'!F$2:F$401,$X312)="","",INDEX('Per Invoice'!F$2:F$401,$X312)))</f>
        <v/>
      </c>
      <c r="G312">
        <f>IF($X312="","",IF(INDEX('Per Invoice'!G$2:G$401,$X312)="","",INDEX('Per Invoice'!G$2:G$401,$X312)))</f>
        <v/>
      </c>
      <c r="H312">
        <f>IF($X312="","",IF(INDEX('Per Invoice'!H$2:H$401,$X312)="","",INDEX('Per Invoice'!H$2:H$401,$X312)))</f>
        <v/>
      </c>
      <c r="I312">
        <f>IF($X312="","",IF(INDEX('Per Invoice'!I$2:I$401,$X312)="","",INDEX('Per Invoice'!I$2:I$401,$X312)))</f>
        <v/>
      </c>
      <c r="J312">
        <f>IF($X312="","",IF(INDEX('Per Invoice'!J$2:J$401,$X312)="","",INDEX('Per Invoice'!J$2:J$401,$X312)))</f>
        <v/>
      </c>
      <c r="K312" s="14">
        <f>IF($X312="","",IF(INDEX('Per Invoice'!K$2:K$401,$X312)="","",INDEX('Per Invoice'!K$2:K$401,$X312)))</f>
        <v/>
      </c>
      <c r="L312">
        <f>IF($X312="","",IF(INDEX('Per Invoice'!L$2:L$401,$X312)="","",INDEX('Per Invoice'!L$2:L$401,$X312)))</f>
        <v/>
      </c>
      <c r="M312" s="7">
        <f>IF($X312="","",IF(INDEX('Per Invoice'!M$2:M$401,$X312)="","",INDEX('Per Invoice'!M$2:M$401,$X312)))</f>
        <v/>
      </c>
      <c r="N312">
        <f>IF($X312="","",IF(INDEX('Per Invoice'!N$2:N$401,$X312)="","",INDEX('Per Invoice'!N$2:N$401,$X312)))</f>
        <v/>
      </c>
      <c r="O312" s="7">
        <f>IF($X312="","",IF(INDEX('Per Invoice'!O$2:O$401,$X312)="","",INDEX('Per Invoice'!O$2:O$401,$X312)))</f>
        <v/>
      </c>
      <c r="P312" s="7">
        <f>IF($X312="","",IF(INDEX('Per Invoice'!P$2:P$401,$X312)="","",INDEX('Per Invoice'!P$2:P$401,$X312)))</f>
        <v/>
      </c>
      <c r="Q312">
        <f>IF($X312="","",IF(INDEX('Per Invoice'!Q$2:Q$401,$X312)="","",INDEX('Per Invoice'!Q$2:Q$401,$X312)))</f>
        <v/>
      </c>
      <c r="R312" s="7">
        <f>IF($X312="","",IF(INDEX('Per Invoice'!R$2:R$401,$X312)="","",INDEX('Per Invoice'!R$2:R$401,$X312)))</f>
        <v/>
      </c>
      <c r="S312" s="7">
        <f>IF($X312="","",IF(INDEX('Per Invoice'!S$2:S$401,$X312)="","",INDEX('Per Invoice'!S$2:S$401,$X312)))</f>
        <v/>
      </c>
      <c r="T312" s="7">
        <f>IF($X312="","",IF(INDEX('Per Invoice'!T$2:T$401,$X312)="","",INDEX('Per Invoice'!T$2:T$401,$X312)))</f>
        <v/>
      </c>
      <c r="U312" s="7">
        <f>IF($X312="","",IF(INDEX('Per Invoice'!U$2:U$401,$X312)="","",INDEX('Per Invoice'!U$2:U$401,$X312)))</f>
        <v/>
      </c>
      <c r="V312" s="7">
        <f>IF($X312="","",IF(INDEX('Per Invoice'!V$2:V$401,$X312)="","",INDEX('Per Invoice'!V$2:V$401,$X312)))</f>
        <v/>
      </c>
      <c r="W312" s="7">
        <f>IF($X312="","",IF(INDEX('Per Invoice'!W$2:W$401,$X312)="","",INDEX('Per Invoice'!W$2:W$401,$X312)))</f>
        <v/>
      </c>
      <c r="X312" s="16">
        <f>IFERROR(MATCH(Settings!$C$33&amp;"|"&amp;ROWS($X$2:$X312),'Per Invoice'!$Y$2:$Y$401,0),"")</f>
        <v/>
      </c>
    </row>
    <row r="313">
      <c r="A313">
        <f>IF($X313="","",IF(INDEX('Per Invoice'!A$2:A$401,$X313)="","",INDEX('Per Invoice'!A$2:A$401,$X313)))</f>
        <v/>
      </c>
      <c r="B313">
        <f>IF($X313="","",IF(INDEX('Per Invoice'!B$2:B$401,$X313)="","",INDEX('Per Invoice'!B$2:B$401,$X313)))</f>
        <v/>
      </c>
      <c r="C313">
        <f>IF($X313="","",IF(INDEX('Per Invoice'!C$2:C$401,$X313)="","",INDEX('Per Invoice'!C$2:C$401,$X313)))</f>
        <v/>
      </c>
      <c r="D313">
        <f>IF($X313="","",IF(INDEX('Per Invoice'!D$2:D$401,$X313)="","",INDEX('Per Invoice'!D$2:D$401,$X313)))</f>
        <v/>
      </c>
      <c r="E313">
        <f>IF($X313="","",IF(INDEX('Per Invoice'!E$2:E$401,$X313)="","",INDEX('Per Invoice'!E$2:E$401,$X313)))</f>
        <v/>
      </c>
      <c r="F313">
        <f>IF($X313="","",IF(INDEX('Per Invoice'!F$2:F$401,$X313)="","",INDEX('Per Invoice'!F$2:F$401,$X313)))</f>
        <v/>
      </c>
      <c r="G313">
        <f>IF($X313="","",IF(INDEX('Per Invoice'!G$2:G$401,$X313)="","",INDEX('Per Invoice'!G$2:G$401,$X313)))</f>
        <v/>
      </c>
      <c r="H313">
        <f>IF($X313="","",IF(INDEX('Per Invoice'!H$2:H$401,$X313)="","",INDEX('Per Invoice'!H$2:H$401,$X313)))</f>
        <v/>
      </c>
      <c r="I313">
        <f>IF($X313="","",IF(INDEX('Per Invoice'!I$2:I$401,$X313)="","",INDEX('Per Invoice'!I$2:I$401,$X313)))</f>
        <v/>
      </c>
      <c r="J313">
        <f>IF($X313="","",IF(INDEX('Per Invoice'!J$2:J$401,$X313)="","",INDEX('Per Invoice'!J$2:J$401,$X313)))</f>
        <v/>
      </c>
      <c r="K313" s="14">
        <f>IF($X313="","",IF(INDEX('Per Invoice'!K$2:K$401,$X313)="","",INDEX('Per Invoice'!K$2:K$401,$X313)))</f>
        <v/>
      </c>
      <c r="L313">
        <f>IF($X313="","",IF(INDEX('Per Invoice'!L$2:L$401,$X313)="","",INDEX('Per Invoice'!L$2:L$401,$X313)))</f>
        <v/>
      </c>
      <c r="M313" s="7">
        <f>IF($X313="","",IF(INDEX('Per Invoice'!M$2:M$401,$X313)="","",INDEX('Per Invoice'!M$2:M$401,$X313)))</f>
        <v/>
      </c>
      <c r="N313">
        <f>IF($X313="","",IF(INDEX('Per Invoice'!N$2:N$401,$X313)="","",INDEX('Per Invoice'!N$2:N$401,$X313)))</f>
        <v/>
      </c>
      <c r="O313" s="7">
        <f>IF($X313="","",IF(INDEX('Per Invoice'!O$2:O$401,$X313)="","",INDEX('Per Invoice'!O$2:O$401,$X313)))</f>
        <v/>
      </c>
      <c r="P313" s="7">
        <f>IF($X313="","",IF(INDEX('Per Invoice'!P$2:P$401,$X313)="","",INDEX('Per Invoice'!P$2:P$401,$X313)))</f>
        <v/>
      </c>
      <c r="Q313">
        <f>IF($X313="","",IF(INDEX('Per Invoice'!Q$2:Q$401,$X313)="","",INDEX('Per Invoice'!Q$2:Q$401,$X313)))</f>
        <v/>
      </c>
      <c r="R313" s="7">
        <f>IF($X313="","",IF(INDEX('Per Invoice'!R$2:R$401,$X313)="","",INDEX('Per Invoice'!R$2:R$401,$X313)))</f>
        <v/>
      </c>
      <c r="S313" s="7">
        <f>IF($X313="","",IF(INDEX('Per Invoice'!S$2:S$401,$X313)="","",INDEX('Per Invoice'!S$2:S$401,$X313)))</f>
        <v/>
      </c>
      <c r="T313" s="7">
        <f>IF($X313="","",IF(INDEX('Per Invoice'!T$2:T$401,$X313)="","",INDEX('Per Invoice'!T$2:T$401,$X313)))</f>
        <v/>
      </c>
      <c r="U313" s="7">
        <f>IF($X313="","",IF(INDEX('Per Invoice'!U$2:U$401,$X313)="","",INDEX('Per Invoice'!U$2:U$401,$X313)))</f>
        <v/>
      </c>
      <c r="V313" s="7">
        <f>IF($X313="","",IF(INDEX('Per Invoice'!V$2:V$401,$X313)="","",INDEX('Per Invoice'!V$2:V$401,$X313)))</f>
        <v/>
      </c>
      <c r="W313" s="7">
        <f>IF($X313="","",IF(INDEX('Per Invoice'!W$2:W$401,$X313)="","",INDEX('Per Invoice'!W$2:W$401,$X313)))</f>
        <v/>
      </c>
      <c r="X313" s="16">
        <f>IFERROR(MATCH(Settings!$C$33&amp;"|"&amp;ROWS($X$2:$X313),'Per Invoice'!$Y$2:$Y$401,0),"")</f>
        <v/>
      </c>
    </row>
    <row r="314">
      <c r="A314">
        <f>IF($X314="","",IF(INDEX('Per Invoice'!A$2:A$401,$X314)="","",INDEX('Per Invoice'!A$2:A$401,$X314)))</f>
        <v/>
      </c>
      <c r="B314">
        <f>IF($X314="","",IF(INDEX('Per Invoice'!B$2:B$401,$X314)="","",INDEX('Per Invoice'!B$2:B$401,$X314)))</f>
        <v/>
      </c>
      <c r="C314">
        <f>IF($X314="","",IF(INDEX('Per Invoice'!C$2:C$401,$X314)="","",INDEX('Per Invoice'!C$2:C$401,$X314)))</f>
        <v/>
      </c>
      <c r="D314">
        <f>IF($X314="","",IF(INDEX('Per Invoice'!D$2:D$401,$X314)="","",INDEX('Per Invoice'!D$2:D$401,$X314)))</f>
        <v/>
      </c>
      <c r="E314">
        <f>IF($X314="","",IF(INDEX('Per Invoice'!E$2:E$401,$X314)="","",INDEX('Per Invoice'!E$2:E$401,$X314)))</f>
        <v/>
      </c>
      <c r="F314">
        <f>IF($X314="","",IF(INDEX('Per Invoice'!F$2:F$401,$X314)="","",INDEX('Per Invoice'!F$2:F$401,$X314)))</f>
        <v/>
      </c>
      <c r="G314">
        <f>IF($X314="","",IF(INDEX('Per Invoice'!G$2:G$401,$X314)="","",INDEX('Per Invoice'!G$2:G$401,$X314)))</f>
        <v/>
      </c>
      <c r="H314">
        <f>IF($X314="","",IF(INDEX('Per Invoice'!H$2:H$401,$X314)="","",INDEX('Per Invoice'!H$2:H$401,$X314)))</f>
        <v/>
      </c>
      <c r="I314">
        <f>IF($X314="","",IF(INDEX('Per Invoice'!I$2:I$401,$X314)="","",INDEX('Per Invoice'!I$2:I$401,$X314)))</f>
        <v/>
      </c>
      <c r="J314">
        <f>IF($X314="","",IF(INDEX('Per Invoice'!J$2:J$401,$X314)="","",INDEX('Per Invoice'!J$2:J$401,$X314)))</f>
        <v/>
      </c>
      <c r="K314" s="14">
        <f>IF($X314="","",IF(INDEX('Per Invoice'!K$2:K$401,$X314)="","",INDEX('Per Invoice'!K$2:K$401,$X314)))</f>
        <v/>
      </c>
      <c r="L314">
        <f>IF($X314="","",IF(INDEX('Per Invoice'!L$2:L$401,$X314)="","",INDEX('Per Invoice'!L$2:L$401,$X314)))</f>
        <v/>
      </c>
      <c r="M314" s="7">
        <f>IF($X314="","",IF(INDEX('Per Invoice'!M$2:M$401,$X314)="","",INDEX('Per Invoice'!M$2:M$401,$X314)))</f>
        <v/>
      </c>
      <c r="N314">
        <f>IF($X314="","",IF(INDEX('Per Invoice'!N$2:N$401,$X314)="","",INDEX('Per Invoice'!N$2:N$401,$X314)))</f>
        <v/>
      </c>
      <c r="O314" s="7">
        <f>IF($X314="","",IF(INDEX('Per Invoice'!O$2:O$401,$X314)="","",INDEX('Per Invoice'!O$2:O$401,$X314)))</f>
        <v/>
      </c>
      <c r="P314" s="7">
        <f>IF($X314="","",IF(INDEX('Per Invoice'!P$2:P$401,$X314)="","",INDEX('Per Invoice'!P$2:P$401,$X314)))</f>
        <v/>
      </c>
      <c r="Q314">
        <f>IF($X314="","",IF(INDEX('Per Invoice'!Q$2:Q$401,$X314)="","",INDEX('Per Invoice'!Q$2:Q$401,$X314)))</f>
        <v/>
      </c>
      <c r="R314" s="7">
        <f>IF($X314="","",IF(INDEX('Per Invoice'!R$2:R$401,$X314)="","",INDEX('Per Invoice'!R$2:R$401,$X314)))</f>
        <v/>
      </c>
      <c r="S314" s="7">
        <f>IF($X314="","",IF(INDEX('Per Invoice'!S$2:S$401,$X314)="","",INDEX('Per Invoice'!S$2:S$401,$X314)))</f>
        <v/>
      </c>
      <c r="T314" s="7">
        <f>IF($X314="","",IF(INDEX('Per Invoice'!T$2:T$401,$X314)="","",INDEX('Per Invoice'!T$2:T$401,$X314)))</f>
        <v/>
      </c>
      <c r="U314" s="7">
        <f>IF($X314="","",IF(INDEX('Per Invoice'!U$2:U$401,$X314)="","",INDEX('Per Invoice'!U$2:U$401,$X314)))</f>
        <v/>
      </c>
      <c r="V314" s="7">
        <f>IF($X314="","",IF(INDEX('Per Invoice'!V$2:V$401,$X314)="","",INDEX('Per Invoice'!V$2:V$401,$X314)))</f>
        <v/>
      </c>
      <c r="W314" s="7">
        <f>IF($X314="","",IF(INDEX('Per Invoice'!W$2:W$401,$X314)="","",INDEX('Per Invoice'!W$2:W$401,$X314)))</f>
        <v/>
      </c>
      <c r="X314" s="16">
        <f>IFERROR(MATCH(Settings!$C$33&amp;"|"&amp;ROWS($X$2:$X314),'Per Invoice'!$Y$2:$Y$401,0),"")</f>
        <v/>
      </c>
    </row>
    <row r="315">
      <c r="A315">
        <f>IF($X315="","",IF(INDEX('Per Invoice'!A$2:A$401,$X315)="","",INDEX('Per Invoice'!A$2:A$401,$X315)))</f>
        <v/>
      </c>
      <c r="B315">
        <f>IF($X315="","",IF(INDEX('Per Invoice'!B$2:B$401,$X315)="","",INDEX('Per Invoice'!B$2:B$401,$X315)))</f>
        <v/>
      </c>
      <c r="C315">
        <f>IF($X315="","",IF(INDEX('Per Invoice'!C$2:C$401,$X315)="","",INDEX('Per Invoice'!C$2:C$401,$X315)))</f>
        <v/>
      </c>
      <c r="D315">
        <f>IF($X315="","",IF(INDEX('Per Invoice'!D$2:D$401,$X315)="","",INDEX('Per Invoice'!D$2:D$401,$X315)))</f>
        <v/>
      </c>
      <c r="E315">
        <f>IF($X315="","",IF(INDEX('Per Invoice'!E$2:E$401,$X315)="","",INDEX('Per Invoice'!E$2:E$401,$X315)))</f>
        <v/>
      </c>
      <c r="F315">
        <f>IF($X315="","",IF(INDEX('Per Invoice'!F$2:F$401,$X315)="","",INDEX('Per Invoice'!F$2:F$401,$X315)))</f>
        <v/>
      </c>
      <c r="G315">
        <f>IF($X315="","",IF(INDEX('Per Invoice'!G$2:G$401,$X315)="","",INDEX('Per Invoice'!G$2:G$401,$X315)))</f>
        <v/>
      </c>
      <c r="H315">
        <f>IF($X315="","",IF(INDEX('Per Invoice'!H$2:H$401,$X315)="","",INDEX('Per Invoice'!H$2:H$401,$X315)))</f>
        <v/>
      </c>
      <c r="I315">
        <f>IF($X315="","",IF(INDEX('Per Invoice'!I$2:I$401,$X315)="","",INDEX('Per Invoice'!I$2:I$401,$X315)))</f>
        <v/>
      </c>
      <c r="J315">
        <f>IF($X315="","",IF(INDEX('Per Invoice'!J$2:J$401,$X315)="","",INDEX('Per Invoice'!J$2:J$401,$X315)))</f>
        <v/>
      </c>
      <c r="K315" s="14">
        <f>IF($X315="","",IF(INDEX('Per Invoice'!K$2:K$401,$X315)="","",INDEX('Per Invoice'!K$2:K$401,$X315)))</f>
        <v/>
      </c>
      <c r="L315">
        <f>IF($X315="","",IF(INDEX('Per Invoice'!L$2:L$401,$X315)="","",INDEX('Per Invoice'!L$2:L$401,$X315)))</f>
        <v/>
      </c>
      <c r="M315" s="7">
        <f>IF($X315="","",IF(INDEX('Per Invoice'!M$2:M$401,$X315)="","",INDEX('Per Invoice'!M$2:M$401,$X315)))</f>
        <v/>
      </c>
      <c r="N315">
        <f>IF($X315="","",IF(INDEX('Per Invoice'!N$2:N$401,$X315)="","",INDEX('Per Invoice'!N$2:N$401,$X315)))</f>
        <v/>
      </c>
      <c r="O315" s="7">
        <f>IF($X315="","",IF(INDEX('Per Invoice'!O$2:O$401,$X315)="","",INDEX('Per Invoice'!O$2:O$401,$X315)))</f>
        <v/>
      </c>
      <c r="P315" s="7">
        <f>IF($X315="","",IF(INDEX('Per Invoice'!P$2:P$401,$X315)="","",INDEX('Per Invoice'!P$2:P$401,$X315)))</f>
        <v/>
      </c>
      <c r="Q315">
        <f>IF($X315="","",IF(INDEX('Per Invoice'!Q$2:Q$401,$X315)="","",INDEX('Per Invoice'!Q$2:Q$401,$X315)))</f>
        <v/>
      </c>
      <c r="R315" s="7">
        <f>IF($X315="","",IF(INDEX('Per Invoice'!R$2:R$401,$X315)="","",INDEX('Per Invoice'!R$2:R$401,$X315)))</f>
        <v/>
      </c>
      <c r="S315" s="7">
        <f>IF($X315="","",IF(INDEX('Per Invoice'!S$2:S$401,$X315)="","",INDEX('Per Invoice'!S$2:S$401,$X315)))</f>
        <v/>
      </c>
      <c r="T315" s="7">
        <f>IF($X315="","",IF(INDEX('Per Invoice'!T$2:T$401,$X315)="","",INDEX('Per Invoice'!T$2:T$401,$X315)))</f>
        <v/>
      </c>
      <c r="U315" s="7">
        <f>IF($X315="","",IF(INDEX('Per Invoice'!U$2:U$401,$X315)="","",INDEX('Per Invoice'!U$2:U$401,$X315)))</f>
        <v/>
      </c>
      <c r="V315" s="7">
        <f>IF($X315="","",IF(INDEX('Per Invoice'!V$2:V$401,$X315)="","",INDEX('Per Invoice'!V$2:V$401,$X315)))</f>
        <v/>
      </c>
      <c r="W315" s="7">
        <f>IF($X315="","",IF(INDEX('Per Invoice'!W$2:W$401,$X315)="","",INDEX('Per Invoice'!W$2:W$401,$X315)))</f>
        <v/>
      </c>
      <c r="X315" s="16">
        <f>IFERROR(MATCH(Settings!$C$33&amp;"|"&amp;ROWS($X$2:$X315),'Per Invoice'!$Y$2:$Y$401,0),"")</f>
        <v/>
      </c>
    </row>
    <row r="316">
      <c r="A316">
        <f>IF($X316="","",IF(INDEX('Per Invoice'!A$2:A$401,$X316)="","",INDEX('Per Invoice'!A$2:A$401,$X316)))</f>
        <v/>
      </c>
      <c r="B316">
        <f>IF($X316="","",IF(INDEX('Per Invoice'!B$2:B$401,$X316)="","",INDEX('Per Invoice'!B$2:B$401,$X316)))</f>
        <v/>
      </c>
      <c r="C316">
        <f>IF($X316="","",IF(INDEX('Per Invoice'!C$2:C$401,$X316)="","",INDEX('Per Invoice'!C$2:C$401,$X316)))</f>
        <v/>
      </c>
      <c r="D316">
        <f>IF($X316="","",IF(INDEX('Per Invoice'!D$2:D$401,$X316)="","",INDEX('Per Invoice'!D$2:D$401,$X316)))</f>
        <v/>
      </c>
      <c r="E316">
        <f>IF($X316="","",IF(INDEX('Per Invoice'!E$2:E$401,$X316)="","",INDEX('Per Invoice'!E$2:E$401,$X316)))</f>
        <v/>
      </c>
      <c r="F316">
        <f>IF($X316="","",IF(INDEX('Per Invoice'!F$2:F$401,$X316)="","",INDEX('Per Invoice'!F$2:F$401,$X316)))</f>
        <v/>
      </c>
      <c r="G316">
        <f>IF($X316="","",IF(INDEX('Per Invoice'!G$2:G$401,$X316)="","",INDEX('Per Invoice'!G$2:G$401,$X316)))</f>
        <v/>
      </c>
      <c r="H316">
        <f>IF($X316="","",IF(INDEX('Per Invoice'!H$2:H$401,$X316)="","",INDEX('Per Invoice'!H$2:H$401,$X316)))</f>
        <v/>
      </c>
      <c r="I316">
        <f>IF($X316="","",IF(INDEX('Per Invoice'!I$2:I$401,$X316)="","",INDEX('Per Invoice'!I$2:I$401,$X316)))</f>
        <v/>
      </c>
      <c r="J316">
        <f>IF($X316="","",IF(INDEX('Per Invoice'!J$2:J$401,$X316)="","",INDEX('Per Invoice'!J$2:J$401,$X316)))</f>
        <v/>
      </c>
      <c r="K316" s="14">
        <f>IF($X316="","",IF(INDEX('Per Invoice'!K$2:K$401,$X316)="","",INDEX('Per Invoice'!K$2:K$401,$X316)))</f>
        <v/>
      </c>
      <c r="L316">
        <f>IF($X316="","",IF(INDEX('Per Invoice'!L$2:L$401,$X316)="","",INDEX('Per Invoice'!L$2:L$401,$X316)))</f>
        <v/>
      </c>
      <c r="M316" s="7">
        <f>IF($X316="","",IF(INDEX('Per Invoice'!M$2:M$401,$X316)="","",INDEX('Per Invoice'!M$2:M$401,$X316)))</f>
        <v/>
      </c>
      <c r="N316">
        <f>IF($X316="","",IF(INDEX('Per Invoice'!N$2:N$401,$X316)="","",INDEX('Per Invoice'!N$2:N$401,$X316)))</f>
        <v/>
      </c>
      <c r="O316" s="7">
        <f>IF($X316="","",IF(INDEX('Per Invoice'!O$2:O$401,$X316)="","",INDEX('Per Invoice'!O$2:O$401,$X316)))</f>
        <v/>
      </c>
      <c r="P316" s="7">
        <f>IF($X316="","",IF(INDEX('Per Invoice'!P$2:P$401,$X316)="","",INDEX('Per Invoice'!P$2:P$401,$X316)))</f>
        <v/>
      </c>
      <c r="Q316">
        <f>IF($X316="","",IF(INDEX('Per Invoice'!Q$2:Q$401,$X316)="","",INDEX('Per Invoice'!Q$2:Q$401,$X316)))</f>
        <v/>
      </c>
      <c r="R316" s="7">
        <f>IF($X316="","",IF(INDEX('Per Invoice'!R$2:R$401,$X316)="","",INDEX('Per Invoice'!R$2:R$401,$X316)))</f>
        <v/>
      </c>
      <c r="S316" s="7">
        <f>IF($X316="","",IF(INDEX('Per Invoice'!S$2:S$401,$X316)="","",INDEX('Per Invoice'!S$2:S$401,$X316)))</f>
        <v/>
      </c>
      <c r="T316" s="7">
        <f>IF($X316="","",IF(INDEX('Per Invoice'!T$2:T$401,$X316)="","",INDEX('Per Invoice'!T$2:T$401,$X316)))</f>
        <v/>
      </c>
      <c r="U316" s="7">
        <f>IF($X316="","",IF(INDEX('Per Invoice'!U$2:U$401,$X316)="","",INDEX('Per Invoice'!U$2:U$401,$X316)))</f>
        <v/>
      </c>
      <c r="V316" s="7">
        <f>IF($X316="","",IF(INDEX('Per Invoice'!V$2:V$401,$X316)="","",INDEX('Per Invoice'!V$2:V$401,$X316)))</f>
        <v/>
      </c>
      <c r="W316" s="7">
        <f>IF($X316="","",IF(INDEX('Per Invoice'!W$2:W$401,$X316)="","",INDEX('Per Invoice'!W$2:W$401,$X316)))</f>
        <v/>
      </c>
      <c r="X316" s="16">
        <f>IFERROR(MATCH(Settings!$C$33&amp;"|"&amp;ROWS($X$2:$X316),'Per Invoice'!$Y$2:$Y$401,0),"")</f>
        <v/>
      </c>
    </row>
    <row r="317">
      <c r="A317">
        <f>IF($X317="","",IF(INDEX('Per Invoice'!A$2:A$401,$X317)="","",INDEX('Per Invoice'!A$2:A$401,$X317)))</f>
        <v/>
      </c>
      <c r="B317">
        <f>IF($X317="","",IF(INDEX('Per Invoice'!B$2:B$401,$X317)="","",INDEX('Per Invoice'!B$2:B$401,$X317)))</f>
        <v/>
      </c>
      <c r="C317">
        <f>IF($X317="","",IF(INDEX('Per Invoice'!C$2:C$401,$X317)="","",INDEX('Per Invoice'!C$2:C$401,$X317)))</f>
        <v/>
      </c>
      <c r="D317">
        <f>IF($X317="","",IF(INDEX('Per Invoice'!D$2:D$401,$X317)="","",INDEX('Per Invoice'!D$2:D$401,$X317)))</f>
        <v/>
      </c>
      <c r="E317">
        <f>IF($X317="","",IF(INDEX('Per Invoice'!E$2:E$401,$X317)="","",INDEX('Per Invoice'!E$2:E$401,$X317)))</f>
        <v/>
      </c>
      <c r="F317">
        <f>IF($X317="","",IF(INDEX('Per Invoice'!F$2:F$401,$X317)="","",INDEX('Per Invoice'!F$2:F$401,$X317)))</f>
        <v/>
      </c>
      <c r="G317">
        <f>IF($X317="","",IF(INDEX('Per Invoice'!G$2:G$401,$X317)="","",INDEX('Per Invoice'!G$2:G$401,$X317)))</f>
        <v/>
      </c>
      <c r="H317">
        <f>IF($X317="","",IF(INDEX('Per Invoice'!H$2:H$401,$X317)="","",INDEX('Per Invoice'!H$2:H$401,$X317)))</f>
        <v/>
      </c>
      <c r="I317">
        <f>IF($X317="","",IF(INDEX('Per Invoice'!I$2:I$401,$X317)="","",INDEX('Per Invoice'!I$2:I$401,$X317)))</f>
        <v/>
      </c>
      <c r="J317">
        <f>IF($X317="","",IF(INDEX('Per Invoice'!J$2:J$401,$X317)="","",INDEX('Per Invoice'!J$2:J$401,$X317)))</f>
        <v/>
      </c>
      <c r="K317" s="14">
        <f>IF($X317="","",IF(INDEX('Per Invoice'!K$2:K$401,$X317)="","",INDEX('Per Invoice'!K$2:K$401,$X317)))</f>
        <v/>
      </c>
      <c r="L317">
        <f>IF($X317="","",IF(INDEX('Per Invoice'!L$2:L$401,$X317)="","",INDEX('Per Invoice'!L$2:L$401,$X317)))</f>
        <v/>
      </c>
      <c r="M317" s="7">
        <f>IF($X317="","",IF(INDEX('Per Invoice'!M$2:M$401,$X317)="","",INDEX('Per Invoice'!M$2:M$401,$X317)))</f>
        <v/>
      </c>
      <c r="N317">
        <f>IF($X317="","",IF(INDEX('Per Invoice'!N$2:N$401,$X317)="","",INDEX('Per Invoice'!N$2:N$401,$X317)))</f>
        <v/>
      </c>
      <c r="O317" s="7">
        <f>IF($X317="","",IF(INDEX('Per Invoice'!O$2:O$401,$X317)="","",INDEX('Per Invoice'!O$2:O$401,$X317)))</f>
        <v/>
      </c>
      <c r="P317" s="7">
        <f>IF($X317="","",IF(INDEX('Per Invoice'!P$2:P$401,$X317)="","",INDEX('Per Invoice'!P$2:P$401,$X317)))</f>
        <v/>
      </c>
      <c r="Q317">
        <f>IF($X317="","",IF(INDEX('Per Invoice'!Q$2:Q$401,$X317)="","",INDEX('Per Invoice'!Q$2:Q$401,$X317)))</f>
        <v/>
      </c>
      <c r="R317" s="7">
        <f>IF($X317="","",IF(INDEX('Per Invoice'!R$2:R$401,$X317)="","",INDEX('Per Invoice'!R$2:R$401,$X317)))</f>
        <v/>
      </c>
      <c r="S317" s="7">
        <f>IF($X317="","",IF(INDEX('Per Invoice'!S$2:S$401,$X317)="","",INDEX('Per Invoice'!S$2:S$401,$X317)))</f>
        <v/>
      </c>
      <c r="T317" s="7">
        <f>IF($X317="","",IF(INDEX('Per Invoice'!T$2:T$401,$X317)="","",INDEX('Per Invoice'!T$2:T$401,$X317)))</f>
        <v/>
      </c>
      <c r="U317" s="7">
        <f>IF($X317="","",IF(INDEX('Per Invoice'!U$2:U$401,$X317)="","",INDEX('Per Invoice'!U$2:U$401,$X317)))</f>
        <v/>
      </c>
      <c r="V317" s="7">
        <f>IF($X317="","",IF(INDEX('Per Invoice'!V$2:V$401,$X317)="","",INDEX('Per Invoice'!V$2:V$401,$X317)))</f>
        <v/>
      </c>
      <c r="W317" s="7">
        <f>IF($X317="","",IF(INDEX('Per Invoice'!W$2:W$401,$X317)="","",INDEX('Per Invoice'!W$2:W$401,$X317)))</f>
        <v/>
      </c>
      <c r="X317" s="16">
        <f>IFERROR(MATCH(Settings!$C$33&amp;"|"&amp;ROWS($X$2:$X317),'Per Invoice'!$Y$2:$Y$401,0),"")</f>
        <v/>
      </c>
    </row>
    <row r="318">
      <c r="A318">
        <f>IF($X318="","",IF(INDEX('Per Invoice'!A$2:A$401,$X318)="","",INDEX('Per Invoice'!A$2:A$401,$X318)))</f>
        <v/>
      </c>
      <c r="B318">
        <f>IF($X318="","",IF(INDEX('Per Invoice'!B$2:B$401,$X318)="","",INDEX('Per Invoice'!B$2:B$401,$X318)))</f>
        <v/>
      </c>
      <c r="C318">
        <f>IF($X318="","",IF(INDEX('Per Invoice'!C$2:C$401,$X318)="","",INDEX('Per Invoice'!C$2:C$401,$X318)))</f>
        <v/>
      </c>
      <c r="D318">
        <f>IF($X318="","",IF(INDEX('Per Invoice'!D$2:D$401,$X318)="","",INDEX('Per Invoice'!D$2:D$401,$X318)))</f>
        <v/>
      </c>
      <c r="E318">
        <f>IF($X318="","",IF(INDEX('Per Invoice'!E$2:E$401,$X318)="","",INDEX('Per Invoice'!E$2:E$401,$X318)))</f>
        <v/>
      </c>
      <c r="F318">
        <f>IF($X318="","",IF(INDEX('Per Invoice'!F$2:F$401,$X318)="","",INDEX('Per Invoice'!F$2:F$401,$X318)))</f>
        <v/>
      </c>
      <c r="G318">
        <f>IF($X318="","",IF(INDEX('Per Invoice'!G$2:G$401,$X318)="","",INDEX('Per Invoice'!G$2:G$401,$X318)))</f>
        <v/>
      </c>
      <c r="H318">
        <f>IF($X318="","",IF(INDEX('Per Invoice'!H$2:H$401,$X318)="","",INDEX('Per Invoice'!H$2:H$401,$X318)))</f>
        <v/>
      </c>
      <c r="I318">
        <f>IF($X318="","",IF(INDEX('Per Invoice'!I$2:I$401,$X318)="","",INDEX('Per Invoice'!I$2:I$401,$X318)))</f>
        <v/>
      </c>
      <c r="J318">
        <f>IF($X318="","",IF(INDEX('Per Invoice'!J$2:J$401,$X318)="","",INDEX('Per Invoice'!J$2:J$401,$X318)))</f>
        <v/>
      </c>
      <c r="K318" s="14">
        <f>IF($X318="","",IF(INDEX('Per Invoice'!K$2:K$401,$X318)="","",INDEX('Per Invoice'!K$2:K$401,$X318)))</f>
        <v/>
      </c>
      <c r="L318">
        <f>IF($X318="","",IF(INDEX('Per Invoice'!L$2:L$401,$X318)="","",INDEX('Per Invoice'!L$2:L$401,$X318)))</f>
        <v/>
      </c>
      <c r="M318" s="7">
        <f>IF($X318="","",IF(INDEX('Per Invoice'!M$2:M$401,$X318)="","",INDEX('Per Invoice'!M$2:M$401,$X318)))</f>
        <v/>
      </c>
      <c r="N318">
        <f>IF($X318="","",IF(INDEX('Per Invoice'!N$2:N$401,$X318)="","",INDEX('Per Invoice'!N$2:N$401,$X318)))</f>
        <v/>
      </c>
      <c r="O318" s="7">
        <f>IF($X318="","",IF(INDEX('Per Invoice'!O$2:O$401,$X318)="","",INDEX('Per Invoice'!O$2:O$401,$X318)))</f>
        <v/>
      </c>
      <c r="P318" s="7">
        <f>IF($X318="","",IF(INDEX('Per Invoice'!P$2:P$401,$X318)="","",INDEX('Per Invoice'!P$2:P$401,$X318)))</f>
        <v/>
      </c>
      <c r="Q318">
        <f>IF($X318="","",IF(INDEX('Per Invoice'!Q$2:Q$401,$X318)="","",INDEX('Per Invoice'!Q$2:Q$401,$X318)))</f>
        <v/>
      </c>
      <c r="R318" s="7">
        <f>IF($X318="","",IF(INDEX('Per Invoice'!R$2:R$401,$X318)="","",INDEX('Per Invoice'!R$2:R$401,$X318)))</f>
        <v/>
      </c>
      <c r="S318" s="7">
        <f>IF($X318="","",IF(INDEX('Per Invoice'!S$2:S$401,$X318)="","",INDEX('Per Invoice'!S$2:S$401,$X318)))</f>
        <v/>
      </c>
      <c r="T318" s="7">
        <f>IF($X318="","",IF(INDEX('Per Invoice'!T$2:T$401,$X318)="","",INDEX('Per Invoice'!T$2:T$401,$X318)))</f>
        <v/>
      </c>
      <c r="U318" s="7">
        <f>IF($X318="","",IF(INDEX('Per Invoice'!U$2:U$401,$X318)="","",INDEX('Per Invoice'!U$2:U$401,$X318)))</f>
        <v/>
      </c>
      <c r="V318" s="7">
        <f>IF($X318="","",IF(INDEX('Per Invoice'!V$2:V$401,$X318)="","",INDEX('Per Invoice'!V$2:V$401,$X318)))</f>
        <v/>
      </c>
      <c r="W318" s="7">
        <f>IF($X318="","",IF(INDEX('Per Invoice'!W$2:W$401,$X318)="","",INDEX('Per Invoice'!W$2:W$401,$X318)))</f>
        <v/>
      </c>
      <c r="X318" s="16">
        <f>IFERROR(MATCH(Settings!$C$33&amp;"|"&amp;ROWS($X$2:$X318),'Per Invoice'!$Y$2:$Y$401,0),"")</f>
        <v/>
      </c>
    </row>
    <row r="319">
      <c r="A319">
        <f>IF($X319="","",IF(INDEX('Per Invoice'!A$2:A$401,$X319)="","",INDEX('Per Invoice'!A$2:A$401,$X319)))</f>
        <v/>
      </c>
      <c r="B319">
        <f>IF($X319="","",IF(INDEX('Per Invoice'!B$2:B$401,$X319)="","",INDEX('Per Invoice'!B$2:B$401,$X319)))</f>
        <v/>
      </c>
      <c r="C319">
        <f>IF($X319="","",IF(INDEX('Per Invoice'!C$2:C$401,$X319)="","",INDEX('Per Invoice'!C$2:C$401,$X319)))</f>
        <v/>
      </c>
      <c r="D319">
        <f>IF($X319="","",IF(INDEX('Per Invoice'!D$2:D$401,$X319)="","",INDEX('Per Invoice'!D$2:D$401,$X319)))</f>
        <v/>
      </c>
      <c r="E319">
        <f>IF($X319="","",IF(INDEX('Per Invoice'!E$2:E$401,$X319)="","",INDEX('Per Invoice'!E$2:E$401,$X319)))</f>
        <v/>
      </c>
      <c r="F319">
        <f>IF($X319="","",IF(INDEX('Per Invoice'!F$2:F$401,$X319)="","",INDEX('Per Invoice'!F$2:F$401,$X319)))</f>
        <v/>
      </c>
      <c r="G319">
        <f>IF($X319="","",IF(INDEX('Per Invoice'!G$2:G$401,$X319)="","",INDEX('Per Invoice'!G$2:G$401,$X319)))</f>
        <v/>
      </c>
      <c r="H319">
        <f>IF($X319="","",IF(INDEX('Per Invoice'!H$2:H$401,$X319)="","",INDEX('Per Invoice'!H$2:H$401,$X319)))</f>
        <v/>
      </c>
      <c r="I319">
        <f>IF($X319="","",IF(INDEX('Per Invoice'!I$2:I$401,$X319)="","",INDEX('Per Invoice'!I$2:I$401,$X319)))</f>
        <v/>
      </c>
      <c r="J319">
        <f>IF($X319="","",IF(INDEX('Per Invoice'!J$2:J$401,$X319)="","",INDEX('Per Invoice'!J$2:J$401,$X319)))</f>
        <v/>
      </c>
      <c r="K319" s="14">
        <f>IF($X319="","",IF(INDEX('Per Invoice'!K$2:K$401,$X319)="","",INDEX('Per Invoice'!K$2:K$401,$X319)))</f>
        <v/>
      </c>
      <c r="L319">
        <f>IF($X319="","",IF(INDEX('Per Invoice'!L$2:L$401,$X319)="","",INDEX('Per Invoice'!L$2:L$401,$X319)))</f>
        <v/>
      </c>
      <c r="M319" s="7">
        <f>IF($X319="","",IF(INDEX('Per Invoice'!M$2:M$401,$X319)="","",INDEX('Per Invoice'!M$2:M$401,$X319)))</f>
        <v/>
      </c>
      <c r="N319">
        <f>IF($X319="","",IF(INDEX('Per Invoice'!N$2:N$401,$X319)="","",INDEX('Per Invoice'!N$2:N$401,$X319)))</f>
        <v/>
      </c>
      <c r="O319" s="7">
        <f>IF($X319="","",IF(INDEX('Per Invoice'!O$2:O$401,$X319)="","",INDEX('Per Invoice'!O$2:O$401,$X319)))</f>
        <v/>
      </c>
      <c r="P319" s="7">
        <f>IF($X319="","",IF(INDEX('Per Invoice'!P$2:P$401,$X319)="","",INDEX('Per Invoice'!P$2:P$401,$X319)))</f>
        <v/>
      </c>
      <c r="Q319">
        <f>IF($X319="","",IF(INDEX('Per Invoice'!Q$2:Q$401,$X319)="","",INDEX('Per Invoice'!Q$2:Q$401,$X319)))</f>
        <v/>
      </c>
      <c r="R319" s="7">
        <f>IF($X319="","",IF(INDEX('Per Invoice'!R$2:R$401,$X319)="","",INDEX('Per Invoice'!R$2:R$401,$X319)))</f>
        <v/>
      </c>
      <c r="S319" s="7">
        <f>IF($X319="","",IF(INDEX('Per Invoice'!S$2:S$401,$X319)="","",INDEX('Per Invoice'!S$2:S$401,$X319)))</f>
        <v/>
      </c>
      <c r="T319" s="7">
        <f>IF($X319="","",IF(INDEX('Per Invoice'!T$2:T$401,$X319)="","",INDEX('Per Invoice'!T$2:T$401,$X319)))</f>
        <v/>
      </c>
      <c r="U319" s="7">
        <f>IF($X319="","",IF(INDEX('Per Invoice'!U$2:U$401,$X319)="","",INDEX('Per Invoice'!U$2:U$401,$X319)))</f>
        <v/>
      </c>
      <c r="V319" s="7">
        <f>IF($X319="","",IF(INDEX('Per Invoice'!V$2:V$401,$X319)="","",INDEX('Per Invoice'!V$2:V$401,$X319)))</f>
        <v/>
      </c>
      <c r="W319" s="7">
        <f>IF($X319="","",IF(INDEX('Per Invoice'!W$2:W$401,$X319)="","",INDEX('Per Invoice'!W$2:W$401,$X319)))</f>
        <v/>
      </c>
      <c r="X319" s="16">
        <f>IFERROR(MATCH(Settings!$C$33&amp;"|"&amp;ROWS($X$2:$X319),'Per Invoice'!$Y$2:$Y$401,0),"")</f>
        <v/>
      </c>
    </row>
    <row r="320">
      <c r="A320">
        <f>IF($X320="","",IF(INDEX('Per Invoice'!A$2:A$401,$X320)="","",INDEX('Per Invoice'!A$2:A$401,$X320)))</f>
        <v/>
      </c>
      <c r="B320">
        <f>IF($X320="","",IF(INDEX('Per Invoice'!B$2:B$401,$X320)="","",INDEX('Per Invoice'!B$2:B$401,$X320)))</f>
        <v/>
      </c>
      <c r="C320">
        <f>IF($X320="","",IF(INDEX('Per Invoice'!C$2:C$401,$X320)="","",INDEX('Per Invoice'!C$2:C$401,$X320)))</f>
        <v/>
      </c>
      <c r="D320">
        <f>IF($X320="","",IF(INDEX('Per Invoice'!D$2:D$401,$X320)="","",INDEX('Per Invoice'!D$2:D$401,$X320)))</f>
        <v/>
      </c>
      <c r="E320">
        <f>IF($X320="","",IF(INDEX('Per Invoice'!E$2:E$401,$X320)="","",INDEX('Per Invoice'!E$2:E$401,$X320)))</f>
        <v/>
      </c>
      <c r="F320">
        <f>IF($X320="","",IF(INDEX('Per Invoice'!F$2:F$401,$X320)="","",INDEX('Per Invoice'!F$2:F$401,$X320)))</f>
        <v/>
      </c>
      <c r="G320">
        <f>IF($X320="","",IF(INDEX('Per Invoice'!G$2:G$401,$X320)="","",INDEX('Per Invoice'!G$2:G$401,$X320)))</f>
        <v/>
      </c>
      <c r="H320">
        <f>IF($X320="","",IF(INDEX('Per Invoice'!H$2:H$401,$X320)="","",INDEX('Per Invoice'!H$2:H$401,$X320)))</f>
        <v/>
      </c>
      <c r="I320">
        <f>IF($X320="","",IF(INDEX('Per Invoice'!I$2:I$401,$X320)="","",INDEX('Per Invoice'!I$2:I$401,$X320)))</f>
        <v/>
      </c>
      <c r="J320">
        <f>IF($X320="","",IF(INDEX('Per Invoice'!J$2:J$401,$X320)="","",INDEX('Per Invoice'!J$2:J$401,$X320)))</f>
        <v/>
      </c>
      <c r="K320" s="14">
        <f>IF($X320="","",IF(INDEX('Per Invoice'!K$2:K$401,$X320)="","",INDEX('Per Invoice'!K$2:K$401,$X320)))</f>
        <v/>
      </c>
      <c r="L320">
        <f>IF($X320="","",IF(INDEX('Per Invoice'!L$2:L$401,$X320)="","",INDEX('Per Invoice'!L$2:L$401,$X320)))</f>
        <v/>
      </c>
      <c r="M320" s="7">
        <f>IF($X320="","",IF(INDEX('Per Invoice'!M$2:M$401,$X320)="","",INDEX('Per Invoice'!M$2:M$401,$X320)))</f>
        <v/>
      </c>
      <c r="N320">
        <f>IF($X320="","",IF(INDEX('Per Invoice'!N$2:N$401,$X320)="","",INDEX('Per Invoice'!N$2:N$401,$X320)))</f>
        <v/>
      </c>
      <c r="O320" s="7">
        <f>IF($X320="","",IF(INDEX('Per Invoice'!O$2:O$401,$X320)="","",INDEX('Per Invoice'!O$2:O$401,$X320)))</f>
        <v/>
      </c>
      <c r="P320" s="7">
        <f>IF($X320="","",IF(INDEX('Per Invoice'!P$2:P$401,$X320)="","",INDEX('Per Invoice'!P$2:P$401,$X320)))</f>
        <v/>
      </c>
      <c r="Q320">
        <f>IF($X320="","",IF(INDEX('Per Invoice'!Q$2:Q$401,$X320)="","",INDEX('Per Invoice'!Q$2:Q$401,$X320)))</f>
        <v/>
      </c>
      <c r="R320" s="7">
        <f>IF($X320="","",IF(INDEX('Per Invoice'!R$2:R$401,$X320)="","",INDEX('Per Invoice'!R$2:R$401,$X320)))</f>
        <v/>
      </c>
      <c r="S320" s="7">
        <f>IF($X320="","",IF(INDEX('Per Invoice'!S$2:S$401,$X320)="","",INDEX('Per Invoice'!S$2:S$401,$X320)))</f>
        <v/>
      </c>
      <c r="T320" s="7">
        <f>IF($X320="","",IF(INDEX('Per Invoice'!T$2:T$401,$X320)="","",INDEX('Per Invoice'!T$2:T$401,$X320)))</f>
        <v/>
      </c>
      <c r="U320" s="7">
        <f>IF($X320="","",IF(INDEX('Per Invoice'!U$2:U$401,$X320)="","",INDEX('Per Invoice'!U$2:U$401,$X320)))</f>
        <v/>
      </c>
      <c r="V320" s="7">
        <f>IF($X320="","",IF(INDEX('Per Invoice'!V$2:V$401,$X320)="","",INDEX('Per Invoice'!V$2:V$401,$X320)))</f>
        <v/>
      </c>
      <c r="W320" s="7">
        <f>IF($X320="","",IF(INDEX('Per Invoice'!W$2:W$401,$X320)="","",INDEX('Per Invoice'!W$2:W$401,$X320)))</f>
        <v/>
      </c>
      <c r="X320" s="16">
        <f>IFERROR(MATCH(Settings!$C$33&amp;"|"&amp;ROWS($X$2:$X320),'Per Invoice'!$Y$2:$Y$401,0),"")</f>
        <v/>
      </c>
    </row>
    <row r="321">
      <c r="A321">
        <f>IF($X321="","",IF(INDEX('Per Invoice'!A$2:A$401,$X321)="","",INDEX('Per Invoice'!A$2:A$401,$X321)))</f>
        <v/>
      </c>
      <c r="B321">
        <f>IF($X321="","",IF(INDEX('Per Invoice'!B$2:B$401,$X321)="","",INDEX('Per Invoice'!B$2:B$401,$X321)))</f>
        <v/>
      </c>
      <c r="C321">
        <f>IF($X321="","",IF(INDEX('Per Invoice'!C$2:C$401,$X321)="","",INDEX('Per Invoice'!C$2:C$401,$X321)))</f>
        <v/>
      </c>
      <c r="D321">
        <f>IF($X321="","",IF(INDEX('Per Invoice'!D$2:D$401,$X321)="","",INDEX('Per Invoice'!D$2:D$401,$X321)))</f>
        <v/>
      </c>
      <c r="E321">
        <f>IF($X321="","",IF(INDEX('Per Invoice'!E$2:E$401,$X321)="","",INDEX('Per Invoice'!E$2:E$401,$X321)))</f>
        <v/>
      </c>
      <c r="F321">
        <f>IF($X321="","",IF(INDEX('Per Invoice'!F$2:F$401,$X321)="","",INDEX('Per Invoice'!F$2:F$401,$X321)))</f>
        <v/>
      </c>
      <c r="G321">
        <f>IF($X321="","",IF(INDEX('Per Invoice'!G$2:G$401,$X321)="","",INDEX('Per Invoice'!G$2:G$401,$X321)))</f>
        <v/>
      </c>
      <c r="H321">
        <f>IF($X321="","",IF(INDEX('Per Invoice'!H$2:H$401,$X321)="","",INDEX('Per Invoice'!H$2:H$401,$X321)))</f>
        <v/>
      </c>
      <c r="I321">
        <f>IF($X321="","",IF(INDEX('Per Invoice'!I$2:I$401,$X321)="","",INDEX('Per Invoice'!I$2:I$401,$X321)))</f>
        <v/>
      </c>
      <c r="J321">
        <f>IF($X321="","",IF(INDEX('Per Invoice'!J$2:J$401,$X321)="","",INDEX('Per Invoice'!J$2:J$401,$X321)))</f>
        <v/>
      </c>
      <c r="K321" s="14">
        <f>IF($X321="","",IF(INDEX('Per Invoice'!K$2:K$401,$X321)="","",INDEX('Per Invoice'!K$2:K$401,$X321)))</f>
        <v/>
      </c>
      <c r="L321">
        <f>IF($X321="","",IF(INDEX('Per Invoice'!L$2:L$401,$X321)="","",INDEX('Per Invoice'!L$2:L$401,$X321)))</f>
        <v/>
      </c>
      <c r="M321" s="7">
        <f>IF($X321="","",IF(INDEX('Per Invoice'!M$2:M$401,$X321)="","",INDEX('Per Invoice'!M$2:M$401,$X321)))</f>
        <v/>
      </c>
      <c r="N321">
        <f>IF($X321="","",IF(INDEX('Per Invoice'!N$2:N$401,$X321)="","",INDEX('Per Invoice'!N$2:N$401,$X321)))</f>
        <v/>
      </c>
      <c r="O321" s="7">
        <f>IF($X321="","",IF(INDEX('Per Invoice'!O$2:O$401,$X321)="","",INDEX('Per Invoice'!O$2:O$401,$X321)))</f>
        <v/>
      </c>
      <c r="P321" s="7">
        <f>IF($X321="","",IF(INDEX('Per Invoice'!P$2:P$401,$X321)="","",INDEX('Per Invoice'!P$2:P$401,$X321)))</f>
        <v/>
      </c>
      <c r="Q321">
        <f>IF($X321="","",IF(INDEX('Per Invoice'!Q$2:Q$401,$X321)="","",INDEX('Per Invoice'!Q$2:Q$401,$X321)))</f>
        <v/>
      </c>
      <c r="R321" s="7">
        <f>IF($X321="","",IF(INDEX('Per Invoice'!R$2:R$401,$X321)="","",INDEX('Per Invoice'!R$2:R$401,$X321)))</f>
        <v/>
      </c>
      <c r="S321" s="7">
        <f>IF($X321="","",IF(INDEX('Per Invoice'!S$2:S$401,$X321)="","",INDEX('Per Invoice'!S$2:S$401,$X321)))</f>
        <v/>
      </c>
      <c r="T321" s="7">
        <f>IF($X321="","",IF(INDEX('Per Invoice'!T$2:T$401,$X321)="","",INDEX('Per Invoice'!T$2:T$401,$X321)))</f>
        <v/>
      </c>
      <c r="U321" s="7">
        <f>IF($X321="","",IF(INDEX('Per Invoice'!U$2:U$401,$X321)="","",INDEX('Per Invoice'!U$2:U$401,$X321)))</f>
        <v/>
      </c>
      <c r="V321" s="7">
        <f>IF($X321="","",IF(INDEX('Per Invoice'!V$2:V$401,$X321)="","",INDEX('Per Invoice'!V$2:V$401,$X321)))</f>
        <v/>
      </c>
      <c r="W321" s="7">
        <f>IF($X321="","",IF(INDEX('Per Invoice'!W$2:W$401,$X321)="","",INDEX('Per Invoice'!W$2:W$401,$X321)))</f>
        <v/>
      </c>
      <c r="X321" s="16">
        <f>IFERROR(MATCH(Settings!$C$33&amp;"|"&amp;ROWS($X$2:$X321),'Per Invoice'!$Y$2:$Y$401,0),"")</f>
        <v/>
      </c>
    </row>
    <row r="322">
      <c r="A322">
        <f>IF($X322="","",IF(INDEX('Per Invoice'!A$2:A$401,$X322)="","",INDEX('Per Invoice'!A$2:A$401,$X322)))</f>
        <v/>
      </c>
      <c r="B322">
        <f>IF($X322="","",IF(INDEX('Per Invoice'!B$2:B$401,$X322)="","",INDEX('Per Invoice'!B$2:B$401,$X322)))</f>
        <v/>
      </c>
      <c r="C322">
        <f>IF($X322="","",IF(INDEX('Per Invoice'!C$2:C$401,$X322)="","",INDEX('Per Invoice'!C$2:C$401,$X322)))</f>
        <v/>
      </c>
      <c r="D322">
        <f>IF($X322="","",IF(INDEX('Per Invoice'!D$2:D$401,$X322)="","",INDEX('Per Invoice'!D$2:D$401,$X322)))</f>
        <v/>
      </c>
      <c r="E322">
        <f>IF($X322="","",IF(INDEX('Per Invoice'!E$2:E$401,$X322)="","",INDEX('Per Invoice'!E$2:E$401,$X322)))</f>
        <v/>
      </c>
      <c r="F322">
        <f>IF($X322="","",IF(INDEX('Per Invoice'!F$2:F$401,$X322)="","",INDEX('Per Invoice'!F$2:F$401,$X322)))</f>
        <v/>
      </c>
      <c r="G322">
        <f>IF($X322="","",IF(INDEX('Per Invoice'!G$2:G$401,$X322)="","",INDEX('Per Invoice'!G$2:G$401,$X322)))</f>
        <v/>
      </c>
      <c r="H322">
        <f>IF($X322="","",IF(INDEX('Per Invoice'!H$2:H$401,$X322)="","",INDEX('Per Invoice'!H$2:H$401,$X322)))</f>
        <v/>
      </c>
      <c r="I322">
        <f>IF($X322="","",IF(INDEX('Per Invoice'!I$2:I$401,$X322)="","",INDEX('Per Invoice'!I$2:I$401,$X322)))</f>
        <v/>
      </c>
      <c r="J322">
        <f>IF($X322="","",IF(INDEX('Per Invoice'!J$2:J$401,$X322)="","",INDEX('Per Invoice'!J$2:J$401,$X322)))</f>
        <v/>
      </c>
      <c r="K322" s="14">
        <f>IF($X322="","",IF(INDEX('Per Invoice'!K$2:K$401,$X322)="","",INDEX('Per Invoice'!K$2:K$401,$X322)))</f>
        <v/>
      </c>
      <c r="L322">
        <f>IF($X322="","",IF(INDEX('Per Invoice'!L$2:L$401,$X322)="","",INDEX('Per Invoice'!L$2:L$401,$X322)))</f>
        <v/>
      </c>
      <c r="M322" s="7">
        <f>IF($X322="","",IF(INDEX('Per Invoice'!M$2:M$401,$X322)="","",INDEX('Per Invoice'!M$2:M$401,$X322)))</f>
        <v/>
      </c>
      <c r="N322">
        <f>IF($X322="","",IF(INDEX('Per Invoice'!N$2:N$401,$X322)="","",INDEX('Per Invoice'!N$2:N$401,$X322)))</f>
        <v/>
      </c>
      <c r="O322" s="7">
        <f>IF($X322="","",IF(INDEX('Per Invoice'!O$2:O$401,$X322)="","",INDEX('Per Invoice'!O$2:O$401,$X322)))</f>
        <v/>
      </c>
      <c r="P322" s="7">
        <f>IF($X322="","",IF(INDEX('Per Invoice'!P$2:P$401,$X322)="","",INDEX('Per Invoice'!P$2:P$401,$X322)))</f>
        <v/>
      </c>
      <c r="Q322">
        <f>IF($X322="","",IF(INDEX('Per Invoice'!Q$2:Q$401,$X322)="","",INDEX('Per Invoice'!Q$2:Q$401,$X322)))</f>
        <v/>
      </c>
      <c r="R322" s="7">
        <f>IF($X322="","",IF(INDEX('Per Invoice'!R$2:R$401,$X322)="","",INDEX('Per Invoice'!R$2:R$401,$X322)))</f>
        <v/>
      </c>
      <c r="S322" s="7">
        <f>IF($X322="","",IF(INDEX('Per Invoice'!S$2:S$401,$X322)="","",INDEX('Per Invoice'!S$2:S$401,$X322)))</f>
        <v/>
      </c>
      <c r="T322" s="7">
        <f>IF($X322="","",IF(INDEX('Per Invoice'!T$2:T$401,$X322)="","",INDEX('Per Invoice'!T$2:T$401,$X322)))</f>
        <v/>
      </c>
      <c r="U322" s="7">
        <f>IF($X322="","",IF(INDEX('Per Invoice'!U$2:U$401,$X322)="","",INDEX('Per Invoice'!U$2:U$401,$X322)))</f>
        <v/>
      </c>
      <c r="V322" s="7">
        <f>IF($X322="","",IF(INDEX('Per Invoice'!V$2:V$401,$X322)="","",INDEX('Per Invoice'!V$2:V$401,$X322)))</f>
        <v/>
      </c>
      <c r="W322" s="7">
        <f>IF($X322="","",IF(INDEX('Per Invoice'!W$2:W$401,$X322)="","",INDEX('Per Invoice'!W$2:W$401,$X322)))</f>
        <v/>
      </c>
      <c r="X322" s="16">
        <f>IFERROR(MATCH(Settings!$C$33&amp;"|"&amp;ROWS($X$2:$X322),'Per Invoice'!$Y$2:$Y$401,0),"")</f>
        <v/>
      </c>
    </row>
    <row r="323">
      <c r="A323">
        <f>IF($X323="","",IF(INDEX('Per Invoice'!A$2:A$401,$X323)="","",INDEX('Per Invoice'!A$2:A$401,$X323)))</f>
        <v/>
      </c>
      <c r="B323">
        <f>IF($X323="","",IF(INDEX('Per Invoice'!B$2:B$401,$X323)="","",INDEX('Per Invoice'!B$2:B$401,$X323)))</f>
        <v/>
      </c>
      <c r="C323">
        <f>IF($X323="","",IF(INDEX('Per Invoice'!C$2:C$401,$X323)="","",INDEX('Per Invoice'!C$2:C$401,$X323)))</f>
        <v/>
      </c>
      <c r="D323">
        <f>IF($X323="","",IF(INDEX('Per Invoice'!D$2:D$401,$X323)="","",INDEX('Per Invoice'!D$2:D$401,$X323)))</f>
        <v/>
      </c>
      <c r="E323">
        <f>IF($X323="","",IF(INDEX('Per Invoice'!E$2:E$401,$X323)="","",INDEX('Per Invoice'!E$2:E$401,$X323)))</f>
        <v/>
      </c>
      <c r="F323">
        <f>IF($X323="","",IF(INDEX('Per Invoice'!F$2:F$401,$X323)="","",INDEX('Per Invoice'!F$2:F$401,$X323)))</f>
        <v/>
      </c>
      <c r="G323">
        <f>IF($X323="","",IF(INDEX('Per Invoice'!G$2:G$401,$X323)="","",INDEX('Per Invoice'!G$2:G$401,$X323)))</f>
        <v/>
      </c>
      <c r="H323">
        <f>IF($X323="","",IF(INDEX('Per Invoice'!H$2:H$401,$X323)="","",INDEX('Per Invoice'!H$2:H$401,$X323)))</f>
        <v/>
      </c>
      <c r="I323">
        <f>IF($X323="","",IF(INDEX('Per Invoice'!I$2:I$401,$X323)="","",INDEX('Per Invoice'!I$2:I$401,$X323)))</f>
        <v/>
      </c>
      <c r="J323">
        <f>IF($X323="","",IF(INDEX('Per Invoice'!J$2:J$401,$X323)="","",INDEX('Per Invoice'!J$2:J$401,$X323)))</f>
        <v/>
      </c>
      <c r="K323" s="14">
        <f>IF($X323="","",IF(INDEX('Per Invoice'!K$2:K$401,$X323)="","",INDEX('Per Invoice'!K$2:K$401,$X323)))</f>
        <v/>
      </c>
      <c r="L323">
        <f>IF($X323="","",IF(INDEX('Per Invoice'!L$2:L$401,$X323)="","",INDEX('Per Invoice'!L$2:L$401,$X323)))</f>
        <v/>
      </c>
      <c r="M323" s="7">
        <f>IF($X323="","",IF(INDEX('Per Invoice'!M$2:M$401,$X323)="","",INDEX('Per Invoice'!M$2:M$401,$X323)))</f>
        <v/>
      </c>
      <c r="N323">
        <f>IF($X323="","",IF(INDEX('Per Invoice'!N$2:N$401,$X323)="","",INDEX('Per Invoice'!N$2:N$401,$X323)))</f>
        <v/>
      </c>
      <c r="O323" s="7">
        <f>IF($X323="","",IF(INDEX('Per Invoice'!O$2:O$401,$X323)="","",INDEX('Per Invoice'!O$2:O$401,$X323)))</f>
        <v/>
      </c>
      <c r="P323" s="7">
        <f>IF($X323="","",IF(INDEX('Per Invoice'!P$2:P$401,$X323)="","",INDEX('Per Invoice'!P$2:P$401,$X323)))</f>
        <v/>
      </c>
      <c r="Q323">
        <f>IF($X323="","",IF(INDEX('Per Invoice'!Q$2:Q$401,$X323)="","",INDEX('Per Invoice'!Q$2:Q$401,$X323)))</f>
        <v/>
      </c>
      <c r="R323" s="7">
        <f>IF($X323="","",IF(INDEX('Per Invoice'!R$2:R$401,$X323)="","",INDEX('Per Invoice'!R$2:R$401,$X323)))</f>
        <v/>
      </c>
      <c r="S323" s="7">
        <f>IF($X323="","",IF(INDEX('Per Invoice'!S$2:S$401,$X323)="","",INDEX('Per Invoice'!S$2:S$401,$X323)))</f>
        <v/>
      </c>
      <c r="T323" s="7">
        <f>IF($X323="","",IF(INDEX('Per Invoice'!T$2:T$401,$X323)="","",INDEX('Per Invoice'!T$2:T$401,$X323)))</f>
        <v/>
      </c>
      <c r="U323" s="7">
        <f>IF($X323="","",IF(INDEX('Per Invoice'!U$2:U$401,$X323)="","",INDEX('Per Invoice'!U$2:U$401,$X323)))</f>
        <v/>
      </c>
      <c r="V323" s="7">
        <f>IF($X323="","",IF(INDEX('Per Invoice'!V$2:V$401,$X323)="","",INDEX('Per Invoice'!V$2:V$401,$X323)))</f>
        <v/>
      </c>
      <c r="W323" s="7">
        <f>IF($X323="","",IF(INDEX('Per Invoice'!W$2:W$401,$X323)="","",INDEX('Per Invoice'!W$2:W$401,$X323)))</f>
        <v/>
      </c>
      <c r="X323" s="16">
        <f>IFERROR(MATCH(Settings!$C$33&amp;"|"&amp;ROWS($X$2:$X323),'Per Invoice'!$Y$2:$Y$401,0),"")</f>
        <v/>
      </c>
    </row>
    <row r="324">
      <c r="A324">
        <f>IF($X324="","",IF(INDEX('Per Invoice'!A$2:A$401,$X324)="","",INDEX('Per Invoice'!A$2:A$401,$X324)))</f>
        <v/>
      </c>
      <c r="B324">
        <f>IF($X324="","",IF(INDEX('Per Invoice'!B$2:B$401,$X324)="","",INDEX('Per Invoice'!B$2:B$401,$X324)))</f>
        <v/>
      </c>
      <c r="C324">
        <f>IF($X324="","",IF(INDEX('Per Invoice'!C$2:C$401,$X324)="","",INDEX('Per Invoice'!C$2:C$401,$X324)))</f>
        <v/>
      </c>
      <c r="D324">
        <f>IF($X324="","",IF(INDEX('Per Invoice'!D$2:D$401,$X324)="","",INDEX('Per Invoice'!D$2:D$401,$X324)))</f>
        <v/>
      </c>
      <c r="E324">
        <f>IF($X324="","",IF(INDEX('Per Invoice'!E$2:E$401,$X324)="","",INDEX('Per Invoice'!E$2:E$401,$X324)))</f>
        <v/>
      </c>
      <c r="F324">
        <f>IF($X324="","",IF(INDEX('Per Invoice'!F$2:F$401,$X324)="","",INDEX('Per Invoice'!F$2:F$401,$X324)))</f>
        <v/>
      </c>
      <c r="G324">
        <f>IF($X324="","",IF(INDEX('Per Invoice'!G$2:G$401,$X324)="","",INDEX('Per Invoice'!G$2:G$401,$X324)))</f>
        <v/>
      </c>
      <c r="H324">
        <f>IF($X324="","",IF(INDEX('Per Invoice'!H$2:H$401,$X324)="","",INDEX('Per Invoice'!H$2:H$401,$X324)))</f>
        <v/>
      </c>
      <c r="I324">
        <f>IF($X324="","",IF(INDEX('Per Invoice'!I$2:I$401,$X324)="","",INDEX('Per Invoice'!I$2:I$401,$X324)))</f>
        <v/>
      </c>
      <c r="J324">
        <f>IF($X324="","",IF(INDEX('Per Invoice'!J$2:J$401,$X324)="","",INDEX('Per Invoice'!J$2:J$401,$X324)))</f>
        <v/>
      </c>
      <c r="K324" s="14">
        <f>IF($X324="","",IF(INDEX('Per Invoice'!K$2:K$401,$X324)="","",INDEX('Per Invoice'!K$2:K$401,$X324)))</f>
        <v/>
      </c>
      <c r="L324">
        <f>IF($X324="","",IF(INDEX('Per Invoice'!L$2:L$401,$X324)="","",INDEX('Per Invoice'!L$2:L$401,$X324)))</f>
        <v/>
      </c>
      <c r="M324" s="7">
        <f>IF($X324="","",IF(INDEX('Per Invoice'!M$2:M$401,$X324)="","",INDEX('Per Invoice'!M$2:M$401,$X324)))</f>
        <v/>
      </c>
      <c r="N324">
        <f>IF($X324="","",IF(INDEX('Per Invoice'!N$2:N$401,$X324)="","",INDEX('Per Invoice'!N$2:N$401,$X324)))</f>
        <v/>
      </c>
      <c r="O324" s="7">
        <f>IF($X324="","",IF(INDEX('Per Invoice'!O$2:O$401,$X324)="","",INDEX('Per Invoice'!O$2:O$401,$X324)))</f>
        <v/>
      </c>
      <c r="P324" s="7">
        <f>IF($X324="","",IF(INDEX('Per Invoice'!P$2:P$401,$X324)="","",INDEX('Per Invoice'!P$2:P$401,$X324)))</f>
        <v/>
      </c>
      <c r="Q324">
        <f>IF($X324="","",IF(INDEX('Per Invoice'!Q$2:Q$401,$X324)="","",INDEX('Per Invoice'!Q$2:Q$401,$X324)))</f>
        <v/>
      </c>
      <c r="R324" s="7">
        <f>IF($X324="","",IF(INDEX('Per Invoice'!R$2:R$401,$X324)="","",INDEX('Per Invoice'!R$2:R$401,$X324)))</f>
        <v/>
      </c>
      <c r="S324" s="7">
        <f>IF($X324="","",IF(INDEX('Per Invoice'!S$2:S$401,$X324)="","",INDEX('Per Invoice'!S$2:S$401,$X324)))</f>
        <v/>
      </c>
      <c r="T324" s="7">
        <f>IF($X324="","",IF(INDEX('Per Invoice'!T$2:T$401,$X324)="","",INDEX('Per Invoice'!T$2:T$401,$X324)))</f>
        <v/>
      </c>
      <c r="U324" s="7">
        <f>IF($X324="","",IF(INDEX('Per Invoice'!U$2:U$401,$X324)="","",INDEX('Per Invoice'!U$2:U$401,$X324)))</f>
        <v/>
      </c>
      <c r="V324" s="7">
        <f>IF($X324="","",IF(INDEX('Per Invoice'!V$2:V$401,$X324)="","",INDEX('Per Invoice'!V$2:V$401,$X324)))</f>
        <v/>
      </c>
      <c r="W324" s="7">
        <f>IF($X324="","",IF(INDEX('Per Invoice'!W$2:W$401,$X324)="","",INDEX('Per Invoice'!W$2:W$401,$X324)))</f>
        <v/>
      </c>
      <c r="X324" s="16">
        <f>IFERROR(MATCH(Settings!$C$33&amp;"|"&amp;ROWS($X$2:$X324),'Per Invoice'!$Y$2:$Y$401,0),"")</f>
        <v/>
      </c>
    </row>
    <row r="325">
      <c r="A325">
        <f>IF($X325="","",IF(INDEX('Per Invoice'!A$2:A$401,$X325)="","",INDEX('Per Invoice'!A$2:A$401,$X325)))</f>
        <v/>
      </c>
      <c r="B325">
        <f>IF($X325="","",IF(INDEX('Per Invoice'!B$2:B$401,$X325)="","",INDEX('Per Invoice'!B$2:B$401,$X325)))</f>
        <v/>
      </c>
      <c r="C325">
        <f>IF($X325="","",IF(INDEX('Per Invoice'!C$2:C$401,$X325)="","",INDEX('Per Invoice'!C$2:C$401,$X325)))</f>
        <v/>
      </c>
      <c r="D325">
        <f>IF($X325="","",IF(INDEX('Per Invoice'!D$2:D$401,$X325)="","",INDEX('Per Invoice'!D$2:D$401,$X325)))</f>
        <v/>
      </c>
      <c r="E325">
        <f>IF($X325="","",IF(INDEX('Per Invoice'!E$2:E$401,$X325)="","",INDEX('Per Invoice'!E$2:E$401,$X325)))</f>
        <v/>
      </c>
      <c r="F325">
        <f>IF($X325="","",IF(INDEX('Per Invoice'!F$2:F$401,$X325)="","",INDEX('Per Invoice'!F$2:F$401,$X325)))</f>
        <v/>
      </c>
      <c r="G325">
        <f>IF($X325="","",IF(INDEX('Per Invoice'!G$2:G$401,$X325)="","",INDEX('Per Invoice'!G$2:G$401,$X325)))</f>
        <v/>
      </c>
      <c r="H325">
        <f>IF($X325="","",IF(INDEX('Per Invoice'!H$2:H$401,$X325)="","",INDEX('Per Invoice'!H$2:H$401,$X325)))</f>
        <v/>
      </c>
      <c r="I325">
        <f>IF($X325="","",IF(INDEX('Per Invoice'!I$2:I$401,$X325)="","",INDEX('Per Invoice'!I$2:I$401,$X325)))</f>
        <v/>
      </c>
      <c r="J325">
        <f>IF($X325="","",IF(INDEX('Per Invoice'!J$2:J$401,$X325)="","",INDEX('Per Invoice'!J$2:J$401,$X325)))</f>
        <v/>
      </c>
      <c r="K325" s="14">
        <f>IF($X325="","",IF(INDEX('Per Invoice'!K$2:K$401,$X325)="","",INDEX('Per Invoice'!K$2:K$401,$X325)))</f>
        <v/>
      </c>
      <c r="L325">
        <f>IF($X325="","",IF(INDEX('Per Invoice'!L$2:L$401,$X325)="","",INDEX('Per Invoice'!L$2:L$401,$X325)))</f>
        <v/>
      </c>
      <c r="M325" s="7">
        <f>IF($X325="","",IF(INDEX('Per Invoice'!M$2:M$401,$X325)="","",INDEX('Per Invoice'!M$2:M$401,$X325)))</f>
        <v/>
      </c>
      <c r="N325">
        <f>IF($X325="","",IF(INDEX('Per Invoice'!N$2:N$401,$X325)="","",INDEX('Per Invoice'!N$2:N$401,$X325)))</f>
        <v/>
      </c>
      <c r="O325" s="7">
        <f>IF($X325="","",IF(INDEX('Per Invoice'!O$2:O$401,$X325)="","",INDEX('Per Invoice'!O$2:O$401,$X325)))</f>
        <v/>
      </c>
      <c r="P325" s="7">
        <f>IF($X325="","",IF(INDEX('Per Invoice'!P$2:P$401,$X325)="","",INDEX('Per Invoice'!P$2:P$401,$X325)))</f>
        <v/>
      </c>
      <c r="Q325">
        <f>IF($X325="","",IF(INDEX('Per Invoice'!Q$2:Q$401,$X325)="","",INDEX('Per Invoice'!Q$2:Q$401,$X325)))</f>
        <v/>
      </c>
      <c r="R325" s="7">
        <f>IF($X325="","",IF(INDEX('Per Invoice'!R$2:R$401,$X325)="","",INDEX('Per Invoice'!R$2:R$401,$X325)))</f>
        <v/>
      </c>
      <c r="S325" s="7">
        <f>IF($X325="","",IF(INDEX('Per Invoice'!S$2:S$401,$X325)="","",INDEX('Per Invoice'!S$2:S$401,$X325)))</f>
        <v/>
      </c>
      <c r="T325" s="7">
        <f>IF($X325="","",IF(INDEX('Per Invoice'!T$2:T$401,$X325)="","",INDEX('Per Invoice'!T$2:T$401,$X325)))</f>
        <v/>
      </c>
      <c r="U325" s="7">
        <f>IF($X325="","",IF(INDEX('Per Invoice'!U$2:U$401,$X325)="","",INDEX('Per Invoice'!U$2:U$401,$X325)))</f>
        <v/>
      </c>
      <c r="V325" s="7">
        <f>IF($X325="","",IF(INDEX('Per Invoice'!V$2:V$401,$X325)="","",INDEX('Per Invoice'!V$2:V$401,$X325)))</f>
        <v/>
      </c>
      <c r="W325" s="7">
        <f>IF($X325="","",IF(INDEX('Per Invoice'!W$2:W$401,$X325)="","",INDEX('Per Invoice'!W$2:W$401,$X325)))</f>
        <v/>
      </c>
      <c r="X325" s="16">
        <f>IFERROR(MATCH(Settings!$C$33&amp;"|"&amp;ROWS($X$2:$X325),'Per Invoice'!$Y$2:$Y$401,0),"")</f>
        <v/>
      </c>
    </row>
    <row r="326">
      <c r="A326">
        <f>IF($X326="","",IF(INDEX('Per Invoice'!A$2:A$401,$X326)="","",INDEX('Per Invoice'!A$2:A$401,$X326)))</f>
        <v/>
      </c>
      <c r="B326">
        <f>IF($X326="","",IF(INDEX('Per Invoice'!B$2:B$401,$X326)="","",INDEX('Per Invoice'!B$2:B$401,$X326)))</f>
        <v/>
      </c>
      <c r="C326">
        <f>IF($X326="","",IF(INDEX('Per Invoice'!C$2:C$401,$X326)="","",INDEX('Per Invoice'!C$2:C$401,$X326)))</f>
        <v/>
      </c>
      <c r="D326">
        <f>IF($X326="","",IF(INDEX('Per Invoice'!D$2:D$401,$X326)="","",INDEX('Per Invoice'!D$2:D$401,$X326)))</f>
        <v/>
      </c>
      <c r="E326">
        <f>IF($X326="","",IF(INDEX('Per Invoice'!E$2:E$401,$X326)="","",INDEX('Per Invoice'!E$2:E$401,$X326)))</f>
        <v/>
      </c>
      <c r="F326">
        <f>IF($X326="","",IF(INDEX('Per Invoice'!F$2:F$401,$X326)="","",INDEX('Per Invoice'!F$2:F$401,$X326)))</f>
        <v/>
      </c>
      <c r="G326">
        <f>IF($X326="","",IF(INDEX('Per Invoice'!G$2:G$401,$X326)="","",INDEX('Per Invoice'!G$2:G$401,$X326)))</f>
        <v/>
      </c>
      <c r="H326">
        <f>IF($X326="","",IF(INDEX('Per Invoice'!H$2:H$401,$X326)="","",INDEX('Per Invoice'!H$2:H$401,$X326)))</f>
        <v/>
      </c>
      <c r="I326">
        <f>IF($X326="","",IF(INDEX('Per Invoice'!I$2:I$401,$X326)="","",INDEX('Per Invoice'!I$2:I$401,$X326)))</f>
        <v/>
      </c>
      <c r="J326">
        <f>IF($X326="","",IF(INDEX('Per Invoice'!J$2:J$401,$X326)="","",INDEX('Per Invoice'!J$2:J$401,$X326)))</f>
        <v/>
      </c>
      <c r="K326" s="14">
        <f>IF($X326="","",IF(INDEX('Per Invoice'!K$2:K$401,$X326)="","",INDEX('Per Invoice'!K$2:K$401,$X326)))</f>
        <v/>
      </c>
      <c r="L326">
        <f>IF($X326="","",IF(INDEX('Per Invoice'!L$2:L$401,$X326)="","",INDEX('Per Invoice'!L$2:L$401,$X326)))</f>
        <v/>
      </c>
      <c r="M326" s="7">
        <f>IF($X326="","",IF(INDEX('Per Invoice'!M$2:M$401,$X326)="","",INDEX('Per Invoice'!M$2:M$401,$X326)))</f>
        <v/>
      </c>
      <c r="N326">
        <f>IF($X326="","",IF(INDEX('Per Invoice'!N$2:N$401,$X326)="","",INDEX('Per Invoice'!N$2:N$401,$X326)))</f>
        <v/>
      </c>
      <c r="O326" s="7">
        <f>IF($X326="","",IF(INDEX('Per Invoice'!O$2:O$401,$X326)="","",INDEX('Per Invoice'!O$2:O$401,$X326)))</f>
        <v/>
      </c>
      <c r="P326" s="7">
        <f>IF($X326="","",IF(INDEX('Per Invoice'!P$2:P$401,$X326)="","",INDEX('Per Invoice'!P$2:P$401,$X326)))</f>
        <v/>
      </c>
      <c r="Q326">
        <f>IF($X326="","",IF(INDEX('Per Invoice'!Q$2:Q$401,$X326)="","",INDEX('Per Invoice'!Q$2:Q$401,$X326)))</f>
        <v/>
      </c>
      <c r="R326" s="7">
        <f>IF($X326="","",IF(INDEX('Per Invoice'!R$2:R$401,$X326)="","",INDEX('Per Invoice'!R$2:R$401,$X326)))</f>
        <v/>
      </c>
      <c r="S326" s="7">
        <f>IF($X326="","",IF(INDEX('Per Invoice'!S$2:S$401,$X326)="","",INDEX('Per Invoice'!S$2:S$401,$X326)))</f>
        <v/>
      </c>
      <c r="T326" s="7">
        <f>IF($X326="","",IF(INDEX('Per Invoice'!T$2:T$401,$X326)="","",INDEX('Per Invoice'!T$2:T$401,$X326)))</f>
        <v/>
      </c>
      <c r="U326" s="7">
        <f>IF($X326="","",IF(INDEX('Per Invoice'!U$2:U$401,$X326)="","",INDEX('Per Invoice'!U$2:U$401,$X326)))</f>
        <v/>
      </c>
      <c r="V326" s="7">
        <f>IF($X326="","",IF(INDEX('Per Invoice'!V$2:V$401,$X326)="","",INDEX('Per Invoice'!V$2:V$401,$X326)))</f>
        <v/>
      </c>
      <c r="W326" s="7">
        <f>IF($X326="","",IF(INDEX('Per Invoice'!W$2:W$401,$X326)="","",INDEX('Per Invoice'!W$2:W$401,$X326)))</f>
        <v/>
      </c>
      <c r="X326" s="16">
        <f>IFERROR(MATCH(Settings!$C$33&amp;"|"&amp;ROWS($X$2:$X326),'Per Invoice'!$Y$2:$Y$401,0),"")</f>
        <v/>
      </c>
    </row>
    <row r="327">
      <c r="A327">
        <f>IF($X327="","",IF(INDEX('Per Invoice'!A$2:A$401,$X327)="","",INDEX('Per Invoice'!A$2:A$401,$X327)))</f>
        <v/>
      </c>
      <c r="B327">
        <f>IF($X327="","",IF(INDEX('Per Invoice'!B$2:B$401,$X327)="","",INDEX('Per Invoice'!B$2:B$401,$X327)))</f>
        <v/>
      </c>
      <c r="C327">
        <f>IF($X327="","",IF(INDEX('Per Invoice'!C$2:C$401,$X327)="","",INDEX('Per Invoice'!C$2:C$401,$X327)))</f>
        <v/>
      </c>
      <c r="D327">
        <f>IF($X327="","",IF(INDEX('Per Invoice'!D$2:D$401,$X327)="","",INDEX('Per Invoice'!D$2:D$401,$X327)))</f>
        <v/>
      </c>
      <c r="E327">
        <f>IF($X327="","",IF(INDEX('Per Invoice'!E$2:E$401,$X327)="","",INDEX('Per Invoice'!E$2:E$401,$X327)))</f>
        <v/>
      </c>
      <c r="F327">
        <f>IF($X327="","",IF(INDEX('Per Invoice'!F$2:F$401,$X327)="","",INDEX('Per Invoice'!F$2:F$401,$X327)))</f>
        <v/>
      </c>
      <c r="G327">
        <f>IF($X327="","",IF(INDEX('Per Invoice'!G$2:G$401,$X327)="","",INDEX('Per Invoice'!G$2:G$401,$X327)))</f>
        <v/>
      </c>
      <c r="H327">
        <f>IF($X327="","",IF(INDEX('Per Invoice'!H$2:H$401,$X327)="","",INDEX('Per Invoice'!H$2:H$401,$X327)))</f>
        <v/>
      </c>
      <c r="I327">
        <f>IF($X327="","",IF(INDEX('Per Invoice'!I$2:I$401,$X327)="","",INDEX('Per Invoice'!I$2:I$401,$X327)))</f>
        <v/>
      </c>
      <c r="J327">
        <f>IF($X327="","",IF(INDEX('Per Invoice'!J$2:J$401,$X327)="","",INDEX('Per Invoice'!J$2:J$401,$X327)))</f>
        <v/>
      </c>
      <c r="K327" s="14">
        <f>IF($X327="","",IF(INDEX('Per Invoice'!K$2:K$401,$X327)="","",INDEX('Per Invoice'!K$2:K$401,$X327)))</f>
        <v/>
      </c>
      <c r="L327">
        <f>IF($X327="","",IF(INDEX('Per Invoice'!L$2:L$401,$X327)="","",INDEX('Per Invoice'!L$2:L$401,$X327)))</f>
        <v/>
      </c>
      <c r="M327" s="7">
        <f>IF($X327="","",IF(INDEX('Per Invoice'!M$2:M$401,$X327)="","",INDEX('Per Invoice'!M$2:M$401,$X327)))</f>
        <v/>
      </c>
      <c r="N327">
        <f>IF($X327="","",IF(INDEX('Per Invoice'!N$2:N$401,$X327)="","",INDEX('Per Invoice'!N$2:N$401,$X327)))</f>
        <v/>
      </c>
      <c r="O327" s="7">
        <f>IF($X327="","",IF(INDEX('Per Invoice'!O$2:O$401,$X327)="","",INDEX('Per Invoice'!O$2:O$401,$X327)))</f>
        <v/>
      </c>
      <c r="P327" s="7">
        <f>IF($X327="","",IF(INDEX('Per Invoice'!P$2:P$401,$X327)="","",INDEX('Per Invoice'!P$2:P$401,$X327)))</f>
        <v/>
      </c>
      <c r="Q327">
        <f>IF($X327="","",IF(INDEX('Per Invoice'!Q$2:Q$401,$X327)="","",INDEX('Per Invoice'!Q$2:Q$401,$X327)))</f>
        <v/>
      </c>
      <c r="R327" s="7">
        <f>IF($X327="","",IF(INDEX('Per Invoice'!R$2:R$401,$X327)="","",INDEX('Per Invoice'!R$2:R$401,$X327)))</f>
        <v/>
      </c>
      <c r="S327" s="7">
        <f>IF($X327="","",IF(INDEX('Per Invoice'!S$2:S$401,$X327)="","",INDEX('Per Invoice'!S$2:S$401,$X327)))</f>
        <v/>
      </c>
      <c r="T327" s="7">
        <f>IF($X327="","",IF(INDEX('Per Invoice'!T$2:T$401,$X327)="","",INDEX('Per Invoice'!T$2:T$401,$X327)))</f>
        <v/>
      </c>
      <c r="U327" s="7">
        <f>IF($X327="","",IF(INDEX('Per Invoice'!U$2:U$401,$X327)="","",INDEX('Per Invoice'!U$2:U$401,$X327)))</f>
        <v/>
      </c>
      <c r="V327" s="7">
        <f>IF($X327="","",IF(INDEX('Per Invoice'!V$2:V$401,$X327)="","",INDEX('Per Invoice'!V$2:V$401,$X327)))</f>
        <v/>
      </c>
      <c r="W327" s="7">
        <f>IF($X327="","",IF(INDEX('Per Invoice'!W$2:W$401,$X327)="","",INDEX('Per Invoice'!W$2:W$401,$X327)))</f>
        <v/>
      </c>
      <c r="X327" s="16">
        <f>IFERROR(MATCH(Settings!$C$33&amp;"|"&amp;ROWS($X$2:$X327),'Per Invoice'!$Y$2:$Y$401,0),"")</f>
        <v/>
      </c>
    </row>
    <row r="328">
      <c r="A328">
        <f>IF($X328="","",IF(INDEX('Per Invoice'!A$2:A$401,$X328)="","",INDEX('Per Invoice'!A$2:A$401,$X328)))</f>
        <v/>
      </c>
      <c r="B328">
        <f>IF($X328="","",IF(INDEX('Per Invoice'!B$2:B$401,$X328)="","",INDEX('Per Invoice'!B$2:B$401,$X328)))</f>
        <v/>
      </c>
      <c r="C328">
        <f>IF($X328="","",IF(INDEX('Per Invoice'!C$2:C$401,$X328)="","",INDEX('Per Invoice'!C$2:C$401,$X328)))</f>
        <v/>
      </c>
      <c r="D328">
        <f>IF($X328="","",IF(INDEX('Per Invoice'!D$2:D$401,$X328)="","",INDEX('Per Invoice'!D$2:D$401,$X328)))</f>
        <v/>
      </c>
      <c r="E328">
        <f>IF($X328="","",IF(INDEX('Per Invoice'!E$2:E$401,$X328)="","",INDEX('Per Invoice'!E$2:E$401,$X328)))</f>
        <v/>
      </c>
      <c r="F328">
        <f>IF($X328="","",IF(INDEX('Per Invoice'!F$2:F$401,$X328)="","",INDEX('Per Invoice'!F$2:F$401,$X328)))</f>
        <v/>
      </c>
      <c r="G328">
        <f>IF($X328="","",IF(INDEX('Per Invoice'!G$2:G$401,$X328)="","",INDEX('Per Invoice'!G$2:G$401,$X328)))</f>
        <v/>
      </c>
      <c r="H328">
        <f>IF($X328="","",IF(INDEX('Per Invoice'!H$2:H$401,$X328)="","",INDEX('Per Invoice'!H$2:H$401,$X328)))</f>
        <v/>
      </c>
      <c r="I328">
        <f>IF($X328="","",IF(INDEX('Per Invoice'!I$2:I$401,$X328)="","",INDEX('Per Invoice'!I$2:I$401,$X328)))</f>
        <v/>
      </c>
      <c r="J328">
        <f>IF($X328="","",IF(INDEX('Per Invoice'!J$2:J$401,$X328)="","",INDEX('Per Invoice'!J$2:J$401,$X328)))</f>
        <v/>
      </c>
      <c r="K328" s="14">
        <f>IF($X328="","",IF(INDEX('Per Invoice'!K$2:K$401,$X328)="","",INDEX('Per Invoice'!K$2:K$401,$X328)))</f>
        <v/>
      </c>
      <c r="L328">
        <f>IF($X328="","",IF(INDEX('Per Invoice'!L$2:L$401,$X328)="","",INDEX('Per Invoice'!L$2:L$401,$X328)))</f>
        <v/>
      </c>
      <c r="M328" s="7">
        <f>IF($X328="","",IF(INDEX('Per Invoice'!M$2:M$401,$X328)="","",INDEX('Per Invoice'!M$2:M$401,$X328)))</f>
        <v/>
      </c>
      <c r="N328">
        <f>IF($X328="","",IF(INDEX('Per Invoice'!N$2:N$401,$X328)="","",INDEX('Per Invoice'!N$2:N$401,$X328)))</f>
        <v/>
      </c>
      <c r="O328" s="7">
        <f>IF($X328="","",IF(INDEX('Per Invoice'!O$2:O$401,$X328)="","",INDEX('Per Invoice'!O$2:O$401,$X328)))</f>
        <v/>
      </c>
      <c r="P328" s="7">
        <f>IF($X328="","",IF(INDEX('Per Invoice'!P$2:P$401,$X328)="","",INDEX('Per Invoice'!P$2:P$401,$X328)))</f>
        <v/>
      </c>
      <c r="Q328">
        <f>IF($X328="","",IF(INDEX('Per Invoice'!Q$2:Q$401,$X328)="","",INDEX('Per Invoice'!Q$2:Q$401,$X328)))</f>
        <v/>
      </c>
      <c r="R328" s="7">
        <f>IF($X328="","",IF(INDEX('Per Invoice'!R$2:R$401,$X328)="","",INDEX('Per Invoice'!R$2:R$401,$X328)))</f>
        <v/>
      </c>
      <c r="S328" s="7">
        <f>IF($X328="","",IF(INDEX('Per Invoice'!S$2:S$401,$X328)="","",INDEX('Per Invoice'!S$2:S$401,$X328)))</f>
        <v/>
      </c>
      <c r="T328" s="7">
        <f>IF($X328="","",IF(INDEX('Per Invoice'!T$2:T$401,$X328)="","",INDEX('Per Invoice'!T$2:T$401,$X328)))</f>
        <v/>
      </c>
      <c r="U328" s="7">
        <f>IF($X328="","",IF(INDEX('Per Invoice'!U$2:U$401,$X328)="","",INDEX('Per Invoice'!U$2:U$401,$X328)))</f>
        <v/>
      </c>
      <c r="V328" s="7">
        <f>IF($X328="","",IF(INDEX('Per Invoice'!V$2:V$401,$X328)="","",INDEX('Per Invoice'!V$2:V$401,$X328)))</f>
        <v/>
      </c>
      <c r="W328" s="7">
        <f>IF($X328="","",IF(INDEX('Per Invoice'!W$2:W$401,$X328)="","",INDEX('Per Invoice'!W$2:W$401,$X328)))</f>
        <v/>
      </c>
      <c r="X328" s="16">
        <f>IFERROR(MATCH(Settings!$C$33&amp;"|"&amp;ROWS($X$2:$X328),'Per Invoice'!$Y$2:$Y$401,0),"")</f>
        <v/>
      </c>
    </row>
    <row r="329">
      <c r="A329">
        <f>IF($X329="","",IF(INDEX('Per Invoice'!A$2:A$401,$X329)="","",INDEX('Per Invoice'!A$2:A$401,$X329)))</f>
        <v/>
      </c>
      <c r="B329">
        <f>IF($X329="","",IF(INDEX('Per Invoice'!B$2:B$401,$X329)="","",INDEX('Per Invoice'!B$2:B$401,$X329)))</f>
        <v/>
      </c>
      <c r="C329">
        <f>IF($X329="","",IF(INDEX('Per Invoice'!C$2:C$401,$X329)="","",INDEX('Per Invoice'!C$2:C$401,$X329)))</f>
        <v/>
      </c>
      <c r="D329">
        <f>IF($X329="","",IF(INDEX('Per Invoice'!D$2:D$401,$X329)="","",INDEX('Per Invoice'!D$2:D$401,$X329)))</f>
        <v/>
      </c>
      <c r="E329">
        <f>IF($X329="","",IF(INDEX('Per Invoice'!E$2:E$401,$X329)="","",INDEX('Per Invoice'!E$2:E$401,$X329)))</f>
        <v/>
      </c>
      <c r="F329">
        <f>IF($X329="","",IF(INDEX('Per Invoice'!F$2:F$401,$X329)="","",INDEX('Per Invoice'!F$2:F$401,$X329)))</f>
        <v/>
      </c>
      <c r="G329">
        <f>IF($X329="","",IF(INDEX('Per Invoice'!G$2:G$401,$X329)="","",INDEX('Per Invoice'!G$2:G$401,$X329)))</f>
        <v/>
      </c>
      <c r="H329">
        <f>IF($X329="","",IF(INDEX('Per Invoice'!H$2:H$401,$X329)="","",INDEX('Per Invoice'!H$2:H$401,$X329)))</f>
        <v/>
      </c>
      <c r="I329">
        <f>IF($X329="","",IF(INDEX('Per Invoice'!I$2:I$401,$X329)="","",INDEX('Per Invoice'!I$2:I$401,$X329)))</f>
        <v/>
      </c>
      <c r="J329">
        <f>IF($X329="","",IF(INDEX('Per Invoice'!J$2:J$401,$X329)="","",INDEX('Per Invoice'!J$2:J$401,$X329)))</f>
        <v/>
      </c>
      <c r="K329" s="14">
        <f>IF($X329="","",IF(INDEX('Per Invoice'!K$2:K$401,$X329)="","",INDEX('Per Invoice'!K$2:K$401,$X329)))</f>
        <v/>
      </c>
      <c r="L329">
        <f>IF($X329="","",IF(INDEX('Per Invoice'!L$2:L$401,$X329)="","",INDEX('Per Invoice'!L$2:L$401,$X329)))</f>
        <v/>
      </c>
      <c r="M329" s="7">
        <f>IF($X329="","",IF(INDEX('Per Invoice'!M$2:M$401,$X329)="","",INDEX('Per Invoice'!M$2:M$401,$X329)))</f>
        <v/>
      </c>
      <c r="N329">
        <f>IF($X329="","",IF(INDEX('Per Invoice'!N$2:N$401,$X329)="","",INDEX('Per Invoice'!N$2:N$401,$X329)))</f>
        <v/>
      </c>
      <c r="O329" s="7">
        <f>IF($X329="","",IF(INDEX('Per Invoice'!O$2:O$401,$X329)="","",INDEX('Per Invoice'!O$2:O$401,$X329)))</f>
        <v/>
      </c>
      <c r="P329" s="7">
        <f>IF($X329="","",IF(INDEX('Per Invoice'!P$2:P$401,$X329)="","",INDEX('Per Invoice'!P$2:P$401,$X329)))</f>
        <v/>
      </c>
      <c r="Q329">
        <f>IF($X329="","",IF(INDEX('Per Invoice'!Q$2:Q$401,$X329)="","",INDEX('Per Invoice'!Q$2:Q$401,$X329)))</f>
        <v/>
      </c>
      <c r="R329" s="7">
        <f>IF($X329="","",IF(INDEX('Per Invoice'!R$2:R$401,$X329)="","",INDEX('Per Invoice'!R$2:R$401,$X329)))</f>
        <v/>
      </c>
      <c r="S329" s="7">
        <f>IF($X329="","",IF(INDEX('Per Invoice'!S$2:S$401,$X329)="","",INDEX('Per Invoice'!S$2:S$401,$X329)))</f>
        <v/>
      </c>
      <c r="T329" s="7">
        <f>IF($X329="","",IF(INDEX('Per Invoice'!T$2:T$401,$X329)="","",INDEX('Per Invoice'!T$2:T$401,$X329)))</f>
        <v/>
      </c>
      <c r="U329" s="7">
        <f>IF($X329="","",IF(INDEX('Per Invoice'!U$2:U$401,$X329)="","",INDEX('Per Invoice'!U$2:U$401,$X329)))</f>
        <v/>
      </c>
      <c r="V329" s="7">
        <f>IF($X329="","",IF(INDEX('Per Invoice'!V$2:V$401,$X329)="","",INDEX('Per Invoice'!V$2:V$401,$X329)))</f>
        <v/>
      </c>
      <c r="W329" s="7">
        <f>IF($X329="","",IF(INDEX('Per Invoice'!W$2:W$401,$X329)="","",INDEX('Per Invoice'!W$2:W$401,$X329)))</f>
        <v/>
      </c>
      <c r="X329" s="16">
        <f>IFERROR(MATCH(Settings!$C$33&amp;"|"&amp;ROWS($X$2:$X329),'Per Invoice'!$Y$2:$Y$401,0),"")</f>
        <v/>
      </c>
    </row>
    <row r="330">
      <c r="A330">
        <f>IF($X330="","",IF(INDEX('Per Invoice'!A$2:A$401,$X330)="","",INDEX('Per Invoice'!A$2:A$401,$X330)))</f>
        <v/>
      </c>
      <c r="B330">
        <f>IF($X330="","",IF(INDEX('Per Invoice'!B$2:B$401,$X330)="","",INDEX('Per Invoice'!B$2:B$401,$X330)))</f>
        <v/>
      </c>
      <c r="C330">
        <f>IF($X330="","",IF(INDEX('Per Invoice'!C$2:C$401,$X330)="","",INDEX('Per Invoice'!C$2:C$401,$X330)))</f>
        <v/>
      </c>
      <c r="D330">
        <f>IF($X330="","",IF(INDEX('Per Invoice'!D$2:D$401,$X330)="","",INDEX('Per Invoice'!D$2:D$401,$X330)))</f>
        <v/>
      </c>
      <c r="E330">
        <f>IF($X330="","",IF(INDEX('Per Invoice'!E$2:E$401,$X330)="","",INDEX('Per Invoice'!E$2:E$401,$X330)))</f>
        <v/>
      </c>
      <c r="F330">
        <f>IF($X330="","",IF(INDEX('Per Invoice'!F$2:F$401,$X330)="","",INDEX('Per Invoice'!F$2:F$401,$X330)))</f>
        <v/>
      </c>
      <c r="G330">
        <f>IF($X330="","",IF(INDEX('Per Invoice'!G$2:G$401,$X330)="","",INDEX('Per Invoice'!G$2:G$401,$X330)))</f>
        <v/>
      </c>
      <c r="H330">
        <f>IF($X330="","",IF(INDEX('Per Invoice'!H$2:H$401,$X330)="","",INDEX('Per Invoice'!H$2:H$401,$X330)))</f>
        <v/>
      </c>
      <c r="I330">
        <f>IF($X330="","",IF(INDEX('Per Invoice'!I$2:I$401,$X330)="","",INDEX('Per Invoice'!I$2:I$401,$X330)))</f>
        <v/>
      </c>
      <c r="J330">
        <f>IF($X330="","",IF(INDEX('Per Invoice'!J$2:J$401,$X330)="","",INDEX('Per Invoice'!J$2:J$401,$X330)))</f>
        <v/>
      </c>
      <c r="K330" s="14">
        <f>IF($X330="","",IF(INDEX('Per Invoice'!K$2:K$401,$X330)="","",INDEX('Per Invoice'!K$2:K$401,$X330)))</f>
        <v/>
      </c>
      <c r="L330">
        <f>IF($X330="","",IF(INDEX('Per Invoice'!L$2:L$401,$X330)="","",INDEX('Per Invoice'!L$2:L$401,$X330)))</f>
        <v/>
      </c>
      <c r="M330" s="7">
        <f>IF($X330="","",IF(INDEX('Per Invoice'!M$2:M$401,$X330)="","",INDEX('Per Invoice'!M$2:M$401,$X330)))</f>
        <v/>
      </c>
      <c r="N330">
        <f>IF($X330="","",IF(INDEX('Per Invoice'!N$2:N$401,$X330)="","",INDEX('Per Invoice'!N$2:N$401,$X330)))</f>
        <v/>
      </c>
      <c r="O330" s="7">
        <f>IF($X330="","",IF(INDEX('Per Invoice'!O$2:O$401,$X330)="","",INDEX('Per Invoice'!O$2:O$401,$X330)))</f>
        <v/>
      </c>
      <c r="P330" s="7">
        <f>IF($X330="","",IF(INDEX('Per Invoice'!P$2:P$401,$X330)="","",INDEX('Per Invoice'!P$2:P$401,$X330)))</f>
        <v/>
      </c>
      <c r="Q330">
        <f>IF($X330="","",IF(INDEX('Per Invoice'!Q$2:Q$401,$X330)="","",INDEX('Per Invoice'!Q$2:Q$401,$X330)))</f>
        <v/>
      </c>
      <c r="R330" s="7">
        <f>IF($X330="","",IF(INDEX('Per Invoice'!R$2:R$401,$X330)="","",INDEX('Per Invoice'!R$2:R$401,$X330)))</f>
        <v/>
      </c>
      <c r="S330" s="7">
        <f>IF($X330="","",IF(INDEX('Per Invoice'!S$2:S$401,$X330)="","",INDEX('Per Invoice'!S$2:S$401,$X330)))</f>
        <v/>
      </c>
      <c r="T330" s="7">
        <f>IF($X330="","",IF(INDEX('Per Invoice'!T$2:T$401,$X330)="","",INDEX('Per Invoice'!T$2:T$401,$X330)))</f>
        <v/>
      </c>
      <c r="U330" s="7">
        <f>IF($X330="","",IF(INDEX('Per Invoice'!U$2:U$401,$X330)="","",INDEX('Per Invoice'!U$2:U$401,$X330)))</f>
        <v/>
      </c>
      <c r="V330" s="7">
        <f>IF($X330="","",IF(INDEX('Per Invoice'!V$2:V$401,$X330)="","",INDEX('Per Invoice'!V$2:V$401,$X330)))</f>
        <v/>
      </c>
      <c r="W330" s="7">
        <f>IF($X330="","",IF(INDEX('Per Invoice'!W$2:W$401,$X330)="","",INDEX('Per Invoice'!W$2:W$401,$X330)))</f>
        <v/>
      </c>
      <c r="X330" s="16">
        <f>IFERROR(MATCH(Settings!$C$33&amp;"|"&amp;ROWS($X$2:$X330),'Per Invoice'!$Y$2:$Y$401,0),"")</f>
        <v/>
      </c>
    </row>
    <row r="331">
      <c r="A331">
        <f>IF($X331="","",IF(INDEX('Per Invoice'!A$2:A$401,$X331)="","",INDEX('Per Invoice'!A$2:A$401,$X331)))</f>
        <v/>
      </c>
      <c r="B331">
        <f>IF($X331="","",IF(INDEX('Per Invoice'!B$2:B$401,$X331)="","",INDEX('Per Invoice'!B$2:B$401,$X331)))</f>
        <v/>
      </c>
      <c r="C331">
        <f>IF($X331="","",IF(INDEX('Per Invoice'!C$2:C$401,$X331)="","",INDEX('Per Invoice'!C$2:C$401,$X331)))</f>
        <v/>
      </c>
      <c r="D331">
        <f>IF($X331="","",IF(INDEX('Per Invoice'!D$2:D$401,$X331)="","",INDEX('Per Invoice'!D$2:D$401,$X331)))</f>
        <v/>
      </c>
      <c r="E331">
        <f>IF($X331="","",IF(INDEX('Per Invoice'!E$2:E$401,$X331)="","",INDEX('Per Invoice'!E$2:E$401,$X331)))</f>
        <v/>
      </c>
      <c r="F331">
        <f>IF($X331="","",IF(INDEX('Per Invoice'!F$2:F$401,$X331)="","",INDEX('Per Invoice'!F$2:F$401,$X331)))</f>
        <v/>
      </c>
      <c r="G331">
        <f>IF($X331="","",IF(INDEX('Per Invoice'!G$2:G$401,$X331)="","",INDEX('Per Invoice'!G$2:G$401,$X331)))</f>
        <v/>
      </c>
      <c r="H331">
        <f>IF($X331="","",IF(INDEX('Per Invoice'!H$2:H$401,$X331)="","",INDEX('Per Invoice'!H$2:H$401,$X331)))</f>
        <v/>
      </c>
      <c r="I331">
        <f>IF($X331="","",IF(INDEX('Per Invoice'!I$2:I$401,$X331)="","",INDEX('Per Invoice'!I$2:I$401,$X331)))</f>
        <v/>
      </c>
      <c r="J331">
        <f>IF($X331="","",IF(INDEX('Per Invoice'!J$2:J$401,$X331)="","",INDEX('Per Invoice'!J$2:J$401,$X331)))</f>
        <v/>
      </c>
      <c r="K331" s="14">
        <f>IF($X331="","",IF(INDEX('Per Invoice'!K$2:K$401,$X331)="","",INDEX('Per Invoice'!K$2:K$401,$X331)))</f>
        <v/>
      </c>
      <c r="L331">
        <f>IF($X331="","",IF(INDEX('Per Invoice'!L$2:L$401,$X331)="","",INDEX('Per Invoice'!L$2:L$401,$X331)))</f>
        <v/>
      </c>
      <c r="M331" s="7">
        <f>IF($X331="","",IF(INDEX('Per Invoice'!M$2:M$401,$X331)="","",INDEX('Per Invoice'!M$2:M$401,$X331)))</f>
        <v/>
      </c>
      <c r="N331">
        <f>IF($X331="","",IF(INDEX('Per Invoice'!N$2:N$401,$X331)="","",INDEX('Per Invoice'!N$2:N$401,$X331)))</f>
        <v/>
      </c>
      <c r="O331" s="7">
        <f>IF($X331="","",IF(INDEX('Per Invoice'!O$2:O$401,$X331)="","",INDEX('Per Invoice'!O$2:O$401,$X331)))</f>
        <v/>
      </c>
      <c r="P331" s="7">
        <f>IF($X331="","",IF(INDEX('Per Invoice'!P$2:P$401,$X331)="","",INDEX('Per Invoice'!P$2:P$401,$X331)))</f>
        <v/>
      </c>
      <c r="Q331">
        <f>IF($X331="","",IF(INDEX('Per Invoice'!Q$2:Q$401,$X331)="","",INDEX('Per Invoice'!Q$2:Q$401,$X331)))</f>
        <v/>
      </c>
      <c r="R331" s="7">
        <f>IF($X331="","",IF(INDEX('Per Invoice'!R$2:R$401,$X331)="","",INDEX('Per Invoice'!R$2:R$401,$X331)))</f>
        <v/>
      </c>
      <c r="S331" s="7">
        <f>IF($X331="","",IF(INDEX('Per Invoice'!S$2:S$401,$X331)="","",INDEX('Per Invoice'!S$2:S$401,$X331)))</f>
        <v/>
      </c>
      <c r="T331" s="7">
        <f>IF($X331="","",IF(INDEX('Per Invoice'!T$2:T$401,$X331)="","",INDEX('Per Invoice'!T$2:T$401,$X331)))</f>
        <v/>
      </c>
      <c r="U331" s="7">
        <f>IF($X331="","",IF(INDEX('Per Invoice'!U$2:U$401,$X331)="","",INDEX('Per Invoice'!U$2:U$401,$X331)))</f>
        <v/>
      </c>
      <c r="V331" s="7">
        <f>IF($X331="","",IF(INDEX('Per Invoice'!V$2:V$401,$X331)="","",INDEX('Per Invoice'!V$2:V$401,$X331)))</f>
        <v/>
      </c>
      <c r="W331" s="7">
        <f>IF($X331="","",IF(INDEX('Per Invoice'!W$2:W$401,$X331)="","",INDEX('Per Invoice'!W$2:W$401,$X331)))</f>
        <v/>
      </c>
      <c r="X331" s="16">
        <f>IFERROR(MATCH(Settings!$C$33&amp;"|"&amp;ROWS($X$2:$X331),'Per Invoice'!$Y$2:$Y$401,0),"")</f>
        <v/>
      </c>
    </row>
    <row r="332">
      <c r="A332">
        <f>IF($X332="","",IF(INDEX('Per Invoice'!A$2:A$401,$X332)="","",INDEX('Per Invoice'!A$2:A$401,$X332)))</f>
        <v/>
      </c>
      <c r="B332">
        <f>IF($X332="","",IF(INDEX('Per Invoice'!B$2:B$401,$X332)="","",INDEX('Per Invoice'!B$2:B$401,$X332)))</f>
        <v/>
      </c>
      <c r="C332">
        <f>IF($X332="","",IF(INDEX('Per Invoice'!C$2:C$401,$X332)="","",INDEX('Per Invoice'!C$2:C$401,$X332)))</f>
        <v/>
      </c>
      <c r="D332">
        <f>IF($X332="","",IF(INDEX('Per Invoice'!D$2:D$401,$X332)="","",INDEX('Per Invoice'!D$2:D$401,$X332)))</f>
        <v/>
      </c>
      <c r="E332">
        <f>IF($X332="","",IF(INDEX('Per Invoice'!E$2:E$401,$X332)="","",INDEX('Per Invoice'!E$2:E$401,$X332)))</f>
        <v/>
      </c>
      <c r="F332">
        <f>IF($X332="","",IF(INDEX('Per Invoice'!F$2:F$401,$X332)="","",INDEX('Per Invoice'!F$2:F$401,$X332)))</f>
        <v/>
      </c>
      <c r="G332">
        <f>IF($X332="","",IF(INDEX('Per Invoice'!G$2:G$401,$X332)="","",INDEX('Per Invoice'!G$2:G$401,$X332)))</f>
        <v/>
      </c>
      <c r="H332">
        <f>IF($X332="","",IF(INDEX('Per Invoice'!H$2:H$401,$X332)="","",INDEX('Per Invoice'!H$2:H$401,$X332)))</f>
        <v/>
      </c>
      <c r="I332">
        <f>IF($X332="","",IF(INDEX('Per Invoice'!I$2:I$401,$X332)="","",INDEX('Per Invoice'!I$2:I$401,$X332)))</f>
        <v/>
      </c>
      <c r="J332">
        <f>IF($X332="","",IF(INDEX('Per Invoice'!J$2:J$401,$X332)="","",INDEX('Per Invoice'!J$2:J$401,$X332)))</f>
        <v/>
      </c>
      <c r="K332" s="14">
        <f>IF($X332="","",IF(INDEX('Per Invoice'!K$2:K$401,$X332)="","",INDEX('Per Invoice'!K$2:K$401,$X332)))</f>
        <v/>
      </c>
      <c r="L332">
        <f>IF($X332="","",IF(INDEX('Per Invoice'!L$2:L$401,$X332)="","",INDEX('Per Invoice'!L$2:L$401,$X332)))</f>
        <v/>
      </c>
      <c r="M332" s="7">
        <f>IF($X332="","",IF(INDEX('Per Invoice'!M$2:M$401,$X332)="","",INDEX('Per Invoice'!M$2:M$401,$X332)))</f>
        <v/>
      </c>
      <c r="N332">
        <f>IF($X332="","",IF(INDEX('Per Invoice'!N$2:N$401,$X332)="","",INDEX('Per Invoice'!N$2:N$401,$X332)))</f>
        <v/>
      </c>
      <c r="O332" s="7">
        <f>IF($X332="","",IF(INDEX('Per Invoice'!O$2:O$401,$X332)="","",INDEX('Per Invoice'!O$2:O$401,$X332)))</f>
        <v/>
      </c>
      <c r="P332" s="7">
        <f>IF($X332="","",IF(INDEX('Per Invoice'!P$2:P$401,$X332)="","",INDEX('Per Invoice'!P$2:P$401,$X332)))</f>
        <v/>
      </c>
      <c r="Q332">
        <f>IF($X332="","",IF(INDEX('Per Invoice'!Q$2:Q$401,$X332)="","",INDEX('Per Invoice'!Q$2:Q$401,$X332)))</f>
        <v/>
      </c>
      <c r="R332" s="7">
        <f>IF($X332="","",IF(INDEX('Per Invoice'!R$2:R$401,$X332)="","",INDEX('Per Invoice'!R$2:R$401,$X332)))</f>
        <v/>
      </c>
      <c r="S332" s="7">
        <f>IF($X332="","",IF(INDEX('Per Invoice'!S$2:S$401,$X332)="","",INDEX('Per Invoice'!S$2:S$401,$X332)))</f>
        <v/>
      </c>
      <c r="T332" s="7">
        <f>IF($X332="","",IF(INDEX('Per Invoice'!T$2:T$401,$X332)="","",INDEX('Per Invoice'!T$2:T$401,$X332)))</f>
        <v/>
      </c>
      <c r="U332" s="7">
        <f>IF($X332="","",IF(INDEX('Per Invoice'!U$2:U$401,$X332)="","",INDEX('Per Invoice'!U$2:U$401,$X332)))</f>
        <v/>
      </c>
      <c r="V332" s="7">
        <f>IF($X332="","",IF(INDEX('Per Invoice'!V$2:V$401,$X332)="","",INDEX('Per Invoice'!V$2:V$401,$X332)))</f>
        <v/>
      </c>
      <c r="W332" s="7">
        <f>IF($X332="","",IF(INDEX('Per Invoice'!W$2:W$401,$X332)="","",INDEX('Per Invoice'!W$2:W$401,$X332)))</f>
        <v/>
      </c>
      <c r="X332" s="16">
        <f>IFERROR(MATCH(Settings!$C$33&amp;"|"&amp;ROWS($X$2:$X332),'Per Invoice'!$Y$2:$Y$401,0),"")</f>
        <v/>
      </c>
    </row>
    <row r="333">
      <c r="A333">
        <f>IF($X333="","",IF(INDEX('Per Invoice'!A$2:A$401,$X333)="","",INDEX('Per Invoice'!A$2:A$401,$X333)))</f>
        <v/>
      </c>
      <c r="B333">
        <f>IF($X333="","",IF(INDEX('Per Invoice'!B$2:B$401,$X333)="","",INDEX('Per Invoice'!B$2:B$401,$X333)))</f>
        <v/>
      </c>
      <c r="C333">
        <f>IF($X333="","",IF(INDEX('Per Invoice'!C$2:C$401,$X333)="","",INDEX('Per Invoice'!C$2:C$401,$X333)))</f>
        <v/>
      </c>
      <c r="D333">
        <f>IF($X333="","",IF(INDEX('Per Invoice'!D$2:D$401,$X333)="","",INDEX('Per Invoice'!D$2:D$401,$X333)))</f>
        <v/>
      </c>
      <c r="E333">
        <f>IF($X333="","",IF(INDEX('Per Invoice'!E$2:E$401,$X333)="","",INDEX('Per Invoice'!E$2:E$401,$X333)))</f>
        <v/>
      </c>
      <c r="F333">
        <f>IF($X333="","",IF(INDEX('Per Invoice'!F$2:F$401,$X333)="","",INDEX('Per Invoice'!F$2:F$401,$X333)))</f>
        <v/>
      </c>
      <c r="G333">
        <f>IF($X333="","",IF(INDEX('Per Invoice'!G$2:G$401,$X333)="","",INDEX('Per Invoice'!G$2:G$401,$X333)))</f>
        <v/>
      </c>
      <c r="H333">
        <f>IF($X333="","",IF(INDEX('Per Invoice'!H$2:H$401,$X333)="","",INDEX('Per Invoice'!H$2:H$401,$X333)))</f>
        <v/>
      </c>
      <c r="I333">
        <f>IF($X333="","",IF(INDEX('Per Invoice'!I$2:I$401,$X333)="","",INDEX('Per Invoice'!I$2:I$401,$X333)))</f>
        <v/>
      </c>
      <c r="J333">
        <f>IF($X333="","",IF(INDEX('Per Invoice'!J$2:J$401,$X333)="","",INDEX('Per Invoice'!J$2:J$401,$X333)))</f>
        <v/>
      </c>
      <c r="K333" s="14">
        <f>IF($X333="","",IF(INDEX('Per Invoice'!K$2:K$401,$X333)="","",INDEX('Per Invoice'!K$2:K$401,$X333)))</f>
        <v/>
      </c>
      <c r="L333">
        <f>IF($X333="","",IF(INDEX('Per Invoice'!L$2:L$401,$X333)="","",INDEX('Per Invoice'!L$2:L$401,$X333)))</f>
        <v/>
      </c>
      <c r="M333" s="7">
        <f>IF($X333="","",IF(INDEX('Per Invoice'!M$2:M$401,$X333)="","",INDEX('Per Invoice'!M$2:M$401,$X333)))</f>
        <v/>
      </c>
      <c r="N333">
        <f>IF($X333="","",IF(INDEX('Per Invoice'!N$2:N$401,$X333)="","",INDEX('Per Invoice'!N$2:N$401,$X333)))</f>
        <v/>
      </c>
      <c r="O333" s="7">
        <f>IF($X333="","",IF(INDEX('Per Invoice'!O$2:O$401,$X333)="","",INDEX('Per Invoice'!O$2:O$401,$X333)))</f>
        <v/>
      </c>
      <c r="P333" s="7">
        <f>IF($X333="","",IF(INDEX('Per Invoice'!P$2:P$401,$X333)="","",INDEX('Per Invoice'!P$2:P$401,$X333)))</f>
        <v/>
      </c>
      <c r="Q333">
        <f>IF($X333="","",IF(INDEX('Per Invoice'!Q$2:Q$401,$X333)="","",INDEX('Per Invoice'!Q$2:Q$401,$X333)))</f>
        <v/>
      </c>
      <c r="R333" s="7">
        <f>IF($X333="","",IF(INDEX('Per Invoice'!R$2:R$401,$X333)="","",INDEX('Per Invoice'!R$2:R$401,$X333)))</f>
        <v/>
      </c>
      <c r="S333" s="7">
        <f>IF($X333="","",IF(INDEX('Per Invoice'!S$2:S$401,$X333)="","",INDEX('Per Invoice'!S$2:S$401,$X333)))</f>
        <v/>
      </c>
      <c r="T333" s="7">
        <f>IF($X333="","",IF(INDEX('Per Invoice'!T$2:T$401,$X333)="","",INDEX('Per Invoice'!T$2:T$401,$X333)))</f>
        <v/>
      </c>
      <c r="U333" s="7">
        <f>IF($X333="","",IF(INDEX('Per Invoice'!U$2:U$401,$X333)="","",INDEX('Per Invoice'!U$2:U$401,$X333)))</f>
        <v/>
      </c>
      <c r="V333" s="7">
        <f>IF($X333="","",IF(INDEX('Per Invoice'!V$2:V$401,$X333)="","",INDEX('Per Invoice'!V$2:V$401,$X333)))</f>
        <v/>
      </c>
      <c r="W333" s="7">
        <f>IF($X333="","",IF(INDEX('Per Invoice'!W$2:W$401,$X333)="","",INDEX('Per Invoice'!W$2:W$401,$X333)))</f>
        <v/>
      </c>
      <c r="X333" s="16">
        <f>IFERROR(MATCH(Settings!$C$33&amp;"|"&amp;ROWS($X$2:$X333),'Per Invoice'!$Y$2:$Y$401,0),"")</f>
        <v/>
      </c>
    </row>
    <row r="334">
      <c r="A334">
        <f>IF($X334="","",IF(INDEX('Per Invoice'!A$2:A$401,$X334)="","",INDEX('Per Invoice'!A$2:A$401,$X334)))</f>
        <v/>
      </c>
      <c r="B334">
        <f>IF($X334="","",IF(INDEX('Per Invoice'!B$2:B$401,$X334)="","",INDEX('Per Invoice'!B$2:B$401,$X334)))</f>
        <v/>
      </c>
      <c r="C334">
        <f>IF($X334="","",IF(INDEX('Per Invoice'!C$2:C$401,$X334)="","",INDEX('Per Invoice'!C$2:C$401,$X334)))</f>
        <v/>
      </c>
      <c r="D334">
        <f>IF($X334="","",IF(INDEX('Per Invoice'!D$2:D$401,$X334)="","",INDEX('Per Invoice'!D$2:D$401,$X334)))</f>
        <v/>
      </c>
      <c r="E334">
        <f>IF($X334="","",IF(INDEX('Per Invoice'!E$2:E$401,$X334)="","",INDEX('Per Invoice'!E$2:E$401,$X334)))</f>
        <v/>
      </c>
      <c r="F334">
        <f>IF($X334="","",IF(INDEX('Per Invoice'!F$2:F$401,$X334)="","",INDEX('Per Invoice'!F$2:F$401,$X334)))</f>
        <v/>
      </c>
      <c r="G334">
        <f>IF($X334="","",IF(INDEX('Per Invoice'!G$2:G$401,$X334)="","",INDEX('Per Invoice'!G$2:G$401,$X334)))</f>
        <v/>
      </c>
      <c r="H334">
        <f>IF($X334="","",IF(INDEX('Per Invoice'!H$2:H$401,$X334)="","",INDEX('Per Invoice'!H$2:H$401,$X334)))</f>
        <v/>
      </c>
      <c r="I334">
        <f>IF($X334="","",IF(INDEX('Per Invoice'!I$2:I$401,$X334)="","",INDEX('Per Invoice'!I$2:I$401,$X334)))</f>
        <v/>
      </c>
      <c r="J334">
        <f>IF($X334="","",IF(INDEX('Per Invoice'!J$2:J$401,$X334)="","",INDEX('Per Invoice'!J$2:J$401,$X334)))</f>
        <v/>
      </c>
      <c r="K334" s="14">
        <f>IF($X334="","",IF(INDEX('Per Invoice'!K$2:K$401,$X334)="","",INDEX('Per Invoice'!K$2:K$401,$X334)))</f>
        <v/>
      </c>
      <c r="L334">
        <f>IF($X334="","",IF(INDEX('Per Invoice'!L$2:L$401,$X334)="","",INDEX('Per Invoice'!L$2:L$401,$X334)))</f>
        <v/>
      </c>
      <c r="M334" s="7">
        <f>IF($X334="","",IF(INDEX('Per Invoice'!M$2:M$401,$X334)="","",INDEX('Per Invoice'!M$2:M$401,$X334)))</f>
        <v/>
      </c>
      <c r="N334">
        <f>IF($X334="","",IF(INDEX('Per Invoice'!N$2:N$401,$X334)="","",INDEX('Per Invoice'!N$2:N$401,$X334)))</f>
        <v/>
      </c>
      <c r="O334" s="7">
        <f>IF($X334="","",IF(INDEX('Per Invoice'!O$2:O$401,$X334)="","",INDEX('Per Invoice'!O$2:O$401,$X334)))</f>
        <v/>
      </c>
      <c r="P334" s="7">
        <f>IF($X334="","",IF(INDEX('Per Invoice'!P$2:P$401,$X334)="","",INDEX('Per Invoice'!P$2:P$401,$X334)))</f>
        <v/>
      </c>
      <c r="Q334">
        <f>IF($X334="","",IF(INDEX('Per Invoice'!Q$2:Q$401,$X334)="","",INDEX('Per Invoice'!Q$2:Q$401,$X334)))</f>
        <v/>
      </c>
      <c r="R334" s="7">
        <f>IF($X334="","",IF(INDEX('Per Invoice'!R$2:R$401,$X334)="","",INDEX('Per Invoice'!R$2:R$401,$X334)))</f>
        <v/>
      </c>
      <c r="S334" s="7">
        <f>IF($X334="","",IF(INDEX('Per Invoice'!S$2:S$401,$X334)="","",INDEX('Per Invoice'!S$2:S$401,$X334)))</f>
        <v/>
      </c>
      <c r="T334" s="7">
        <f>IF($X334="","",IF(INDEX('Per Invoice'!T$2:T$401,$X334)="","",INDEX('Per Invoice'!T$2:T$401,$X334)))</f>
        <v/>
      </c>
      <c r="U334" s="7">
        <f>IF($X334="","",IF(INDEX('Per Invoice'!U$2:U$401,$X334)="","",INDEX('Per Invoice'!U$2:U$401,$X334)))</f>
        <v/>
      </c>
      <c r="V334" s="7">
        <f>IF($X334="","",IF(INDEX('Per Invoice'!V$2:V$401,$X334)="","",INDEX('Per Invoice'!V$2:V$401,$X334)))</f>
        <v/>
      </c>
      <c r="W334" s="7">
        <f>IF($X334="","",IF(INDEX('Per Invoice'!W$2:W$401,$X334)="","",INDEX('Per Invoice'!W$2:W$401,$X334)))</f>
        <v/>
      </c>
      <c r="X334" s="16">
        <f>IFERROR(MATCH(Settings!$C$33&amp;"|"&amp;ROWS($X$2:$X334),'Per Invoice'!$Y$2:$Y$401,0),"")</f>
        <v/>
      </c>
    </row>
    <row r="335">
      <c r="A335">
        <f>IF($X335="","",IF(INDEX('Per Invoice'!A$2:A$401,$X335)="","",INDEX('Per Invoice'!A$2:A$401,$X335)))</f>
        <v/>
      </c>
      <c r="B335">
        <f>IF($X335="","",IF(INDEX('Per Invoice'!B$2:B$401,$X335)="","",INDEX('Per Invoice'!B$2:B$401,$X335)))</f>
        <v/>
      </c>
      <c r="C335">
        <f>IF($X335="","",IF(INDEX('Per Invoice'!C$2:C$401,$X335)="","",INDEX('Per Invoice'!C$2:C$401,$X335)))</f>
        <v/>
      </c>
      <c r="D335">
        <f>IF($X335="","",IF(INDEX('Per Invoice'!D$2:D$401,$X335)="","",INDEX('Per Invoice'!D$2:D$401,$X335)))</f>
        <v/>
      </c>
      <c r="E335">
        <f>IF($X335="","",IF(INDEX('Per Invoice'!E$2:E$401,$X335)="","",INDEX('Per Invoice'!E$2:E$401,$X335)))</f>
        <v/>
      </c>
      <c r="F335">
        <f>IF($X335="","",IF(INDEX('Per Invoice'!F$2:F$401,$X335)="","",INDEX('Per Invoice'!F$2:F$401,$X335)))</f>
        <v/>
      </c>
      <c r="G335">
        <f>IF($X335="","",IF(INDEX('Per Invoice'!G$2:G$401,$X335)="","",INDEX('Per Invoice'!G$2:G$401,$X335)))</f>
        <v/>
      </c>
      <c r="H335">
        <f>IF($X335="","",IF(INDEX('Per Invoice'!H$2:H$401,$X335)="","",INDEX('Per Invoice'!H$2:H$401,$X335)))</f>
        <v/>
      </c>
      <c r="I335">
        <f>IF($X335="","",IF(INDEX('Per Invoice'!I$2:I$401,$X335)="","",INDEX('Per Invoice'!I$2:I$401,$X335)))</f>
        <v/>
      </c>
      <c r="J335">
        <f>IF($X335="","",IF(INDEX('Per Invoice'!J$2:J$401,$X335)="","",INDEX('Per Invoice'!J$2:J$401,$X335)))</f>
        <v/>
      </c>
      <c r="K335" s="14">
        <f>IF($X335="","",IF(INDEX('Per Invoice'!K$2:K$401,$X335)="","",INDEX('Per Invoice'!K$2:K$401,$X335)))</f>
        <v/>
      </c>
      <c r="L335">
        <f>IF($X335="","",IF(INDEX('Per Invoice'!L$2:L$401,$X335)="","",INDEX('Per Invoice'!L$2:L$401,$X335)))</f>
        <v/>
      </c>
      <c r="M335" s="7">
        <f>IF($X335="","",IF(INDEX('Per Invoice'!M$2:M$401,$X335)="","",INDEX('Per Invoice'!M$2:M$401,$X335)))</f>
        <v/>
      </c>
      <c r="N335">
        <f>IF($X335="","",IF(INDEX('Per Invoice'!N$2:N$401,$X335)="","",INDEX('Per Invoice'!N$2:N$401,$X335)))</f>
        <v/>
      </c>
      <c r="O335" s="7">
        <f>IF($X335="","",IF(INDEX('Per Invoice'!O$2:O$401,$X335)="","",INDEX('Per Invoice'!O$2:O$401,$X335)))</f>
        <v/>
      </c>
      <c r="P335" s="7">
        <f>IF($X335="","",IF(INDEX('Per Invoice'!P$2:P$401,$X335)="","",INDEX('Per Invoice'!P$2:P$401,$X335)))</f>
        <v/>
      </c>
      <c r="Q335">
        <f>IF($X335="","",IF(INDEX('Per Invoice'!Q$2:Q$401,$X335)="","",INDEX('Per Invoice'!Q$2:Q$401,$X335)))</f>
        <v/>
      </c>
      <c r="R335" s="7">
        <f>IF($X335="","",IF(INDEX('Per Invoice'!R$2:R$401,$X335)="","",INDEX('Per Invoice'!R$2:R$401,$X335)))</f>
        <v/>
      </c>
      <c r="S335" s="7">
        <f>IF($X335="","",IF(INDEX('Per Invoice'!S$2:S$401,$X335)="","",INDEX('Per Invoice'!S$2:S$401,$X335)))</f>
        <v/>
      </c>
      <c r="T335" s="7">
        <f>IF($X335="","",IF(INDEX('Per Invoice'!T$2:T$401,$X335)="","",INDEX('Per Invoice'!T$2:T$401,$X335)))</f>
        <v/>
      </c>
      <c r="U335" s="7">
        <f>IF($X335="","",IF(INDEX('Per Invoice'!U$2:U$401,$X335)="","",INDEX('Per Invoice'!U$2:U$401,$X335)))</f>
        <v/>
      </c>
      <c r="V335" s="7">
        <f>IF($X335="","",IF(INDEX('Per Invoice'!V$2:V$401,$X335)="","",INDEX('Per Invoice'!V$2:V$401,$X335)))</f>
        <v/>
      </c>
      <c r="W335" s="7">
        <f>IF($X335="","",IF(INDEX('Per Invoice'!W$2:W$401,$X335)="","",INDEX('Per Invoice'!W$2:W$401,$X335)))</f>
        <v/>
      </c>
      <c r="X335" s="16">
        <f>IFERROR(MATCH(Settings!$C$33&amp;"|"&amp;ROWS($X$2:$X335),'Per Invoice'!$Y$2:$Y$401,0),"")</f>
        <v/>
      </c>
    </row>
    <row r="336">
      <c r="A336">
        <f>IF($X336="","",IF(INDEX('Per Invoice'!A$2:A$401,$X336)="","",INDEX('Per Invoice'!A$2:A$401,$X336)))</f>
        <v/>
      </c>
      <c r="B336">
        <f>IF($X336="","",IF(INDEX('Per Invoice'!B$2:B$401,$X336)="","",INDEX('Per Invoice'!B$2:B$401,$X336)))</f>
        <v/>
      </c>
      <c r="C336">
        <f>IF($X336="","",IF(INDEX('Per Invoice'!C$2:C$401,$X336)="","",INDEX('Per Invoice'!C$2:C$401,$X336)))</f>
        <v/>
      </c>
      <c r="D336">
        <f>IF($X336="","",IF(INDEX('Per Invoice'!D$2:D$401,$X336)="","",INDEX('Per Invoice'!D$2:D$401,$X336)))</f>
        <v/>
      </c>
      <c r="E336">
        <f>IF($X336="","",IF(INDEX('Per Invoice'!E$2:E$401,$X336)="","",INDEX('Per Invoice'!E$2:E$401,$X336)))</f>
        <v/>
      </c>
      <c r="F336">
        <f>IF($X336="","",IF(INDEX('Per Invoice'!F$2:F$401,$X336)="","",INDEX('Per Invoice'!F$2:F$401,$X336)))</f>
        <v/>
      </c>
      <c r="G336">
        <f>IF($X336="","",IF(INDEX('Per Invoice'!G$2:G$401,$X336)="","",INDEX('Per Invoice'!G$2:G$401,$X336)))</f>
        <v/>
      </c>
      <c r="H336">
        <f>IF($X336="","",IF(INDEX('Per Invoice'!H$2:H$401,$X336)="","",INDEX('Per Invoice'!H$2:H$401,$X336)))</f>
        <v/>
      </c>
      <c r="I336">
        <f>IF($X336="","",IF(INDEX('Per Invoice'!I$2:I$401,$X336)="","",INDEX('Per Invoice'!I$2:I$401,$X336)))</f>
        <v/>
      </c>
      <c r="J336">
        <f>IF($X336="","",IF(INDEX('Per Invoice'!J$2:J$401,$X336)="","",INDEX('Per Invoice'!J$2:J$401,$X336)))</f>
        <v/>
      </c>
      <c r="K336" s="14">
        <f>IF($X336="","",IF(INDEX('Per Invoice'!K$2:K$401,$X336)="","",INDEX('Per Invoice'!K$2:K$401,$X336)))</f>
        <v/>
      </c>
      <c r="L336">
        <f>IF($X336="","",IF(INDEX('Per Invoice'!L$2:L$401,$X336)="","",INDEX('Per Invoice'!L$2:L$401,$X336)))</f>
        <v/>
      </c>
      <c r="M336" s="7">
        <f>IF($X336="","",IF(INDEX('Per Invoice'!M$2:M$401,$X336)="","",INDEX('Per Invoice'!M$2:M$401,$X336)))</f>
        <v/>
      </c>
      <c r="N336">
        <f>IF($X336="","",IF(INDEX('Per Invoice'!N$2:N$401,$X336)="","",INDEX('Per Invoice'!N$2:N$401,$X336)))</f>
        <v/>
      </c>
      <c r="O336" s="7">
        <f>IF($X336="","",IF(INDEX('Per Invoice'!O$2:O$401,$X336)="","",INDEX('Per Invoice'!O$2:O$401,$X336)))</f>
        <v/>
      </c>
      <c r="P336" s="7">
        <f>IF($X336="","",IF(INDEX('Per Invoice'!P$2:P$401,$X336)="","",INDEX('Per Invoice'!P$2:P$401,$X336)))</f>
        <v/>
      </c>
      <c r="Q336">
        <f>IF($X336="","",IF(INDEX('Per Invoice'!Q$2:Q$401,$X336)="","",INDEX('Per Invoice'!Q$2:Q$401,$X336)))</f>
        <v/>
      </c>
      <c r="R336" s="7">
        <f>IF($X336="","",IF(INDEX('Per Invoice'!R$2:R$401,$X336)="","",INDEX('Per Invoice'!R$2:R$401,$X336)))</f>
        <v/>
      </c>
      <c r="S336" s="7">
        <f>IF($X336="","",IF(INDEX('Per Invoice'!S$2:S$401,$X336)="","",INDEX('Per Invoice'!S$2:S$401,$X336)))</f>
        <v/>
      </c>
      <c r="T336" s="7">
        <f>IF($X336="","",IF(INDEX('Per Invoice'!T$2:T$401,$X336)="","",INDEX('Per Invoice'!T$2:T$401,$X336)))</f>
        <v/>
      </c>
      <c r="U336" s="7">
        <f>IF($X336="","",IF(INDEX('Per Invoice'!U$2:U$401,$X336)="","",INDEX('Per Invoice'!U$2:U$401,$X336)))</f>
        <v/>
      </c>
      <c r="V336" s="7">
        <f>IF($X336="","",IF(INDEX('Per Invoice'!V$2:V$401,$X336)="","",INDEX('Per Invoice'!V$2:V$401,$X336)))</f>
        <v/>
      </c>
      <c r="W336" s="7">
        <f>IF($X336="","",IF(INDEX('Per Invoice'!W$2:W$401,$X336)="","",INDEX('Per Invoice'!W$2:W$401,$X336)))</f>
        <v/>
      </c>
      <c r="X336" s="16">
        <f>IFERROR(MATCH(Settings!$C$33&amp;"|"&amp;ROWS($X$2:$X336),'Per Invoice'!$Y$2:$Y$401,0),"")</f>
        <v/>
      </c>
    </row>
    <row r="337">
      <c r="A337">
        <f>IF($X337="","",IF(INDEX('Per Invoice'!A$2:A$401,$X337)="","",INDEX('Per Invoice'!A$2:A$401,$X337)))</f>
        <v/>
      </c>
      <c r="B337">
        <f>IF($X337="","",IF(INDEX('Per Invoice'!B$2:B$401,$X337)="","",INDEX('Per Invoice'!B$2:B$401,$X337)))</f>
        <v/>
      </c>
      <c r="C337">
        <f>IF($X337="","",IF(INDEX('Per Invoice'!C$2:C$401,$X337)="","",INDEX('Per Invoice'!C$2:C$401,$X337)))</f>
        <v/>
      </c>
      <c r="D337">
        <f>IF($X337="","",IF(INDEX('Per Invoice'!D$2:D$401,$X337)="","",INDEX('Per Invoice'!D$2:D$401,$X337)))</f>
        <v/>
      </c>
      <c r="E337">
        <f>IF($X337="","",IF(INDEX('Per Invoice'!E$2:E$401,$X337)="","",INDEX('Per Invoice'!E$2:E$401,$X337)))</f>
        <v/>
      </c>
      <c r="F337">
        <f>IF($X337="","",IF(INDEX('Per Invoice'!F$2:F$401,$X337)="","",INDEX('Per Invoice'!F$2:F$401,$X337)))</f>
        <v/>
      </c>
      <c r="G337">
        <f>IF($X337="","",IF(INDEX('Per Invoice'!G$2:G$401,$X337)="","",INDEX('Per Invoice'!G$2:G$401,$X337)))</f>
        <v/>
      </c>
      <c r="H337">
        <f>IF($X337="","",IF(INDEX('Per Invoice'!H$2:H$401,$X337)="","",INDEX('Per Invoice'!H$2:H$401,$X337)))</f>
        <v/>
      </c>
      <c r="I337">
        <f>IF($X337="","",IF(INDEX('Per Invoice'!I$2:I$401,$X337)="","",INDEX('Per Invoice'!I$2:I$401,$X337)))</f>
        <v/>
      </c>
      <c r="J337">
        <f>IF($X337="","",IF(INDEX('Per Invoice'!J$2:J$401,$X337)="","",INDEX('Per Invoice'!J$2:J$401,$X337)))</f>
        <v/>
      </c>
      <c r="K337" s="14">
        <f>IF($X337="","",IF(INDEX('Per Invoice'!K$2:K$401,$X337)="","",INDEX('Per Invoice'!K$2:K$401,$X337)))</f>
        <v/>
      </c>
      <c r="L337">
        <f>IF($X337="","",IF(INDEX('Per Invoice'!L$2:L$401,$X337)="","",INDEX('Per Invoice'!L$2:L$401,$X337)))</f>
        <v/>
      </c>
      <c r="M337" s="7">
        <f>IF($X337="","",IF(INDEX('Per Invoice'!M$2:M$401,$X337)="","",INDEX('Per Invoice'!M$2:M$401,$X337)))</f>
        <v/>
      </c>
      <c r="N337">
        <f>IF($X337="","",IF(INDEX('Per Invoice'!N$2:N$401,$X337)="","",INDEX('Per Invoice'!N$2:N$401,$X337)))</f>
        <v/>
      </c>
      <c r="O337" s="7">
        <f>IF($X337="","",IF(INDEX('Per Invoice'!O$2:O$401,$X337)="","",INDEX('Per Invoice'!O$2:O$401,$X337)))</f>
        <v/>
      </c>
      <c r="P337" s="7">
        <f>IF($X337="","",IF(INDEX('Per Invoice'!P$2:P$401,$X337)="","",INDEX('Per Invoice'!P$2:P$401,$X337)))</f>
        <v/>
      </c>
      <c r="Q337">
        <f>IF($X337="","",IF(INDEX('Per Invoice'!Q$2:Q$401,$X337)="","",INDEX('Per Invoice'!Q$2:Q$401,$X337)))</f>
        <v/>
      </c>
      <c r="R337" s="7">
        <f>IF($X337="","",IF(INDEX('Per Invoice'!R$2:R$401,$X337)="","",INDEX('Per Invoice'!R$2:R$401,$X337)))</f>
        <v/>
      </c>
      <c r="S337" s="7">
        <f>IF($X337="","",IF(INDEX('Per Invoice'!S$2:S$401,$X337)="","",INDEX('Per Invoice'!S$2:S$401,$X337)))</f>
        <v/>
      </c>
      <c r="T337" s="7">
        <f>IF($X337="","",IF(INDEX('Per Invoice'!T$2:T$401,$X337)="","",INDEX('Per Invoice'!T$2:T$401,$X337)))</f>
        <v/>
      </c>
      <c r="U337" s="7">
        <f>IF($X337="","",IF(INDEX('Per Invoice'!U$2:U$401,$X337)="","",INDEX('Per Invoice'!U$2:U$401,$X337)))</f>
        <v/>
      </c>
      <c r="V337" s="7">
        <f>IF($X337="","",IF(INDEX('Per Invoice'!V$2:V$401,$X337)="","",INDEX('Per Invoice'!V$2:V$401,$X337)))</f>
        <v/>
      </c>
      <c r="W337" s="7">
        <f>IF($X337="","",IF(INDEX('Per Invoice'!W$2:W$401,$X337)="","",INDEX('Per Invoice'!W$2:W$401,$X337)))</f>
        <v/>
      </c>
      <c r="X337" s="16">
        <f>IFERROR(MATCH(Settings!$C$33&amp;"|"&amp;ROWS($X$2:$X337),'Per Invoice'!$Y$2:$Y$401,0),"")</f>
        <v/>
      </c>
    </row>
    <row r="338">
      <c r="A338">
        <f>IF($X338="","",IF(INDEX('Per Invoice'!A$2:A$401,$X338)="","",INDEX('Per Invoice'!A$2:A$401,$X338)))</f>
        <v/>
      </c>
      <c r="B338">
        <f>IF($X338="","",IF(INDEX('Per Invoice'!B$2:B$401,$X338)="","",INDEX('Per Invoice'!B$2:B$401,$X338)))</f>
        <v/>
      </c>
      <c r="C338">
        <f>IF($X338="","",IF(INDEX('Per Invoice'!C$2:C$401,$X338)="","",INDEX('Per Invoice'!C$2:C$401,$X338)))</f>
        <v/>
      </c>
      <c r="D338">
        <f>IF($X338="","",IF(INDEX('Per Invoice'!D$2:D$401,$X338)="","",INDEX('Per Invoice'!D$2:D$401,$X338)))</f>
        <v/>
      </c>
      <c r="E338">
        <f>IF($X338="","",IF(INDEX('Per Invoice'!E$2:E$401,$X338)="","",INDEX('Per Invoice'!E$2:E$401,$X338)))</f>
        <v/>
      </c>
      <c r="F338">
        <f>IF($X338="","",IF(INDEX('Per Invoice'!F$2:F$401,$X338)="","",INDEX('Per Invoice'!F$2:F$401,$X338)))</f>
        <v/>
      </c>
      <c r="G338">
        <f>IF($X338="","",IF(INDEX('Per Invoice'!G$2:G$401,$X338)="","",INDEX('Per Invoice'!G$2:G$401,$X338)))</f>
        <v/>
      </c>
      <c r="H338">
        <f>IF($X338="","",IF(INDEX('Per Invoice'!H$2:H$401,$X338)="","",INDEX('Per Invoice'!H$2:H$401,$X338)))</f>
        <v/>
      </c>
      <c r="I338">
        <f>IF($X338="","",IF(INDEX('Per Invoice'!I$2:I$401,$X338)="","",INDEX('Per Invoice'!I$2:I$401,$X338)))</f>
        <v/>
      </c>
      <c r="J338">
        <f>IF($X338="","",IF(INDEX('Per Invoice'!J$2:J$401,$X338)="","",INDEX('Per Invoice'!J$2:J$401,$X338)))</f>
        <v/>
      </c>
      <c r="K338" s="14">
        <f>IF($X338="","",IF(INDEX('Per Invoice'!K$2:K$401,$X338)="","",INDEX('Per Invoice'!K$2:K$401,$X338)))</f>
        <v/>
      </c>
      <c r="L338">
        <f>IF($X338="","",IF(INDEX('Per Invoice'!L$2:L$401,$X338)="","",INDEX('Per Invoice'!L$2:L$401,$X338)))</f>
        <v/>
      </c>
      <c r="M338" s="7">
        <f>IF($X338="","",IF(INDEX('Per Invoice'!M$2:M$401,$X338)="","",INDEX('Per Invoice'!M$2:M$401,$X338)))</f>
        <v/>
      </c>
      <c r="N338">
        <f>IF($X338="","",IF(INDEX('Per Invoice'!N$2:N$401,$X338)="","",INDEX('Per Invoice'!N$2:N$401,$X338)))</f>
        <v/>
      </c>
      <c r="O338" s="7">
        <f>IF($X338="","",IF(INDEX('Per Invoice'!O$2:O$401,$X338)="","",INDEX('Per Invoice'!O$2:O$401,$X338)))</f>
        <v/>
      </c>
      <c r="P338" s="7">
        <f>IF($X338="","",IF(INDEX('Per Invoice'!P$2:P$401,$X338)="","",INDEX('Per Invoice'!P$2:P$401,$X338)))</f>
        <v/>
      </c>
      <c r="Q338">
        <f>IF($X338="","",IF(INDEX('Per Invoice'!Q$2:Q$401,$X338)="","",INDEX('Per Invoice'!Q$2:Q$401,$X338)))</f>
        <v/>
      </c>
      <c r="R338" s="7">
        <f>IF($X338="","",IF(INDEX('Per Invoice'!R$2:R$401,$X338)="","",INDEX('Per Invoice'!R$2:R$401,$X338)))</f>
        <v/>
      </c>
      <c r="S338" s="7">
        <f>IF($X338="","",IF(INDEX('Per Invoice'!S$2:S$401,$X338)="","",INDEX('Per Invoice'!S$2:S$401,$X338)))</f>
        <v/>
      </c>
      <c r="T338" s="7">
        <f>IF($X338="","",IF(INDEX('Per Invoice'!T$2:T$401,$X338)="","",INDEX('Per Invoice'!T$2:T$401,$X338)))</f>
        <v/>
      </c>
      <c r="U338" s="7">
        <f>IF($X338="","",IF(INDEX('Per Invoice'!U$2:U$401,$X338)="","",INDEX('Per Invoice'!U$2:U$401,$X338)))</f>
        <v/>
      </c>
      <c r="V338" s="7">
        <f>IF($X338="","",IF(INDEX('Per Invoice'!V$2:V$401,$X338)="","",INDEX('Per Invoice'!V$2:V$401,$X338)))</f>
        <v/>
      </c>
      <c r="W338" s="7">
        <f>IF($X338="","",IF(INDEX('Per Invoice'!W$2:W$401,$X338)="","",INDEX('Per Invoice'!W$2:W$401,$X338)))</f>
        <v/>
      </c>
      <c r="X338" s="16">
        <f>IFERROR(MATCH(Settings!$C$33&amp;"|"&amp;ROWS($X$2:$X338),'Per Invoice'!$Y$2:$Y$401,0),"")</f>
        <v/>
      </c>
    </row>
    <row r="339">
      <c r="A339">
        <f>IF($X339="","",IF(INDEX('Per Invoice'!A$2:A$401,$X339)="","",INDEX('Per Invoice'!A$2:A$401,$X339)))</f>
        <v/>
      </c>
      <c r="B339">
        <f>IF($X339="","",IF(INDEX('Per Invoice'!B$2:B$401,$X339)="","",INDEX('Per Invoice'!B$2:B$401,$X339)))</f>
        <v/>
      </c>
      <c r="C339">
        <f>IF($X339="","",IF(INDEX('Per Invoice'!C$2:C$401,$X339)="","",INDEX('Per Invoice'!C$2:C$401,$X339)))</f>
        <v/>
      </c>
      <c r="D339">
        <f>IF($X339="","",IF(INDEX('Per Invoice'!D$2:D$401,$X339)="","",INDEX('Per Invoice'!D$2:D$401,$X339)))</f>
        <v/>
      </c>
      <c r="E339">
        <f>IF($X339="","",IF(INDEX('Per Invoice'!E$2:E$401,$X339)="","",INDEX('Per Invoice'!E$2:E$401,$X339)))</f>
        <v/>
      </c>
      <c r="F339">
        <f>IF($X339="","",IF(INDEX('Per Invoice'!F$2:F$401,$X339)="","",INDEX('Per Invoice'!F$2:F$401,$X339)))</f>
        <v/>
      </c>
      <c r="G339">
        <f>IF($X339="","",IF(INDEX('Per Invoice'!G$2:G$401,$X339)="","",INDEX('Per Invoice'!G$2:G$401,$X339)))</f>
        <v/>
      </c>
      <c r="H339">
        <f>IF($X339="","",IF(INDEX('Per Invoice'!H$2:H$401,$X339)="","",INDEX('Per Invoice'!H$2:H$401,$X339)))</f>
        <v/>
      </c>
      <c r="I339">
        <f>IF($X339="","",IF(INDEX('Per Invoice'!I$2:I$401,$X339)="","",INDEX('Per Invoice'!I$2:I$401,$X339)))</f>
        <v/>
      </c>
      <c r="J339">
        <f>IF($X339="","",IF(INDEX('Per Invoice'!J$2:J$401,$X339)="","",INDEX('Per Invoice'!J$2:J$401,$X339)))</f>
        <v/>
      </c>
      <c r="K339" s="14">
        <f>IF($X339="","",IF(INDEX('Per Invoice'!K$2:K$401,$X339)="","",INDEX('Per Invoice'!K$2:K$401,$X339)))</f>
        <v/>
      </c>
      <c r="L339">
        <f>IF($X339="","",IF(INDEX('Per Invoice'!L$2:L$401,$X339)="","",INDEX('Per Invoice'!L$2:L$401,$X339)))</f>
        <v/>
      </c>
      <c r="M339" s="7">
        <f>IF($X339="","",IF(INDEX('Per Invoice'!M$2:M$401,$X339)="","",INDEX('Per Invoice'!M$2:M$401,$X339)))</f>
        <v/>
      </c>
      <c r="N339">
        <f>IF($X339="","",IF(INDEX('Per Invoice'!N$2:N$401,$X339)="","",INDEX('Per Invoice'!N$2:N$401,$X339)))</f>
        <v/>
      </c>
      <c r="O339" s="7">
        <f>IF($X339="","",IF(INDEX('Per Invoice'!O$2:O$401,$X339)="","",INDEX('Per Invoice'!O$2:O$401,$X339)))</f>
        <v/>
      </c>
      <c r="P339" s="7">
        <f>IF($X339="","",IF(INDEX('Per Invoice'!P$2:P$401,$X339)="","",INDEX('Per Invoice'!P$2:P$401,$X339)))</f>
        <v/>
      </c>
      <c r="Q339">
        <f>IF($X339="","",IF(INDEX('Per Invoice'!Q$2:Q$401,$X339)="","",INDEX('Per Invoice'!Q$2:Q$401,$X339)))</f>
        <v/>
      </c>
      <c r="R339" s="7">
        <f>IF($X339="","",IF(INDEX('Per Invoice'!R$2:R$401,$X339)="","",INDEX('Per Invoice'!R$2:R$401,$X339)))</f>
        <v/>
      </c>
      <c r="S339" s="7">
        <f>IF($X339="","",IF(INDEX('Per Invoice'!S$2:S$401,$X339)="","",INDEX('Per Invoice'!S$2:S$401,$X339)))</f>
        <v/>
      </c>
      <c r="T339" s="7">
        <f>IF($X339="","",IF(INDEX('Per Invoice'!T$2:T$401,$X339)="","",INDEX('Per Invoice'!T$2:T$401,$X339)))</f>
        <v/>
      </c>
      <c r="U339" s="7">
        <f>IF($X339="","",IF(INDEX('Per Invoice'!U$2:U$401,$X339)="","",INDEX('Per Invoice'!U$2:U$401,$X339)))</f>
        <v/>
      </c>
      <c r="V339" s="7">
        <f>IF($X339="","",IF(INDEX('Per Invoice'!V$2:V$401,$X339)="","",INDEX('Per Invoice'!V$2:V$401,$X339)))</f>
        <v/>
      </c>
      <c r="W339" s="7">
        <f>IF($X339="","",IF(INDEX('Per Invoice'!W$2:W$401,$X339)="","",INDEX('Per Invoice'!W$2:W$401,$X339)))</f>
        <v/>
      </c>
      <c r="X339" s="16">
        <f>IFERROR(MATCH(Settings!$C$33&amp;"|"&amp;ROWS($X$2:$X339),'Per Invoice'!$Y$2:$Y$401,0),"")</f>
        <v/>
      </c>
    </row>
    <row r="340">
      <c r="A340">
        <f>IF($X340="","",IF(INDEX('Per Invoice'!A$2:A$401,$X340)="","",INDEX('Per Invoice'!A$2:A$401,$X340)))</f>
        <v/>
      </c>
      <c r="B340">
        <f>IF($X340="","",IF(INDEX('Per Invoice'!B$2:B$401,$X340)="","",INDEX('Per Invoice'!B$2:B$401,$X340)))</f>
        <v/>
      </c>
      <c r="C340">
        <f>IF($X340="","",IF(INDEX('Per Invoice'!C$2:C$401,$X340)="","",INDEX('Per Invoice'!C$2:C$401,$X340)))</f>
        <v/>
      </c>
      <c r="D340">
        <f>IF($X340="","",IF(INDEX('Per Invoice'!D$2:D$401,$X340)="","",INDEX('Per Invoice'!D$2:D$401,$X340)))</f>
        <v/>
      </c>
      <c r="E340">
        <f>IF($X340="","",IF(INDEX('Per Invoice'!E$2:E$401,$X340)="","",INDEX('Per Invoice'!E$2:E$401,$X340)))</f>
        <v/>
      </c>
      <c r="F340">
        <f>IF($X340="","",IF(INDEX('Per Invoice'!F$2:F$401,$X340)="","",INDEX('Per Invoice'!F$2:F$401,$X340)))</f>
        <v/>
      </c>
      <c r="G340">
        <f>IF($X340="","",IF(INDEX('Per Invoice'!G$2:G$401,$X340)="","",INDEX('Per Invoice'!G$2:G$401,$X340)))</f>
        <v/>
      </c>
      <c r="H340">
        <f>IF($X340="","",IF(INDEX('Per Invoice'!H$2:H$401,$X340)="","",INDEX('Per Invoice'!H$2:H$401,$X340)))</f>
        <v/>
      </c>
      <c r="I340">
        <f>IF($X340="","",IF(INDEX('Per Invoice'!I$2:I$401,$X340)="","",INDEX('Per Invoice'!I$2:I$401,$X340)))</f>
        <v/>
      </c>
      <c r="J340">
        <f>IF($X340="","",IF(INDEX('Per Invoice'!J$2:J$401,$X340)="","",INDEX('Per Invoice'!J$2:J$401,$X340)))</f>
        <v/>
      </c>
      <c r="K340" s="14">
        <f>IF($X340="","",IF(INDEX('Per Invoice'!K$2:K$401,$X340)="","",INDEX('Per Invoice'!K$2:K$401,$X340)))</f>
        <v/>
      </c>
      <c r="L340">
        <f>IF($X340="","",IF(INDEX('Per Invoice'!L$2:L$401,$X340)="","",INDEX('Per Invoice'!L$2:L$401,$X340)))</f>
        <v/>
      </c>
      <c r="M340" s="7">
        <f>IF($X340="","",IF(INDEX('Per Invoice'!M$2:M$401,$X340)="","",INDEX('Per Invoice'!M$2:M$401,$X340)))</f>
        <v/>
      </c>
      <c r="N340">
        <f>IF($X340="","",IF(INDEX('Per Invoice'!N$2:N$401,$X340)="","",INDEX('Per Invoice'!N$2:N$401,$X340)))</f>
        <v/>
      </c>
      <c r="O340" s="7">
        <f>IF($X340="","",IF(INDEX('Per Invoice'!O$2:O$401,$X340)="","",INDEX('Per Invoice'!O$2:O$401,$X340)))</f>
        <v/>
      </c>
      <c r="P340" s="7">
        <f>IF($X340="","",IF(INDEX('Per Invoice'!P$2:P$401,$X340)="","",INDEX('Per Invoice'!P$2:P$401,$X340)))</f>
        <v/>
      </c>
      <c r="Q340">
        <f>IF($X340="","",IF(INDEX('Per Invoice'!Q$2:Q$401,$X340)="","",INDEX('Per Invoice'!Q$2:Q$401,$X340)))</f>
        <v/>
      </c>
      <c r="R340" s="7">
        <f>IF($X340="","",IF(INDEX('Per Invoice'!R$2:R$401,$X340)="","",INDEX('Per Invoice'!R$2:R$401,$X340)))</f>
        <v/>
      </c>
      <c r="S340" s="7">
        <f>IF($X340="","",IF(INDEX('Per Invoice'!S$2:S$401,$X340)="","",INDEX('Per Invoice'!S$2:S$401,$X340)))</f>
        <v/>
      </c>
      <c r="T340" s="7">
        <f>IF($X340="","",IF(INDEX('Per Invoice'!T$2:T$401,$X340)="","",INDEX('Per Invoice'!T$2:T$401,$X340)))</f>
        <v/>
      </c>
      <c r="U340" s="7">
        <f>IF($X340="","",IF(INDEX('Per Invoice'!U$2:U$401,$X340)="","",INDEX('Per Invoice'!U$2:U$401,$X340)))</f>
        <v/>
      </c>
      <c r="V340" s="7">
        <f>IF($X340="","",IF(INDEX('Per Invoice'!V$2:V$401,$X340)="","",INDEX('Per Invoice'!V$2:V$401,$X340)))</f>
        <v/>
      </c>
      <c r="W340" s="7">
        <f>IF($X340="","",IF(INDEX('Per Invoice'!W$2:W$401,$X340)="","",INDEX('Per Invoice'!W$2:W$401,$X340)))</f>
        <v/>
      </c>
      <c r="X340" s="16">
        <f>IFERROR(MATCH(Settings!$C$33&amp;"|"&amp;ROWS($X$2:$X340),'Per Invoice'!$Y$2:$Y$401,0),"")</f>
        <v/>
      </c>
    </row>
    <row r="341">
      <c r="A341">
        <f>IF($X341="","",IF(INDEX('Per Invoice'!A$2:A$401,$X341)="","",INDEX('Per Invoice'!A$2:A$401,$X341)))</f>
        <v/>
      </c>
      <c r="B341">
        <f>IF($X341="","",IF(INDEX('Per Invoice'!B$2:B$401,$X341)="","",INDEX('Per Invoice'!B$2:B$401,$X341)))</f>
        <v/>
      </c>
      <c r="C341">
        <f>IF($X341="","",IF(INDEX('Per Invoice'!C$2:C$401,$X341)="","",INDEX('Per Invoice'!C$2:C$401,$X341)))</f>
        <v/>
      </c>
      <c r="D341">
        <f>IF($X341="","",IF(INDEX('Per Invoice'!D$2:D$401,$X341)="","",INDEX('Per Invoice'!D$2:D$401,$X341)))</f>
        <v/>
      </c>
      <c r="E341">
        <f>IF($X341="","",IF(INDEX('Per Invoice'!E$2:E$401,$X341)="","",INDEX('Per Invoice'!E$2:E$401,$X341)))</f>
        <v/>
      </c>
      <c r="F341">
        <f>IF($X341="","",IF(INDEX('Per Invoice'!F$2:F$401,$X341)="","",INDEX('Per Invoice'!F$2:F$401,$X341)))</f>
        <v/>
      </c>
      <c r="G341">
        <f>IF($X341="","",IF(INDEX('Per Invoice'!G$2:G$401,$X341)="","",INDEX('Per Invoice'!G$2:G$401,$X341)))</f>
        <v/>
      </c>
      <c r="H341">
        <f>IF($X341="","",IF(INDEX('Per Invoice'!H$2:H$401,$X341)="","",INDEX('Per Invoice'!H$2:H$401,$X341)))</f>
        <v/>
      </c>
      <c r="I341">
        <f>IF($X341="","",IF(INDEX('Per Invoice'!I$2:I$401,$X341)="","",INDEX('Per Invoice'!I$2:I$401,$X341)))</f>
        <v/>
      </c>
      <c r="J341">
        <f>IF($X341="","",IF(INDEX('Per Invoice'!J$2:J$401,$X341)="","",INDEX('Per Invoice'!J$2:J$401,$X341)))</f>
        <v/>
      </c>
      <c r="K341" s="14">
        <f>IF($X341="","",IF(INDEX('Per Invoice'!K$2:K$401,$X341)="","",INDEX('Per Invoice'!K$2:K$401,$X341)))</f>
        <v/>
      </c>
      <c r="L341">
        <f>IF($X341="","",IF(INDEX('Per Invoice'!L$2:L$401,$X341)="","",INDEX('Per Invoice'!L$2:L$401,$X341)))</f>
        <v/>
      </c>
      <c r="M341" s="7">
        <f>IF($X341="","",IF(INDEX('Per Invoice'!M$2:M$401,$X341)="","",INDEX('Per Invoice'!M$2:M$401,$X341)))</f>
        <v/>
      </c>
      <c r="N341">
        <f>IF($X341="","",IF(INDEX('Per Invoice'!N$2:N$401,$X341)="","",INDEX('Per Invoice'!N$2:N$401,$X341)))</f>
        <v/>
      </c>
      <c r="O341" s="7">
        <f>IF($X341="","",IF(INDEX('Per Invoice'!O$2:O$401,$X341)="","",INDEX('Per Invoice'!O$2:O$401,$X341)))</f>
        <v/>
      </c>
      <c r="P341" s="7">
        <f>IF($X341="","",IF(INDEX('Per Invoice'!P$2:P$401,$X341)="","",INDEX('Per Invoice'!P$2:P$401,$X341)))</f>
        <v/>
      </c>
      <c r="Q341">
        <f>IF($X341="","",IF(INDEX('Per Invoice'!Q$2:Q$401,$X341)="","",INDEX('Per Invoice'!Q$2:Q$401,$X341)))</f>
        <v/>
      </c>
      <c r="R341" s="7">
        <f>IF($X341="","",IF(INDEX('Per Invoice'!R$2:R$401,$X341)="","",INDEX('Per Invoice'!R$2:R$401,$X341)))</f>
        <v/>
      </c>
      <c r="S341" s="7">
        <f>IF($X341="","",IF(INDEX('Per Invoice'!S$2:S$401,$X341)="","",INDEX('Per Invoice'!S$2:S$401,$X341)))</f>
        <v/>
      </c>
      <c r="T341" s="7">
        <f>IF($X341="","",IF(INDEX('Per Invoice'!T$2:T$401,$X341)="","",INDEX('Per Invoice'!T$2:T$401,$X341)))</f>
        <v/>
      </c>
      <c r="U341" s="7">
        <f>IF($X341="","",IF(INDEX('Per Invoice'!U$2:U$401,$X341)="","",INDEX('Per Invoice'!U$2:U$401,$X341)))</f>
        <v/>
      </c>
      <c r="V341" s="7">
        <f>IF($X341="","",IF(INDEX('Per Invoice'!V$2:V$401,$X341)="","",INDEX('Per Invoice'!V$2:V$401,$X341)))</f>
        <v/>
      </c>
      <c r="W341" s="7">
        <f>IF($X341="","",IF(INDEX('Per Invoice'!W$2:W$401,$X341)="","",INDEX('Per Invoice'!W$2:W$401,$X341)))</f>
        <v/>
      </c>
      <c r="X341" s="16">
        <f>IFERROR(MATCH(Settings!$C$33&amp;"|"&amp;ROWS($X$2:$X341),'Per Invoice'!$Y$2:$Y$401,0),"")</f>
        <v/>
      </c>
    </row>
    <row r="342">
      <c r="A342">
        <f>IF($X342="","",IF(INDEX('Per Invoice'!A$2:A$401,$X342)="","",INDEX('Per Invoice'!A$2:A$401,$X342)))</f>
        <v/>
      </c>
      <c r="B342">
        <f>IF($X342="","",IF(INDEX('Per Invoice'!B$2:B$401,$X342)="","",INDEX('Per Invoice'!B$2:B$401,$X342)))</f>
        <v/>
      </c>
      <c r="C342">
        <f>IF($X342="","",IF(INDEX('Per Invoice'!C$2:C$401,$X342)="","",INDEX('Per Invoice'!C$2:C$401,$X342)))</f>
        <v/>
      </c>
      <c r="D342">
        <f>IF($X342="","",IF(INDEX('Per Invoice'!D$2:D$401,$X342)="","",INDEX('Per Invoice'!D$2:D$401,$X342)))</f>
        <v/>
      </c>
      <c r="E342">
        <f>IF($X342="","",IF(INDEX('Per Invoice'!E$2:E$401,$X342)="","",INDEX('Per Invoice'!E$2:E$401,$X342)))</f>
        <v/>
      </c>
      <c r="F342">
        <f>IF($X342="","",IF(INDEX('Per Invoice'!F$2:F$401,$X342)="","",INDEX('Per Invoice'!F$2:F$401,$X342)))</f>
        <v/>
      </c>
      <c r="G342">
        <f>IF($X342="","",IF(INDEX('Per Invoice'!G$2:G$401,$X342)="","",INDEX('Per Invoice'!G$2:G$401,$X342)))</f>
        <v/>
      </c>
      <c r="H342">
        <f>IF($X342="","",IF(INDEX('Per Invoice'!H$2:H$401,$X342)="","",INDEX('Per Invoice'!H$2:H$401,$X342)))</f>
        <v/>
      </c>
      <c r="I342">
        <f>IF($X342="","",IF(INDEX('Per Invoice'!I$2:I$401,$X342)="","",INDEX('Per Invoice'!I$2:I$401,$X342)))</f>
        <v/>
      </c>
      <c r="J342">
        <f>IF($X342="","",IF(INDEX('Per Invoice'!J$2:J$401,$X342)="","",INDEX('Per Invoice'!J$2:J$401,$X342)))</f>
        <v/>
      </c>
      <c r="K342" s="14">
        <f>IF($X342="","",IF(INDEX('Per Invoice'!K$2:K$401,$X342)="","",INDEX('Per Invoice'!K$2:K$401,$X342)))</f>
        <v/>
      </c>
      <c r="L342">
        <f>IF($X342="","",IF(INDEX('Per Invoice'!L$2:L$401,$X342)="","",INDEX('Per Invoice'!L$2:L$401,$X342)))</f>
        <v/>
      </c>
      <c r="M342" s="7">
        <f>IF($X342="","",IF(INDEX('Per Invoice'!M$2:M$401,$X342)="","",INDEX('Per Invoice'!M$2:M$401,$X342)))</f>
        <v/>
      </c>
      <c r="N342">
        <f>IF($X342="","",IF(INDEX('Per Invoice'!N$2:N$401,$X342)="","",INDEX('Per Invoice'!N$2:N$401,$X342)))</f>
        <v/>
      </c>
      <c r="O342" s="7">
        <f>IF($X342="","",IF(INDEX('Per Invoice'!O$2:O$401,$X342)="","",INDEX('Per Invoice'!O$2:O$401,$X342)))</f>
        <v/>
      </c>
      <c r="P342" s="7">
        <f>IF($X342="","",IF(INDEX('Per Invoice'!P$2:P$401,$X342)="","",INDEX('Per Invoice'!P$2:P$401,$X342)))</f>
        <v/>
      </c>
      <c r="Q342">
        <f>IF($X342="","",IF(INDEX('Per Invoice'!Q$2:Q$401,$X342)="","",INDEX('Per Invoice'!Q$2:Q$401,$X342)))</f>
        <v/>
      </c>
      <c r="R342" s="7">
        <f>IF($X342="","",IF(INDEX('Per Invoice'!R$2:R$401,$X342)="","",INDEX('Per Invoice'!R$2:R$401,$X342)))</f>
        <v/>
      </c>
      <c r="S342" s="7">
        <f>IF($X342="","",IF(INDEX('Per Invoice'!S$2:S$401,$X342)="","",INDEX('Per Invoice'!S$2:S$401,$X342)))</f>
        <v/>
      </c>
      <c r="T342" s="7">
        <f>IF($X342="","",IF(INDEX('Per Invoice'!T$2:T$401,$X342)="","",INDEX('Per Invoice'!T$2:T$401,$X342)))</f>
        <v/>
      </c>
      <c r="U342" s="7">
        <f>IF($X342="","",IF(INDEX('Per Invoice'!U$2:U$401,$X342)="","",INDEX('Per Invoice'!U$2:U$401,$X342)))</f>
        <v/>
      </c>
      <c r="V342" s="7">
        <f>IF($X342="","",IF(INDEX('Per Invoice'!V$2:V$401,$X342)="","",INDEX('Per Invoice'!V$2:V$401,$X342)))</f>
        <v/>
      </c>
      <c r="W342" s="7">
        <f>IF($X342="","",IF(INDEX('Per Invoice'!W$2:W$401,$X342)="","",INDEX('Per Invoice'!W$2:W$401,$X342)))</f>
        <v/>
      </c>
      <c r="X342" s="16">
        <f>IFERROR(MATCH(Settings!$C$33&amp;"|"&amp;ROWS($X$2:$X342),'Per Invoice'!$Y$2:$Y$401,0),"")</f>
        <v/>
      </c>
    </row>
    <row r="343">
      <c r="A343">
        <f>IF($X343="","",IF(INDEX('Per Invoice'!A$2:A$401,$X343)="","",INDEX('Per Invoice'!A$2:A$401,$X343)))</f>
        <v/>
      </c>
      <c r="B343">
        <f>IF($X343="","",IF(INDEX('Per Invoice'!B$2:B$401,$X343)="","",INDEX('Per Invoice'!B$2:B$401,$X343)))</f>
        <v/>
      </c>
      <c r="C343">
        <f>IF($X343="","",IF(INDEX('Per Invoice'!C$2:C$401,$X343)="","",INDEX('Per Invoice'!C$2:C$401,$X343)))</f>
        <v/>
      </c>
      <c r="D343">
        <f>IF($X343="","",IF(INDEX('Per Invoice'!D$2:D$401,$X343)="","",INDEX('Per Invoice'!D$2:D$401,$X343)))</f>
        <v/>
      </c>
      <c r="E343">
        <f>IF($X343="","",IF(INDEX('Per Invoice'!E$2:E$401,$X343)="","",INDEX('Per Invoice'!E$2:E$401,$X343)))</f>
        <v/>
      </c>
      <c r="F343">
        <f>IF($X343="","",IF(INDEX('Per Invoice'!F$2:F$401,$X343)="","",INDEX('Per Invoice'!F$2:F$401,$X343)))</f>
        <v/>
      </c>
      <c r="G343">
        <f>IF($X343="","",IF(INDEX('Per Invoice'!G$2:G$401,$X343)="","",INDEX('Per Invoice'!G$2:G$401,$X343)))</f>
        <v/>
      </c>
      <c r="H343">
        <f>IF($X343="","",IF(INDEX('Per Invoice'!H$2:H$401,$X343)="","",INDEX('Per Invoice'!H$2:H$401,$X343)))</f>
        <v/>
      </c>
      <c r="I343">
        <f>IF($X343="","",IF(INDEX('Per Invoice'!I$2:I$401,$X343)="","",INDEX('Per Invoice'!I$2:I$401,$X343)))</f>
        <v/>
      </c>
      <c r="J343">
        <f>IF($X343="","",IF(INDEX('Per Invoice'!J$2:J$401,$X343)="","",INDEX('Per Invoice'!J$2:J$401,$X343)))</f>
        <v/>
      </c>
      <c r="K343" s="14">
        <f>IF($X343="","",IF(INDEX('Per Invoice'!K$2:K$401,$X343)="","",INDEX('Per Invoice'!K$2:K$401,$X343)))</f>
        <v/>
      </c>
      <c r="L343">
        <f>IF($X343="","",IF(INDEX('Per Invoice'!L$2:L$401,$X343)="","",INDEX('Per Invoice'!L$2:L$401,$X343)))</f>
        <v/>
      </c>
      <c r="M343" s="7">
        <f>IF($X343="","",IF(INDEX('Per Invoice'!M$2:M$401,$X343)="","",INDEX('Per Invoice'!M$2:M$401,$X343)))</f>
        <v/>
      </c>
      <c r="N343">
        <f>IF($X343="","",IF(INDEX('Per Invoice'!N$2:N$401,$X343)="","",INDEX('Per Invoice'!N$2:N$401,$X343)))</f>
        <v/>
      </c>
      <c r="O343" s="7">
        <f>IF($X343="","",IF(INDEX('Per Invoice'!O$2:O$401,$X343)="","",INDEX('Per Invoice'!O$2:O$401,$X343)))</f>
        <v/>
      </c>
      <c r="P343" s="7">
        <f>IF($X343="","",IF(INDEX('Per Invoice'!P$2:P$401,$X343)="","",INDEX('Per Invoice'!P$2:P$401,$X343)))</f>
        <v/>
      </c>
      <c r="Q343">
        <f>IF($X343="","",IF(INDEX('Per Invoice'!Q$2:Q$401,$X343)="","",INDEX('Per Invoice'!Q$2:Q$401,$X343)))</f>
        <v/>
      </c>
      <c r="R343" s="7">
        <f>IF($X343="","",IF(INDEX('Per Invoice'!R$2:R$401,$X343)="","",INDEX('Per Invoice'!R$2:R$401,$X343)))</f>
        <v/>
      </c>
      <c r="S343" s="7">
        <f>IF($X343="","",IF(INDEX('Per Invoice'!S$2:S$401,$X343)="","",INDEX('Per Invoice'!S$2:S$401,$X343)))</f>
        <v/>
      </c>
      <c r="T343" s="7">
        <f>IF($X343="","",IF(INDEX('Per Invoice'!T$2:T$401,$X343)="","",INDEX('Per Invoice'!T$2:T$401,$X343)))</f>
        <v/>
      </c>
      <c r="U343" s="7">
        <f>IF($X343="","",IF(INDEX('Per Invoice'!U$2:U$401,$X343)="","",INDEX('Per Invoice'!U$2:U$401,$X343)))</f>
        <v/>
      </c>
      <c r="V343" s="7">
        <f>IF($X343="","",IF(INDEX('Per Invoice'!V$2:V$401,$X343)="","",INDEX('Per Invoice'!V$2:V$401,$X343)))</f>
        <v/>
      </c>
      <c r="W343" s="7">
        <f>IF($X343="","",IF(INDEX('Per Invoice'!W$2:W$401,$X343)="","",INDEX('Per Invoice'!W$2:W$401,$X343)))</f>
        <v/>
      </c>
      <c r="X343" s="16">
        <f>IFERROR(MATCH(Settings!$C$33&amp;"|"&amp;ROWS($X$2:$X343),'Per Invoice'!$Y$2:$Y$401,0),"")</f>
        <v/>
      </c>
    </row>
    <row r="344">
      <c r="A344">
        <f>IF($X344="","",IF(INDEX('Per Invoice'!A$2:A$401,$X344)="","",INDEX('Per Invoice'!A$2:A$401,$X344)))</f>
        <v/>
      </c>
      <c r="B344">
        <f>IF($X344="","",IF(INDEX('Per Invoice'!B$2:B$401,$X344)="","",INDEX('Per Invoice'!B$2:B$401,$X344)))</f>
        <v/>
      </c>
      <c r="C344">
        <f>IF($X344="","",IF(INDEX('Per Invoice'!C$2:C$401,$X344)="","",INDEX('Per Invoice'!C$2:C$401,$X344)))</f>
        <v/>
      </c>
      <c r="D344">
        <f>IF($X344="","",IF(INDEX('Per Invoice'!D$2:D$401,$X344)="","",INDEX('Per Invoice'!D$2:D$401,$X344)))</f>
        <v/>
      </c>
      <c r="E344">
        <f>IF($X344="","",IF(INDEX('Per Invoice'!E$2:E$401,$X344)="","",INDEX('Per Invoice'!E$2:E$401,$X344)))</f>
        <v/>
      </c>
      <c r="F344">
        <f>IF($X344="","",IF(INDEX('Per Invoice'!F$2:F$401,$X344)="","",INDEX('Per Invoice'!F$2:F$401,$X344)))</f>
        <v/>
      </c>
      <c r="G344">
        <f>IF($X344="","",IF(INDEX('Per Invoice'!G$2:G$401,$X344)="","",INDEX('Per Invoice'!G$2:G$401,$X344)))</f>
        <v/>
      </c>
      <c r="H344">
        <f>IF($X344="","",IF(INDEX('Per Invoice'!H$2:H$401,$X344)="","",INDEX('Per Invoice'!H$2:H$401,$X344)))</f>
        <v/>
      </c>
      <c r="I344">
        <f>IF($X344="","",IF(INDEX('Per Invoice'!I$2:I$401,$X344)="","",INDEX('Per Invoice'!I$2:I$401,$X344)))</f>
        <v/>
      </c>
      <c r="J344">
        <f>IF($X344="","",IF(INDEX('Per Invoice'!J$2:J$401,$X344)="","",INDEX('Per Invoice'!J$2:J$401,$X344)))</f>
        <v/>
      </c>
      <c r="K344" s="14">
        <f>IF($X344="","",IF(INDEX('Per Invoice'!K$2:K$401,$X344)="","",INDEX('Per Invoice'!K$2:K$401,$X344)))</f>
        <v/>
      </c>
      <c r="L344">
        <f>IF($X344="","",IF(INDEX('Per Invoice'!L$2:L$401,$X344)="","",INDEX('Per Invoice'!L$2:L$401,$X344)))</f>
        <v/>
      </c>
      <c r="M344" s="7">
        <f>IF($X344="","",IF(INDEX('Per Invoice'!M$2:M$401,$X344)="","",INDEX('Per Invoice'!M$2:M$401,$X344)))</f>
        <v/>
      </c>
      <c r="N344">
        <f>IF($X344="","",IF(INDEX('Per Invoice'!N$2:N$401,$X344)="","",INDEX('Per Invoice'!N$2:N$401,$X344)))</f>
        <v/>
      </c>
      <c r="O344" s="7">
        <f>IF($X344="","",IF(INDEX('Per Invoice'!O$2:O$401,$X344)="","",INDEX('Per Invoice'!O$2:O$401,$X344)))</f>
        <v/>
      </c>
      <c r="P344" s="7">
        <f>IF($X344="","",IF(INDEX('Per Invoice'!P$2:P$401,$X344)="","",INDEX('Per Invoice'!P$2:P$401,$X344)))</f>
        <v/>
      </c>
      <c r="Q344">
        <f>IF($X344="","",IF(INDEX('Per Invoice'!Q$2:Q$401,$X344)="","",INDEX('Per Invoice'!Q$2:Q$401,$X344)))</f>
        <v/>
      </c>
      <c r="R344" s="7">
        <f>IF($X344="","",IF(INDEX('Per Invoice'!R$2:R$401,$X344)="","",INDEX('Per Invoice'!R$2:R$401,$X344)))</f>
        <v/>
      </c>
      <c r="S344" s="7">
        <f>IF($X344="","",IF(INDEX('Per Invoice'!S$2:S$401,$X344)="","",INDEX('Per Invoice'!S$2:S$401,$X344)))</f>
        <v/>
      </c>
      <c r="T344" s="7">
        <f>IF($X344="","",IF(INDEX('Per Invoice'!T$2:T$401,$X344)="","",INDEX('Per Invoice'!T$2:T$401,$X344)))</f>
        <v/>
      </c>
      <c r="U344" s="7">
        <f>IF($X344="","",IF(INDEX('Per Invoice'!U$2:U$401,$X344)="","",INDEX('Per Invoice'!U$2:U$401,$X344)))</f>
        <v/>
      </c>
      <c r="V344" s="7">
        <f>IF($X344="","",IF(INDEX('Per Invoice'!V$2:V$401,$X344)="","",INDEX('Per Invoice'!V$2:V$401,$X344)))</f>
        <v/>
      </c>
      <c r="W344" s="7">
        <f>IF($X344="","",IF(INDEX('Per Invoice'!W$2:W$401,$X344)="","",INDEX('Per Invoice'!W$2:W$401,$X344)))</f>
        <v/>
      </c>
      <c r="X344" s="16">
        <f>IFERROR(MATCH(Settings!$C$33&amp;"|"&amp;ROWS($X$2:$X344),'Per Invoice'!$Y$2:$Y$401,0),"")</f>
        <v/>
      </c>
    </row>
    <row r="345">
      <c r="A345">
        <f>IF($X345="","",IF(INDEX('Per Invoice'!A$2:A$401,$X345)="","",INDEX('Per Invoice'!A$2:A$401,$X345)))</f>
        <v/>
      </c>
      <c r="B345">
        <f>IF($X345="","",IF(INDEX('Per Invoice'!B$2:B$401,$X345)="","",INDEX('Per Invoice'!B$2:B$401,$X345)))</f>
        <v/>
      </c>
      <c r="C345">
        <f>IF($X345="","",IF(INDEX('Per Invoice'!C$2:C$401,$X345)="","",INDEX('Per Invoice'!C$2:C$401,$X345)))</f>
        <v/>
      </c>
      <c r="D345">
        <f>IF($X345="","",IF(INDEX('Per Invoice'!D$2:D$401,$X345)="","",INDEX('Per Invoice'!D$2:D$401,$X345)))</f>
        <v/>
      </c>
      <c r="E345">
        <f>IF($X345="","",IF(INDEX('Per Invoice'!E$2:E$401,$X345)="","",INDEX('Per Invoice'!E$2:E$401,$X345)))</f>
        <v/>
      </c>
      <c r="F345">
        <f>IF($X345="","",IF(INDEX('Per Invoice'!F$2:F$401,$X345)="","",INDEX('Per Invoice'!F$2:F$401,$X345)))</f>
        <v/>
      </c>
      <c r="G345">
        <f>IF($X345="","",IF(INDEX('Per Invoice'!G$2:G$401,$X345)="","",INDEX('Per Invoice'!G$2:G$401,$X345)))</f>
        <v/>
      </c>
      <c r="H345">
        <f>IF($X345="","",IF(INDEX('Per Invoice'!H$2:H$401,$X345)="","",INDEX('Per Invoice'!H$2:H$401,$X345)))</f>
        <v/>
      </c>
      <c r="I345">
        <f>IF($X345="","",IF(INDEX('Per Invoice'!I$2:I$401,$X345)="","",INDEX('Per Invoice'!I$2:I$401,$X345)))</f>
        <v/>
      </c>
      <c r="J345">
        <f>IF($X345="","",IF(INDEX('Per Invoice'!J$2:J$401,$X345)="","",INDEX('Per Invoice'!J$2:J$401,$X345)))</f>
        <v/>
      </c>
      <c r="K345" s="14">
        <f>IF($X345="","",IF(INDEX('Per Invoice'!K$2:K$401,$X345)="","",INDEX('Per Invoice'!K$2:K$401,$X345)))</f>
        <v/>
      </c>
      <c r="L345">
        <f>IF($X345="","",IF(INDEX('Per Invoice'!L$2:L$401,$X345)="","",INDEX('Per Invoice'!L$2:L$401,$X345)))</f>
        <v/>
      </c>
      <c r="M345" s="7">
        <f>IF($X345="","",IF(INDEX('Per Invoice'!M$2:M$401,$X345)="","",INDEX('Per Invoice'!M$2:M$401,$X345)))</f>
        <v/>
      </c>
      <c r="N345">
        <f>IF($X345="","",IF(INDEX('Per Invoice'!N$2:N$401,$X345)="","",INDEX('Per Invoice'!N$2:N$401,$X345)))</f>
        <v/>
      </c>
      <c r="O345" s="7">
        <f>IF($X345="","",IF(INDEX('Per Invoice'!O$2:O$401,$X345)="","",INDEX('Per Invoice'!O$2:O$401,$X345)))</f>
        <v/>
      </c>
      <c r="P345" s="7">
        <f>IF($X345="","",IF(INDEX('Per Invoice'!P$2:P$401,$X345)="","",INDEX('Per Invoice'!P$2:P$401,$X345)))</f>
        <v/>
      </c>
      <c r="Q345">
        <f>IF($X345="","",IF(INDEX('Per Invoice'!Q$2:Q$401,$X345)="","",INDEX('Per Invoice'!Q$2:Q$401,$X345)))</f>
        <v/>
      </c>
      <c r="R345" s="7">
        <f>IF($X345="","",IF(INDEX('Per Invoice'!R$2:R$401,$X345)="","",INDEX('Per Invoice'!R$2:R$401,$X345)))</f>
        <v/>
      </c>
      <c r="S345" s="7">
        <f>IF($X345="","",IF(INDEX('Per Invoice'!S$2:S$401,$X345)="","",INDEX('Per Invoice'!S$2:S$401,$X345)))</f>
        <v/>
      </c>
      <c r="T345" s="7">
        <f>IF($X345="","",IF(INDEX('Per Invoice'!T$2:T$401,$X345)="","",INDEX('Per Invoice'!T$2:T$401,$X345)))</f>
        <v/>
      </c>
      <c r="U345" s="7">
        <f>IF($X345="","",IF(INDEX('Per Invoice'!U$2:U$401,$X345)="","",INDEX('Per Invoice'!U$2:U$401,$X345)))</f>
        <v/>
      </c>
      <c r="V345" s="7">
        <f>IF($X345="","",IF(INDEX('Per Invoice'!V$2:V$401,$X345)="","",INDEX('Per Invoice'!V$2:V$401,$X345)))</f>
        <v/>
      </c>
      <c r="W345" s="7">
        <f>IF($X345="","",IF(INDEX('Per Invoice'!W$2:W$401,$X345)="","",INDEX('Per Invoice'!W$2:W$401,$X345)))</f>
        <v/>
      </c>
      <c r="X345" s="16">
        <f>IFERROR(MATCH(Settings!$C$33&amp;"|"&amp;ROWS($X$2:$X345),'Per Invoice'!$Y$2:$Y$401,0),"")</f>
        <v/>
      </c>
    </row>
    <row r="346">
      <c r="A346">
        <f>IF($X346="","",IF(INDEX('Per Invoice'!A$2:A$401,$X346)="","",INDEX('Per Invoice'!A$2:A$401,$X346)))</f>
        <v/>
      </c>
      <c r="B346">
        <f>IF($X346="","",IF(INDEX('Per Invoice'!B$2:B$401,$X346)="","",INDEX('Per Invoice'!B$2:B$401,$X346)))</f>
        <v/>
      </c>
      <c r="C346">
        <f>IF($X346="","",IF(INDEX('Per Invoice'!C$2:C$401,$X346)="","",INDEX('Per Invoice'!C$2:C$401,$X346)))</f>
        <v/>
      </c>
      <c r="D346">
        <f>IF($X346="","",IF(INDEX('Per Invoice'!D$2:D$401,$X346)="","",INDEX('Per Invoice'!D$2:D$401,$X346)))</f>
        <v/>
      </c>
      <c r="E346">
        <f>IF($X346="","",IF(INDEX('Per Invoice'!E$2:E$401,$X346)="","",INDEX('Per Invoice'!E$2:E$401,$X346)))</f>
        <v/>
      </c>
      <c r="F346">
        <f>IF($X346="","",IF(INDEX('Per Invoice'!F$2:F$401,$X346)="","",INDEX('Per Invoice'!F$2:F$401,$X346)))</f>
        <v/>
      </c>
      <c r="G346">
        <f>IF($X346="","",IF(INDEX('Per Invoice'!G$2:G$401,$X346)="","",INDEX('Per Invoice'!G$2:G$401,$X346)))</f>
        <v/>
      </c>
      <c r="H346">
        <f>IF($X346="","",IF(INDEX('Per Invoice'!H$2:H$401,$X346)="","",INDEX('Per Invoice'!H$2:H$401,$X346)))</f>
        <v/>
      </c>
      <c r="I346">
        <f>IF($X346="","",IF(INDEX('Per Invoice'!I$2:I$401,$X346)="","",INDEX('Per Invoice'!I$2:I$401,$X346)))</f>
        <v/>
      </c>
      <c r="J346">
        <f>IF($X346="","",IF(INDEX('Per Invoice'!J$2:J$401,$X346)="","",INDEX('Per Invoice'!J$2:J$401,$X346)))</f>
        <v/>
      </c>
      <c r="K346" s="14">
        <f>IF($X346="","",IF(INDEX('Per Invoice'!K$2:K$401,$X346)="","",INDEX('Per Invoice'!K$2:K$401,$X346)))</f>
        <v/>
      </c>
      <c r="L346">
        <f>IF($X346="","",IF(INDEX('Per Invoice'!L$2:L$401,$X346)="","",INDEX('Per Invoice'!L$2:L$401,$X346)))</f>
        <v/>
      </c>
      <c r="M346" s="7">
        <f>IF($X346="","",IF(INDEX('Per Invoice'!M$2:M$401,$X346)="","",INDEX('Per Invoice'!M$2:M$401,$X346)))</f>
        <v/>
      </c>
      <c r="N346">
        <f>IF($X346="","",IF(INDEX('Per Invoice'!N$2:N$401,$X346)="","",INDEX('Per Invoice'!N$2:N$401,$X346)))</f>
        <v/>
      </c>
      <c r="O346" s="7">
        <f>IF($X346="","",IF(INDEX('Per Invoice'!O$2:O$401,$X346)="","",INDEX('Per Invoice'!O$2:O$401,$X346)))</f>
        <v/>
      </c>
      <c r="P346" s="7">
        <f>IF($X346="","",IF(INDEX('Per Invoice'!P$2:P$401,$X346)="","",INDEX('Per Invoice'!P$2:P$401,$X346)))</f>
        <v/>
      </c>
      <c r="Q346">
        <f>IF($X346="","",IF(INDEX('Per Invoice'!Q$2:Q$401,$X346)="","",INDEX('Per Invoice'!Q$2:Q$401,$X346)))</f>
        <v/>
      </c>
      <c r="R346" s="7">
        <f>IF($X346="","",IF(INDEX('Per Invoice'!R$2:R$401,$X346)="","",INDEX('Per Invoice'!R$2:R$401,$X346)))</f>
        <v/>
      </c>
      <c r="S346" s="7">
        <f>IF($X346="","",IF(INDEX('Per Invoice'!S$2:S$401,$X346)="","",INDEX('Per Invoice'!S$2:S$401,$X346)))</f>
        <v/>
      </c>
      <c r="T346" s="7">
        <f>IF($X346="","",IF(INDEX('Per Invoice'!T$2:T$401,$X346)="","",INDEX('Per Invoice'!T$2:T$401,$X346)))</f>
        <v/>
      </c>
      <c r="U346" s="7">
        <f>IF($X346="","",IF(INDEX('Per Invoice'!U$2:U$401,$X346)="","",INDEX('Per Invoice'!U$2:U$401,$X346)))</f>
        <v/>
      </c>
      <c r="V346" s="7">
        <f>IF($X346="","",IF(INDEX('Per Invoice'!V$2:V$401,$X346)="","",INDEX('Per Invoice'!V$2:V$401,$X346)))</f>
        <v/>
      </c>
      <c r="W346" s="7">
        <f>IF($X346="","",IF(INDEX('Per Invoice'!W$2:W$401,$X346)="","",INDEX('Per Invoice'!W$2:W$401,$X346)))</f>
        <v/>
      </c>
      <c r="X346" s="16">
        <f>IFERROR(MATCH(Settings!$C$33&amp;"|"&amp;ROWS($X$2:$X346),'Per Invoice'!$Y$2:$Y$401,0),"")</f>
        <v/>
      </c>
    </row>
    <row r="347">
      <c r="A347">
        <f>IF($X347="","",IF(INDEX('Per Invoice'!A$2:A$401,$X347)="","",INDEX('Per Invoice'!A$2:A$401,$X347)))</f>
        <v/>
      </c>
      <c r="B347">
        <f>IF($X347="","",IF(INDEX('Per Invoice'!B$2:B$401,$X347)="","",INDEX('Per Invoice'!B$2:B$401,$X347)))</f>
        <v/>
      </c>
      <c r="C347">
        <f>IF($X347="","",IF(INDEX('Per Invoice'!C$2:C$401,$X347)="","",INDEX('Per Invoice'!C$2:C$401,$X347)))</f>
        <v/>
      </c>
      <c r="D347">
        <f>IF($X347="","",IF(INDEX('Per Invoice'!D$2:D$401,$X347)="","",INDEX('Per Invoice'!D$2:D$401,$X347)))</f>
        <v/>
      </c>
      <c r="E347">
        <f>IF($X347="","",IF(INDEX('Per Invoice'!E$2:E$401,$X347)="","",INDEX('Per Invoice'!E$2:E$401,$X347)))</f>
        <v/>
      </c>
      <c r="F347">
        <f>IF($X347="","",IF(INDEX('Per Invoice'!F$2:F$401,$X347)="","",INDEX('Per Invoice'!F$2:F$401,$X347)))</f>
        <v/>
      </c>
      <c r="G347">
        <f>IF($X347="","",IF(INDEX('Per Invoice'!G$2:G$401,$X347)="","",INDEX('Per Invoice'!G$2:G$401,$X347)))</f>
        <v/>
      </c>
      <c r="H347">
        <f>IF($X347="","",IF(INDEX('Per Invoice'!H$2:H$401,$X347)="","",INDEX('Per Invoice'!H$2:H$401,$X347)))</f>
        <v/>
      </c>
      <c r="I347">
        <f>IF($X347="","",IF(INDEX('Per Invoice'!I$2:I$401,$X347)="","",INDEX('Per Invoice'!I$2:I$401,$X347)))</f>
        <v/>
      </c>
      <c r="J347">
        <f>IF($X347="","",IF(INDEX('Per Invoice'!J$2:J$401,$X347)="","",INDEX('Per Invoice'!J$2:J$401,$X347)))</f>
        <v/>
      </c>
      <c r="K347" s="14">
        <f>IF($X347="","",IF(INDEX('Per Invoice'!K$2:K$401,$X347)="","",INDEX('Per Invoice'!K$2:K$401,$X347)))</f>
        <v/>
      </c>
      <c r="L347">
        <f>IF($X347="","",IF(INDEX('Per Invoice'!L$2:L$401,$X347)="","",INDEX('Per Invoice'!L$2:L$401,$X347)))</f>
        <v/>
      </c>
      <c r="M347" s="7">
        <f>IF($X347="","",IF(INDEX('Per Invoice'!M$2:M$401,$X347)="","",INDEX('Per Invoice'!M$2:M$401,$X347)))</f>
        <v/>
      </c>
      <c r="N347">
        <f>IF($X347="","",IF(INDEX('Per Invoice'!N$2:N$401,$X347)="","",INDEX('Per Invoice'!N$2:N$401,$X347)))</f>
        <v/>
      </c>
      <c r="O347" s="7">
        <f>IF($X347="","",IF(INDEX('Per Invoice'!O$2:O$401,$X347)="","",INDEX('Per Invoice'!O$2:O$401,$X347)))</f>
        <v/>
      </c>
      <c r="P347" s="7">
        <f>IF($X347="","",IF(INDEX('Per Invoice'!P$2:P$401,$X347)="","",INDEX('Per Invoice'!P$2:P$401,$X347)))</f>
        <v/>
      </c>
      <c r="Q347">
        <f>IF($X347="","",IF(INDEX('Per Invoice'!Q$2:Q$401,$X347)="","",INDEX('Per Invoice'!Q$2:Q$401,$X347)))</f>
        <v/>
      </c>
      <c r="R347" s="7">
        <f>IF($X347="","",IF(INDEX('Per Invoice'!R$2:R$401,$X347)="","",INDEX('Per Invoice'!R$2:R$401,$X347)))</f>
        <v/>
      </c>
      <c r="S347" s="7">
        <f>IF($X347="","",IF(INDEX('Per Invoice'!S$2:S$401,$X347)="","",INDEX('Per Invoice'!S$2:S$401,$X347)))</f>
        <v/>
      </c>
      <c r="T347" s="7">
        <f>IF($X347="","",IF(INDEX('Per Invoice'!T$2:T$401,$X347)="","",INDEX('Per Invoice'!T$2:T$401,$X347)))</f>
        <v/>
      </c>
      <c r="U347" s="7">
        <f>IF($X347="","",IF(INDEX('Per Invoice'!U$2:U$401,$X347)="","",INDEX('Per Invoice'!U$2:U$401,$X347)))</f>
        <v/>
      </c>
      <c r="V347" s="7">
        <f>IF($X347="","",IF(INDEX('Per Invoice'!V$2:V$401,$X347)="","",INDEX('Per Invoice'!V$2:V$401,$X347)))</f>
        <v/>
      </c>
      <c r="W347" s="7">
        <f>IF($X347="","",IF(INDEX('Per Invoice'!W$2:W$401,$X347)="","",INDEX('Per Invoice'!W$2:W$401,$X347)))</f>
        <v/>
      </c>
      <c r="X347" s="16">
        <f>IFERROR(MATCH(Settings!$C$33&amp;"|"&amp;ROWS($X$2:$X347),'Per Invoice'!$Y$2:$Y$401,0),"")</f>
        <v/>
      </c>
    </row>
    <row r="348">
      <c r="A348">
        <f>IF($X348="","",IF(INDEX('Per Invoice'!A$2:A$401,$X348)="","",INDEX('Per Invoice'!A$2:A$401,$X348)))</f>
        <v/>
      </c>
      <c r="B348">
        <f>IF($X348="","",IF(INDEX('Per Invoice'!B$2:B$401,$X348)="","",INDEX('Per Invoice'!B$2:B$401,$X348)))</f>
        <v/>
      </c>
      <c r="C348">
        <f>IF($X348="","",IF(INDEX('Per Invoice'!C$2:C$401,$X348)="","",INDEX('Per Invoice'!C$2:C$401,$X348)))</f>
        <v/>
      </c>
      <c r="D348">
        <f>IF($X348="","",IF(INDEX('Per Invoice'!D$2:D$401,$X348)="","",INDEX('Per Invoice'!D$2:D$401,$X348)))</f>
        <v/>
      </c>
      <c r="E348">
        <f>IF($X348="","",IF(INDEX('Per Invoice'!E$2:E$401,$X348)="","",INDEX('Per Invoice'!E$2:E$401,$X348)))</f>
        <v/>
      </c>
      <c r="F348">
        <f>IF($X348="","",IF(INDEX('Per Invoice'!F$2:F$401,$X348)="","",INDEX('Per Invoice'!F$2:F$401,$X348)))</f>
        <v/>
      </c>
      <c r="G348">
        <f>IF($X348="","",IF(INDEX('Per Invoice'!G$2:G$401,$X348)="","",INDEX('Per Invoice'!G$2:G$401,$X348)))</f>
        <v/>
      </c>
      <c r="H348">
        <f>IF($X348="","",IF(INDEX('Per Invoice'!H$2:H$401,$X348)="","",INDEX('Per Invoice'!H$2:H$401,$X348)))</f>
        <v/>
      </c>
      <c r="I348">
        <f>IF($X348="","",IF(INDEX('Per Invoice'!I$2:I$401,$X348)="","",INDEX('Per Invoice'!I$2:I$401,$X348)))</f>
        <v/>
      </c>
      <c r="J348">
        <f>IF($X348="","",IF(INDEX('Per Invoice'!J$2:J$401,$X348)="","",INDEX('Per Invoice'!J$2:J$401,$X348)))</f>
        <v/>
      </c>
      <c r="K348" s="14">
        <f>IF($X348="","",IF(INDEX('Per Invoice'!K$2:K$401,$X348)="","",INDEX('Per Invoice'!K$2:K$401,$X348)))</f>
        <v/>
      </c>
      <c r="L348">
        <f>IF($X348="","",IF(INDEX('Per Invoice'!L$2:L$401,$X348)="","",INDEX('Per Invoice'!L$2:L$401,$X348)))</f>
        <v/>
      </c>
      <c r="M348" s="7">
        <f>IF($X348="","",IF(INDEX('Per Invoice'!M$2:M$401,$X348)="","",INDEX('Per Invoice'!M$2:M$401,$X348)))</f>
        <v/>
      </c>
      <c r="N348">
        <f>IF($X348="","",IF(INDEX('Per Invoice'!N$2:N$401,$X348)="","",INDEX('Per Invoice'!N$2:N$401,$X348)))</f>
        <v/>
      </c>
      <c r="O348" s="7">
        <f>IF($X348="","",IF(INDEX('Per Invoice'!O$2:O$401,$X348)="","",INDEX('Per Invoice'!O$2:O$401,$X348)))</f>
        <v/>
      </c>
      <c r="P348" s="7">
        <f>IF($X348="","",IF(INDEX('Per Invoice'!P$2:P$401,$X348)="","",INDEX('Per Invoice'!P$2:P$401,$X348)))</f>
        <v/>
      </c>
      <c r="Q348">
        <f>IF($X348="","",IF(INDEX('Per Invoice'!Q$2:Q$401,$X348)="","",INDEX('Per Invoice'!Q$2:Q$401,$X348)))</f>
        <v/>
      </c>
      <c r="R348" s="7">
        <f>IF($X348="","",IF(INDEX('Per Invoice'!R$2:R$401,$X348)="","",INDEX('Per Invoice'!R$2:R$401,$X348)))</f>
        <v/>
      </c>
      <c r="S348" s="7">
        <f>IF($X348="","",IF(INDEX('Per Invoice'!S$2:S$401,$X348)="","",INDEX('Per Invoice'!S$2:S$401,$X348)))</f>
        <v/>
      </c>
      <c r="T348" s="7">
        <f>IF($X348="","",IF(INDEX('Per Invoice'!T$2:T$401,$X348)="","",INDEX('Per Invoice'!T$2:T$401,$X348)))</f>
        <v/>
      </c>
      <c r="U348" s="7">
        <f>IF($X348="","",IF(INDEX('Per Invoice'!U$2:U$401,$X348)="","",INDEX('Per Invoice'!U$2:U$401,$X348)))</f>
        <v/>
      </c>
      <c r="V348" s="7">
        <f>IF($X348="","",IF(INDEX('Per Invoice'!V$2:V$401,$X348)="","",INDEX('Per Invoice'!V$2:V$401,$X348)))</f>
        <v/>
      </c>
      <c r="W348" s="7">
        <f>IF($X348="","",IF(INDEX('Per Invoice'!W$2:W$401,$X348)="","",INDEX('Per Invoice'!W$2:W$401,$X348)))</f>
        <v/>
      </c>
      <c r="X348" s="16">
        <f>IFERROR(MATCH(Settings!$C$33&amp;"|"&amp;ROWS($X$2:$X348),'Per Invoice'!$Y$2:$Y$401,0),"")</f>
        <v/>
      </c>
    </row>
    <row r="349">
      <c r="A349">
        <f>IF($X349="","",IF(INDEX('Per Invoice'!A$2:A$401,$X349)="","",INDEX('Per Invoice'!A$2:A$401,$X349)))</f>
        <v/>
      </c>
      <c r="B349">
        <f>IF($X349="","",IF(INDEX('Per Invoice'!B$2:B$401,$X349)="","",INDEX('Per Invoice'!B$2:B$401,$X349)))</f>
        <v/>
      </c>
      <c r="C349">
        <f>IF($X349="","",IF(INDEX('Per Invoice'!C$2:C$401,$X349)="","",INDEX('Per Invoice'!C$2:C$401,$X349)))</f>
        <v/>
      </c>
      <c r="D349">
        <f>IF($X349="","",IF(INDEX('Per Invoice'!D$2:D$401,$X349)="","",INDEX('Per Invoice'!D$2:D$401,$X349)))</f>
        <v/>
      </c>
      <c r="E349">
        <f>IF($X349="","",IF(INDEX('Per Invoice'!E$2:E$401,$X349)="","",INDEX('Per Invoice'!E$2:E$401,$X349)))</f>
        <v/>
      </c>
      <c r="F349">
        <f>IF($X349="","",IF(INDEX('Per Invoice'!F$2:F$401,$X349)="","",INDEX('Per Invoice'!F$2:F$401,$X349)))</f>
        <v/>
      </c>
      <c r="G349">
        <f>IF($X349="","",IF(INDEX('Per Invoice'!G$2:G$401,$X349)="","",INDEX('Per Invoice'!G$2:G$401,$X349)))</f>
        <v/>
      </c>
      <c r="H349">
        <f>IF($X349="","",IF(INDEX('Per Invoice'!H$2:H$401,$X349)="","",INDEX('Per Invoice'!H$2:H$401,$X349)))</f>
        <v/>
      </c>
      <c r="I349">
        <f>IF($X349="","",IF(INDEX('Per Invoice'!I$2:I$401,$X349)="","",INDEX('Per Invoice'!I$2:I$401,$X349)))</f>
        <v/>
      </c>
      <c r="J349">
        <f>IF($X349="","",IF(INDEX('Per Invoice'!J$2:J$401,$X349)="","",INDEX('Per Invoice'!J$2:J$401,$X349)))</f>
        <v/>
      </c>
      <c r="K349" s="14">
        <f>IF($X349="","",IF(INDEX('Per Invoice'!K$2:K$401,$X349)="","",INDEX('Per Invoice'!K$2:K$401,$X349)))</f>
        <v/>
      </c>
      <c r="L349">
        <f>IF($X349="","",IF(INDEX('Per Invoice'!L$2:L$401,$X349)="","",INDEX('Per Invoice'!L$2:L$401,$X349)))</f>
        <v/>
      </c>
      <c r="M349" s="7">
        <f>IF($X349="","",IF(INDEX('Per Invoice'!M$2:M$401,$X349)="","",INDEX('Per Invoice'!M$2:M$401,$X349)))</f>
        <v/>
      </c>
      <c r="N349">
        <f>IF($X349="","",IF(INDEX('Per Invoice'!N$2:N$401,$X349)="","",INDEX('Per Invoice'!N$2:N$401,$X349)))</f>
        <v/>
      </c>
      <c r="O349" s="7">
        <f>IF($X349="","",IF(INDEX('Per Invoice'!O$2:O$401,$X349)="","",INDEX('Per Invoice'!O$2:O$401,$X349)))</f>
        <v/>
      </c>
      <c r="P349" s="7">
        <f>IF($X349="","",IF(INDEX('Per Invoice'!P$2:P$401,$X349)="","",INDEX('Per Invoice'!P$2:P$401,$X349)))</f>
        <v/>
      </c>
      <c r="Q349">
        <f>IF($X349="","",IF(INDEX('Per Invoice'!Q$2:Q$401,$X349)="","",INDEX('Per Invoice'!Q$2:Q$401,$X349)))</f>
        <v/>
      </c>
      <c r="R349" s="7">
        <f>IF($X349="","",IF(INDEX('Per Invoice'!R$2:R$401,$X349)="","",INDEX('Per Invoice'!R$2:R$401,$X349)))</f>
        <v/>
      </c>
      <c r="S349" s="7">
        <f>IF($X349="","",IF(INDEX('Per Invoice'!S$2:S$401,$X349)="","",INDEX('Per Invoice'!S$2:S$401,$X349)))</f>
        <v/>
      </c>
      <c r="T349" s="7">
        <f>IF($X349="","",IF(INDEX('Per Invoice'!T$2:T$401,$X349)="","",INDEX('Per Invoice'!T$2:T$401,$X349)))</f>
        <v/>
      </c>
      <c r="U349" s="7">
        <f>IF($X349="","",IF(INDEX('Per Invoice'!U$2:U$401,$X349)="","",INDEX('Per Invoice'!U$2:U$401,$X349)))</f>
        <v/>
      </c>
      <c r="V349" s="7">
        <f>IF($X349="","",IF(INDEX('Per Invoice'!V$2:V$401,$X349)="","",INDEX('Per Invoice'!V$2:V$401,$X349)))</f>
        <v/>
      </c>
      <c r="W349" s="7">
        <f>IF($X349="","",IF(INDEX('Per Invoice'!W$2:W$401,$X349)="","",INDEX('Per Invoice'!W$2:W$401,$X349)))</f>
        <v/>
      </c>
      <c r="X349" s="16">
        <f>IFERROR(MATCH(Settings!$C$33&amp;"|"&amp;ROWS($X$2:$X349),'Per Invoice'!$Y$2:$Y$401,0),"")</f>
        <v/>
      </c>
    </row>
    <row r="350">
      <c r="A350">
        <f>IF($X350="","",IF(INDEX('Per Invoice'!A$2:A$401,$X350)="","",INDEX('Per Invoice'!A$2:A$401,$X350)))</f>
        <v/>
      </c>
      <c r="B350">
        <f>IF($X350="","",IF(INDEX('Per Invoice'!B$2:B$401,$X350)="","",INDEX('Per Invoice'!B$2:B$401,$X350)))</f>
        <v/>
      </c>
      <c r="C350">
        <f>IF($X350="","",IF(INDEX('Per Invoice'!C$2:C$401,$X350)="","",INDEX('Per Invoice'!C$2:C$401,$X350)))</f>
        <v/>
      </c>
      <c r="D350">
        <f>IF($X350="","",IF(INDEX('Per Invoice'!D$2:D$401,$X350)="","",INDEX('Per Invoice'!D$2:D$401,$X350)))</f>
        <v/>
      </c>
      <c r="E350">
        <f>IF($X350="","",IF(INDEX('Per Invoice'!E$2:E$401,$X350)="","",INDEX('Per Invoice'!E$2:E$401,$X350)))</f>
        <v/>
      </c>
      <c r="F350">
        <f>IF($X350="","",IF(INDEX('Per Invoice'!F$2:F$401,$X350)="","",INDEX('Per Invoice'!F$2:F$401,$X350)))</f>
        <v/>
      </c>
      <c r="G350">
        <f>IF($X350="","",IF(INDEX('Per Invoice'!G$2:G$401,$X350)="","",INDEX('Per Invoice'!G$2:G$401,$X350)))</f>
        <v/>
      </c>
      <c r="H350">
        <f>IF($X350="","",IF(INDEX('Per Invoice'!H$2:H$401,$X350)="","",INDEX('Per Invoice'!H$2:H$401,$X350)))</f>
        <v/>
      </c>
      <c r="I350">
        <f>IF($X350="","",IF(INDEX('Per Invoice'!I$2:I$401,$X350)="","",INDEX('Per Invoice'!I$2:I$401,$X350)))</f>
        <v/>
      </c>
      <c r="J350">
        <f>IF($X350="","",IF(INDEX('Per Invoice'!J$2:J$401,$X350)="","",INDEX('Per Invoice'!J$2:J$401,$X350)))</f>
        <v/>
      </c>
      <c r="K350" s="14">
        <f>IF($X350="","",IF(INDEX('Per Invoice'!K$2:K$401,$X350)="","",INDEX('Per Invoice'!K$2:K$401,$X350)))</f>
        <v/>
      </c>
      <c r="L350">
        <f>IF($X350="","",IF(INDEX('Per Invoice'!L$2:L$401,$X350)="","",INDEX('Per Invoice'!L$2:L$401,$X350)))</f>
        <v/>
      </c>
      <c r="M350" s="7">
        <f>IF($X350="","",IF(INDEX('Per Invoice'!M$2:M$401,$X350)="","",INDEX('Per Invoice'!M$2:M$401,$X350)))</f>
        <v/>
      </c>
      <c r="N350">
        <f>IF($X350="","",IF(INDEX('Per Invoice'!N$2:N$401,$X350)="","",INDEX('Per Invoice'!N$2:N$401,$X350)))</f>
        <v/>
      </c>
      <c r="O350" s="7">
        <f>IF($X350="","",IF(INDEX('Per Invoice'!O$2:O$401,$X350)="","",INDEX('Per Invoice'!O$2:O$401,$X350)))</f>
        <v/>
      </c>
      <c r="P350" s="7">
        <f>IF($X350="","",IF(INDEX('Per Invoice'!P$2:P$401,$X350)="","",INDEX('Per Invoice'!P$2:P$401,$X350)))</f>
        <v/>
      </c>
      <c r="Q350">
        <f>IF($X350="","",IF(INDEX('Per Invoice'!Q$2:Q$401,$X350)="","",INDEX('Per Invoice'!Q$2:Q$401,$X350)))</f>
        <v/>
      </c>
      <c r="R350" s="7">
        <f>IF($X350="","",IF(INDEX('Per Invoice'!R$2:R$401,$X350)="","",INDEX('Per Invoice'!R$2:R$401,$X350)))</f>
        <v/>
      </c>
      <c r="S350" s="7">
        <f>IF($X350="","",IF(INDEX('Per Invoice'!S$2:S$401,$X350)="","",INDEX('Per Invoice'!S$2:S$401,$X350)))</f>
        <v/>
      </c>
      <c r="T350" s="7">
        <f>IF($X350="","",IF(INDEX('Per Invoice'!T$2:T$401,$X350)="","",INDEX('Per Invoice'!T$2:T$401,$X350)))</f>
        <v/>
      </c>
      <c r="U350" s="7">
        <f>IF($X350="","",IF(INDEX('Per Invoice'!U$2:U$401,$X350)="","",INDEX('Per Invoice'!U$2:U$401,$X350)))</f>
        <v/>
      </c>
      <c r="V350" s="7">
        <f>IF($X350="","",IF(INDEX('Per Invoice'!V$2:V$401,$X350)="","",INDEX('Per Invoice'!V$2:V$401,$X350)))</f>
        <v/>
      </c>
      <c r="W350" s="7">
        <f>IF($X350="","",IF(INDEX('Per Invoice'!W$2:W$401,$X350)="","",INDEX('Per Invoice'!W$2:W$401,$X350)))</f>
        <v/>
      </c>
      <c r="X350" s="16">
        <f>IFERROR(MATCH(Settings!$C$33&amp;"|"&amp;ROWS($X$2:$X350),'Per Invoice'!$Y$2:$Y$401,0),"")</f>
        <v/>
      </c>
    </row>
    <row r="351">
      <c r="A351">
        <f>IF($X351="","",IF(INDEX('Per Invoice'!A$2:A$401,$X351)="","",INDEX('Per Invoice'!A$2:A$401,$X351)))</f>
        <v/>
      </c>
      <c r="B351">
        <f>IF($X351="","",IF(INDEX('Per Invoice'!B$2:B$401,$X351)="","",INDEX('Per Invoice'!B$2:B$401,$X351)))</f>
        <v/>
      </c>
      <c r="C351">
        <f>IF($X351="","",IF(INDEX('Per Invoice'!C$2:C$401,$X351)="","",INDEX('Per Invoice'!C$2:C$401,$X351)))</f>
        <v/>
      </c>
      <c r="D351">
        <f>IF($X351="","",IF(INDEX('Per Invoice'!D$2:D$401,$X351)="","",INDEX('Per Invoice'!D$2:D$401,$X351)))</f>
        <v/>
      </c>
      <c r="E351">
        <f>IF($X351="","",IF(INDEX('Per Invoice'!E$2:E$401,$X351)="","",INDEX('Per Invoice'!E$2:E$401,$X351)))</f>
        <v/>
      </c>
      <c r="F351">
        <f>IF($X351="","",IF(INDEX('Per Invoice'!F$2:F$401,$X351)="","",INDEX('Per Invoice'!F$2:F$401,$X351)))</f>
        <v/>
      </c>
      <c r="G351">
        <f>IF($X351="","",IF(INDEX('Per Invoice'!G$2:G$401,$X351)="","",INDEX('Per Invoice'!G$2:G$401,$X351)))</f>
        <v/>
      </c>
      <c r="H351">
        <f>IF($X351="","",IF(INDEX('Per Invoice'!H$2:H$401,$X351)="","",INDEX('Per Invoice'!H$2:H$401,$X351)))</f>
        <v/>
      </c>
      <c r="I351">
        <f>IF($X351="","",IF(INDEX('Per Invoice'!I$2:I$401,$X351)="","",INDEX('Per Invoice'!I$2:I$401,$X351)))</f>
        <v/>
      </c>
      <c r="J351">
        <f>IF($X351="","",IF(INDEX('Per Invoice'!J$2:J$401,$X351)="","",INDEX('Per Invoice'!J$2:J$401,$X351)))</f>
        <v/>
      </c>
      <c r="K351" s="14">
        <f>IF($X351="","",IF(INDEX('Per Invoice'!K$2:K$401,$X351)="","",INDEX('Per Invoice'!K$2:K$401,$X351)))</f>
        <v/>
      </c>
      <c r="L351">
        <f>IF($X351="","",IF(INDEX('Per Invoice'!L$2:L$401,$X351)="","",INDEX('Per Invoice'!L$2:L$401,$X351)))</f>
        <v/>
      </c>
      <c r="M351" s="7">
        <f>IF($X351="","",IF(INDEX('Per Invoice'!M$2:M$401,$X351)="","",INDEX('Per Invoice'!M$2:M$401,$X351)))</f>
        <v/>
      </c>
      <c r="N351">
        <f>IF($X351="","",IF(INDEX('Per Invoice'!N$2:N$401,$X351)="","",INDEX('Per Invoice'!N$2:N$401,$X351)))</f>
        <v/>
      </c>
      <c r="O351" s="7">
        <f>IF($X351="","",IF(INDEX('Per Invoice'!O$2:O$401,$X351)="","",INDEX('Per Invoice'!O$2:O$401,$X351)))</f>
        <v/>
      </c>
      <c r="P351" s="7">
        <f>IF($X351="","",IF(INDEX('Per Invoice'!P$2:P$401,$X351)="","",INDEX('Per Invoice'!P$2:P$401,$X351)))</f>
        <v/>
      </c>
      <c r="Q351">
        <f>IF($X351="","",IF(INDEX('Per Invoice'!Q$2:Q$401,$X351)="","",INDEX('Per Invoice'!Q$2:Q$401,$X351)))</f>
        <v/>
      </c>
      <c r="R351" s="7">
        <f>IF($X351="","",IF(INDEX('Per Invoice'!R$2:R$401,$X351)="","",INDEX('Per Invoice'!R$2:R$401,$X351)))</f>
        <v/>
      </c>
      <c r="S351" s="7">
        <f>IF($X351="","",IF(INDEX('Per Invoice'!S$2:S$401,$X351)="","",INDEX('Per Invoice'!S$2:S$401,$X351)))</f>
        <v/>
      </c>
      <c r="T351" s="7">
        <f>IF($X351="","",IF(INDEX('Per Invoice'!T$2:T$401,$X351)="","",INDEX('Per Invoice'!T$2:T$401,$X351)))</f>
        <v/>
      </c>
      <c r="U351" s="7">
        <f>IF($X351="","",IF(INDEX('Per Invoice'!U$2:U$401,$X351)="","",INDEX('Per Invoice'!U$2:U$401,$X351)))</f>
        <v/>
      </c>
      <c r="V351" s="7">
        <f>IF($X351="","",IF(INDEX('Per Invoice'!V$2:V$401,$X351)="","",INDEX('Per Invoice'!V$2:V$401,$X351)))</f>
        <v/>
      </c>
      <c r="W351" s="7">
        <f>IF($X351="","",IF(INDEX('Per Invoice'!W$2:W$401,$X351)="","",INDEX('Per Invoice'!W$2:W$401,$X351)))</f>
        <v/>
      </c>
      <c r="X351" s="16">
        <f>IFERROR(MATCH(Settings!$C$33&amp;"|"&amp;ROWS($X$2:$X351),'Per Invoice'!$Y$2:$Y$401,0),"")</f>
        <v/>
      </c>
    </row>
    <row r="352">
      <c r="A352">
        <f>IF($X352="","",IF(INDEX('Per Invoice'!A$2:A$401,$X352)="","",INDEX('Per Invoice'!A$2:A$401,$X352)))</f>
        <v/>
      </c>
      <c r="B352">
        <f>IF($X352="","",IF(INDEX('Per Invoice'!B$2:B$401,$X352)="","",INDEX('Per Invoice'!B$2:B$401,$X352)))</f>
        <v/>
      </c>
      <c r="C352">
        <f>IF($X352="","",IF(INDEX('Per Invoice'!C$2:C$401,$X352)="","",INDEX('Per Invoice'!C$2:C$401,$X352)))</f>
        <v/>
      </c>
      <c r="D352">
        <f>IF($X352="","",IF(INDEX('Per Invoice'!D$2:D$401,$X352)="","",INDEX('Per Invoice'!D$2:D$401,$X352)))</f>
        <v/>
      </c>
      <c r="E352">
        <f>IF($X352="","",IF(INDEX('Per Invoice'!E$2:E$401,$X352)="","",INDEX('Per Invoice'!E$2:E$401,$X352)))</f>
        <v/>
      </c>
      <c r="F352">
        <f>IF($X352="","",IF(INDEX('Per Invoice'!F$2:F$401,$X352)="","",INDEX('Per Invoice'!F$2:F$401,$X352)))</f>
        <v/>
      </c>
      <c r="G352">
        <f>IF($X352="","",IF(INDEX('Per Invoice'!G$2:G$401,$X352)="","",INDEX('Per Invoice'!G$2:G$401,$X352)))</f>
        <v/>
      </c>
      <c r="H352">
        <f>IF($X352="","",IF(INDEX('Per Invoice'!H$2:H$401,$X352)="","",INDEX('Per Invoice'!H$2:H$401,$X352)))</f>
        <v/>
      </c>
      <c r="I352">
        <f>IF($X352="","",IF(INDEX('Per Invoice'!I$2:I$401,$X352)="","",INDEX('Per Invoice'!I$2:I$401,$X352)))</f>
        <v/>
      </c>
      <c r="J352">
        <f>IF($X352="","",IF(INDEX('Per Invoice'!J$2:J$401,$X352)="","",INDEX('Per Invoice'!J$2:J$401,$X352)))</f>
        <v/>
      </c>
      <c r="K352" s="14">
        <f>IF($X352="","",IF(INDEX('Per Invoice'!K$2:K$401,$X352)="","",INDEX('Per Invoice'!K$2:K$401,$X352)))</f>
        <v/>
      </c>
      <c r="L352">
        <f>IF($X352="","",IF(INDEX('Per Invoice'!L$2:L$401,$X352)="","",INDEX('Per Invoice'!L$2:L$401,$X352)))</f>
        <v/>
      </c>
      <c r="M352" s="7">
        <f>IF($X352="","",IF(INDEX('Per Invoice'!M$2:M$401,$X352)="","",INDEX('Per Invoice'!M$2:M$401,$X352)))</f>
        <v/>
      </c>
      <c r="N352">
        <f>IF($X352="","",IF(INDEX('Per Invoice'!N$2:N$401,$X352)="","",INDEX('Per Invoice'!N$2:N$401,$X352)))</f>
        <v/>
      </c>
      <c r="O352" s="7">
        <f>IF($X352="","",IF(INDEX('Per Invoice'!O$2:O$401,$X352)="","",INDEX('Per Invoice'!O$2:O$401,$X352)))</f>
        <v/>
      </c>
      <c r="P352" s="7">
        <f>IF($X352="","",IF(INDEX('Per Invoice'!P$2:P$401,$X352)="","",INDEX('Per Invoice'!P$2:P$401,$X352)))</f>
        <v/>
      </c>
      <c r="Q352">
        <f>IF($X352="","",IF(INDEX('Per Invoice'!Q$2:Q$401,$X352)="","",INDEX('Per Invoice'!Q$2:Q$401,$X352)))</f>
        <v/>
      </c>
      <c r="R352" s="7">
        <f>IF($X352="","",IF(INDEX('Per Invoice'!R$2:R$401,$X352)="","",INDEX('Per Invoice'!R$2:R$401,$X352)))</f>
        <v/>
      </c>
      <c r="S352" s="7">
        <f>IF($X352="","",IF(INDEX('Per Invoice'!S$2:S$401,$X352)="","",INDEX('Per Invoice'!S$2:S$401,$X352)))</f>
        <v/>
      </c>
      <c r="T352" s="7">
        <f>IF($X352="","",IF(INDEX('Per Invoice'!T$2:T$401,$X352)="","",INDEX('Per Invoice'!T$2:T$401,$X352)))</f>
        <v/>
      </c>
      <c r="U352" s="7">
        <f>IF($X352="","",IF(INDEX('Per Invoice'!U$2:U$401,$X352)="","",INDEX('Per Invoice'!U$2:U$401,$X352)))</f>
        <v/>
      </c>
      <c r="V352" s="7">
        <f>IF($X352="","",IF(INDEX('Per Invoice'!V$2:V$401,$X352)="","",INDEX('Per Invoice'!V$2:V$401,$X352)))</f>
        <v/>
      </c>
      <c r="W352" s="7">
        <f>IF($X352="","",IF(INDEX('Per Invoice'!W$2:W$401,$X352)="","",INDEX('Per Invoice'!W$2:W$401,$X352)))</f>
        <v/>
      </c>
      <c r="X352" s="16">
        <f>IFERROR(MATCH(Settings!$C$33&amp;"|"&amp;ROWS($X$2:$X352),'Per Invoice'!$Y$2:$Y$401,0),"")</f>
        <v/>
      </c>
    </row>
    <row r="353">
      <c r="A353">
        <f>IF($X353="","",IF(INDEX('Per Invoice'!A$2:A$401,$X353)="","",INDEX('Per Invoice'!A$2:A$401,$X353)))</f>
        <v/>
      </c>
      <c r="B353">
        <f>IF($X353="","",IF(INDEX('Per Invoice'!B$2:B$401,$X353)="","",INDEX('Per Invoice'!B$2:B$401,$X353)))</f>
        <v/>
      </c>
      <c r="C353">
        <f>IF($X353="","",IF(INDEX('Per Invoice'!C$2:C$401,$X353)="","",INDEX('Per Invoice'!C$2:C$401,$X353)))</f>
        <v/>
      </c>
      <c r="D353">
        <f>IF($X353="","",IF(INDEX('Per Invoice'!D$2:D$401,$X353)="","",INDEX('Per Invoice'!D$2:D$401,$X353)))</f>
        <v/>
      </c>
      <c r="E353">
        <f>IF($X353="","",IF(INDEX('Per Invoice'!E$2:E$401,$X353)="","",INDEX('Per Invoice'!E$2:E$401,$X353)))</f>
        <v/>
      </c>
      <c r="F353">
        <f>IF($X353="","",IF(INDEX('Per Invoice'!F$2:F$401,$X353)="","",INDEX('Per Invoice'!F$2:F$401,$X353)))</f>
        <v/>
      </c>
      <c r="G353">
        <f>IF($X353="","",IF(INDEX('Per Invoice'!G$2:G$401,$X353)="","",INDEX('Per Invoice'!G$2:G$401,$X353)))</f>
        <v/>
      </c>
      <c r="H353">
        <f>IF($X353="","",IF(INDEX('Per Invoice'!H$2:H$401,$X353)="","",INDEX('Per Invoice'!H$2:H$401,$X353)))</f>
        <v/>
      </c>
      <c r="I353">
        <f>IF($X353="","",IF(INDEX('Per Invoice'!I$2:I$401,$X353)="","",INDEX('Per Invoice'!I$2:I$401,$X353)))</f>
        <v/>
      </c>
      <c r="J353">
        <f>IF($X353="","",IF(INDEX('Per Invoice'!J$2:J$401,$X353)="","",INDEX('Per Invoice'!J$2:J$401,$X353)))</f>
        <v/>
      </c>
      <c r="K353" s="14">
        <f>IF($X353="","",IF(INDEX('Per Invoice'!K$2:K$401,$X353)="","",INDEX('Per Invoice'!K$2:K$401,$X353)))</f>
        <v/>
      </c>
      <c r="L353">
        <f>IF($X353="","",IF(INDEX('Per Invoice'!L$2:L$401,$X353)="","",INDEX('Per Invoice'!L$2:L$401,$X353)))</f>
        <v/>
      </c>
      <c r="M353" s="7">
        <f>IF($X353="","",IF(INDEX('Per Invoice'!M$2:M$401,$X353)="","",INDEX('Per Invoice'!M$2:M$401,$X353)))</f>
        <v/>
      </c>
      <c r="N353">
        <f>IF($X353="","",IF(INDEX('Per Invoice'!N$2:N$401,$X353)="","",INDEX('Per Invoice'!N$2:N$401,$X353)))</f>
        <v/>
      </c>
      <c r="O353" s="7">
        <f>IF($X353="","",IF(INDEX('Per Invoice'!O$2:O$401,$X353)="","",INDEX('Per Invoice'!O$2:O$401,$X353)))</f>
        <v/>
      </c>
      <c r="P353" s="7">
        <f>IF($X353="","",IF(INDEX('Per Invoice'!P$2:P$401,$X353)="","",INDEX('Per Invoice'!P$2:P$401,$X353)))</f>
        <v/>
      </c>
      <c r="Q353">
        <f>IF($X353="","",IF(INDEX('Per Invoice'!Q$2:Q$401,$X353)="","",INDEX('Per Invoice'!Q$2:Q$401,$X353)))</f>
        <v/>
      </c>
      <c r="R353" s="7">
        <f>IF($X353="","",IF(INDEX('Per Invoice'!R$2:R$401,$X353)="","",INDEX('Per Invoice'!R$2:R$401,$X353)))</f>
        <v/>
      </c>
      <c r="S353" s="7">
        <f>IF($X353="","",IF(INDEX('Per Invoice'!S$2:S$401,$X353)="","",INDEX('Per Invoice'!S$2:S$401,$X353)))</f>
        <v/>
      </c>
      <c r="T353" s="7">
        <f>IF($X353="","",IF(INDEX('Per Invoice'!T$2:T$401,$X353)="","",INDEX('Per Invoice'!T$2:T$401,$X353)))</f>
        <v/>
      </c>
      <c r="U353" s="7">
        <f>IF($X353="","",IF(INDEX('Per Invoice'!U$2:U$401,$X353)="","",INDEX('Per Invoice'!U$2:U$401,$X353)))</f>
        <v/>
      </c>
      <c r="V353" s="7">
        <f>IF($X353="","",IF(INDEX('Per Invoice'!V$2:V$401,$X353)="","",INDEX('Per Invoice'!V$2:V$401,$X353)))</f>
        <v/>
      </c>
      <c r="W353" s="7">
        <f>IF($X353="","",IF(INDEX('Per Invoice'!W$2:W$401,$X353)="","",INDEX('Per Invoice'!W$2:W$401,$X353)))</f>
        <v/>
      </c>
      <c r="X353" s="16">
        <f>IFERROR(MATCH(Settings!$C$33&amp;"|"&amp;ROWS($X$2:$X353),'Per Invoice'!$Y$2:$Y$401,0),"")</f>
        <v/>
      </c>
    </row>
    <row r="354">
      <c r="A354">
        <f>IF($X354="","",IF(INDEX('Per Invoice'!A$2:A$401,$X354)="","",INDEX('Per Invoice'!A$2:A$401,$X354)))</f>
        <v/>
      </c>
      <c r="B354">
        <f>IF($X354="","",IF(INDEX('Per Invoice'!B$2:B$401,$X354)="","",INDEX('Per Invoice'!B$2:B$401,$X354)))</f>
        <v/>
      </c>
      <c r="C354">
        <f>IF($X354="","",IF(INDEX('Per Invoice'!C$2:C$401,$X354)="","",INDEX('Per Invoice'!C$2:C$401,$X354)))</f>
        <v/>
      </c>
      <c r="D354">
        <f>IF($X354="","",IF(INDEX('Per Invoice'!D$2:D$401,$X354)="","",INDEX('Per Invoice'!D$2:D$401,$X354)))</f>
        <v/>
      </c>
      <c r="E354">
        <f>IF($X354="","",IF(INDEX('Per Invoice'!E$2:E$401,$X354)="","",INDEX('Per Invoice'!E$2:E$401,$X354)))</f>
        <v/>
      </c>
      <c r="F354">
        <f>IF($X354="","",IF(INDEX('Per Invoice'!F$2:F$401,$X354)="","",INDEX('Per Invoice'!F$2:F$401,$X354)))</f>
        <v/>
      </c>
      <c r="G354">
        <f>IF($X354="","",IF(INDEX('Per Invoice'!G$2:G$401,$X354)="","",INDEX('Per Invoice'!G$2:G$401,$X354)))</f>
        <v/>
      </c>
      <c r="H354">
        <f>IF($X354="","",IF(INDEX('Per Invoice'!H$2:H$401,$X354)="","",INDEX('Per Invoice'!H$2:H$401,$X354)))</f>
        <v/>
      </c>
      <c r="I354">
        <f>IF($X354="","",IF(INDEX('Per Invoice'!I$2:I$401,$X354)="","",INDEX('Per Invoice'!I$2:I$401,$X354)))</f>
        <v/>
      </c>
      <c r="J354">
        <f>IF($X354="","",IF(INDEX('Per Invoice'!J$2:J$401,$X354)="","",INDEX('Per Invoice'!J$2:J$401,$X354)))</f>
        <v/>
      </c>
      <c r="K354" s="14">
        <f>IF($X354="","",IF(INDEX('Per Invoice'!K$2:K$401,$X354)="","",INDEX('Per Invoice'!K$2:K$401,$X354)))</f>
        <v/>
      </c>
      <c r="L354">
        <f>IF($X354="","",IF(INDEX('Per Invoice'!L$2:L$401,$X354)="","",INDEX('Per Invoice'!L$2:L$401,$X354)))</f>
        <v/>
      </c>
      <c r="M354" s="7">
        <f>IF($X354="","",IF(INDEX('Per Invoice'!M$2:M$401,$X354)="","",INDEX('Per Invoice'!M$2:M$401,$X354)))</f>
        <v/>
      </c>
      <c r="N354">
        <f>IF($X354="","",IF(INDEX('Per Invoice'!N$2:N$401,$X354)="","",INDEX('Per Invoice'!N$2:N$401,$X354)))</f>
        <v/>
      </c>
      <c r="O354" s="7">
        <f>IF($X354="","",IF(INDEX('Per Invoice'!O$2:O$401,$X354)="","",INDEX('Per Invoice'!O$2:O$401,$X354)))</f>
        <v/>
      </c>
      <c r="P354" s="7">
        <f>IF($X354="","",IF(INDEX('Per Invoice'!P$2:P$401,$X354)="","",INDEX('Per Invoice'!P$2:P$401,$X354)))</f>
        <v/>
      </c>
      <c r="Q354">
        <f>IF($X354="","",IF(INDEX('Per Invoice'!Q$2:Q$401,$X354)="","",INDEX('Per Invoice'!Q$2:Q$401,$X354)))</f>
        <v/>
      </c>
      <c r="R354" s="7">
        <f>IF($X354="","",IF(INDEX('Per Invoice'!R$2:R$401,$X354)="","",INDEX('Per Invoice'!R$2:R$401,$X354)))</f>
        <v/>
      </c>
      <c r="S354" s="7">
        <f>IF($X354="","",IF(INDEX('Per Invoice'!S$2:S$401,$X354)="","",INDEX('Per Invoice'!S$2:S$401,$X354)))</f>
        <v/>
      </c>
      <c r="T354" s="7">
        <f>IF($X354="","",IF(INDEX('Per Invoice'!T$2:T$401,$X354)="","",INDEX('Per Invoice'!T$2:T$401,$X354)))</f>
        <v/>
      </c>
      <c r="U354" s="7">
        <f>IF($X354="","",IF(INDEX('Per Invoice'!U$2:U$401,$X354)="","",INDEX('Per Invoice'!U$2:U$401,$X354)))</f>
        <v/>
      </c>
      <c r="V354" s="7">
        <f>IF($X354="","",IF(INDEX('Per Invoice'!V$2:V$401,$X354)="","",INDEX('Per Invoice'!V$2:V$401,$X354)))</f>
        <v/>
      </c>
      <c r="W354" s="7">
        <f>IF($X354="","",IF(INDEX('Per Invoice'!W$2:W$401,$X354)="","",INDEX('Per Invoice'!W$2:W$401,$X354)))</f>
        <v/>
      </c>
      <c r="X354" s="16">
        <f>IFERROR(MATCH(Settings!$C$33&amp;"|"&amp;ROWS($X$2:$X354),'Per Invoice'!$Y$2:$Y$401,0),"")</f>
        <v/>
      </c>
    </row>
    <row r="355">
      <c r="A355">
        <f>IF($X355="","",IF(INDEX('Per Invoice'!A$2:A$401,$X355)="","",INDEX('Per Invoice'!A$2:A$401,$X355)))</f>
        <v/>
      </c>
      <c r="B355">
        <f>IF($X355="","",IF(INDEX('Per Invoice'!B$2:B$401,$X355)="","",INDEX('Per Invoice'!B$2:B$401,$X355)))</f>
        <v/>
      </c>
      <c r="C355">
        <f>IF($X355="","",IF(INDEX('Per Invoice'!C$2:C$401,$X355)="","",INDEX('Per Invoice'!C$2:C$401,$X355)))</f>
        <v/>
      </c>
      <c r="D355">
        <f>IF($X355="","",IF(INDEX('Per Invoice'!D$2:D$401,$X355)="","",INDEX('Per Invoice'!D$2:D$401,$X355)))</f>
        <v/>
      </c>
      <c r="E355">
        <f>IF($X355="","",IF(INDEX('Per Invoice'!E$2:E$401,$X355)="","",INDEX('Per Invoice'!E$2:E$401,$X355)))</f>
        <v/>
      </c>
      <c r="F355">
        <f>IF($X355="","",IF(INDEX('Per Invoice'!F$2:F$401,$X355)="","",INDEX('Per Invoice'!F$2:F$401,$X355)))</f>
        <v/>
      </c>
      <c r="G355">
        <f>IF($X355="","",IF(INDEX('Per Invoice'!G$2:G$401,$X355)="","",INDEX('Per Invoice'!G$2:G$401,$X355)))</f>
        <v/>
      </c>
      <c r="H355">
        <f>IF($X355="","",IF(INDEX('Per Invoice'!H$2:H$401,$X355)="","",INDEX('Per Invoice'!H$2:H$401,$X355)))</f>
        <v/>
      </c>
      <c r="I355">
        <f>IF($X355="","",IF(INDEX('Per Invoice'!I$2:I$401,$X355)="","",INDEX('Per Invoice'!I$2:I$401,$X355)))</f>
        <v/>
      </c>
      <c r="J355">
        <f>IF($X355="","",IF(INDEX('Per Invoice'!J$2:J$401,$X355)="","",INDEX('Per Invoice'!J$2:J$401,$X355)))</f>
        <v/>
      </c>
      <c r="K355" s="14">
        <f>IF($X355="","",IF(INDEX('Per Invoice'!K$2:K$401,$X355)="","",INDEX('Per Invoice'!K$2:K$401,$X355)))</f>
        <v/>
      </c>
      <c r="L355">
        <f>IF($X355="","",IF(INDEX('Per Invoice'!L$2:L$401,$X355)="","",INDEX('Per Invoice'!L$2:L$401,$X355)))</f>
        <v/>
      </c>
      <c r="M355" s="7">
        <f>IF($X355="","",IF(INDEX('Per Invoice'!M$2:M$401,$X355)="","",INDEX('Per Invoice'!M$2:M$401,$X355)))</f>
        <v/>
      </c>
      <c r="N355">
        <f>IF($X355="","",IF(INDEX('Per Invoice'!N$2:N$401,$X355)="","",INDEX('Per Invoice'!N$2:N$401,$X355)))</f>
        <v/>
      </c>
      <c r="O355" s="7">
        <f>IF($X355="","",IF(INDEX('Per Invoice'!O$2:O$401,$X355)="","",INDEX('Per Invoice'!O$2:O$401,$X355)))</f>
        <v/>
      </c>
      <c r="P355" s="7">
        <f>IF($X355="","",IF(INDEX('Per Invoice'!P$2:P$401,$X355)="","",INDEX('Per Invoice'!P$2:P$401,$X355)))</f>
        <v/>
      </c>
      <c r="Q355">
        <f>IF($X355="","",IF(INDEX('Per Invoice'!Q$2:Q$401,$X355)="","",INDEX('Per Invoice'!Q$2:Q$401,$X355)))</f>
        <v/>
      </c>
      <c r="R355" s="7">
        <f>IF($X355="","",IF(INDEX('Per Invoice'!R$2:R$401,$X355)="","",INDEX('Per Invoice'!R$2:R$401,$X355)))</f>
        <v/>
      </c>
      <c r="S355" s="7">
        <f>IF($X355="","",IF(INDEX('Per Invoice'!S$2:S$401,$X355)="","",INDEX('Per Invoice'!S$2:S$401,$X355)))</f>
        <v/>
      </c>
      <c r="T355" s="7">
        <f>IF($X355="","",IF(INDEX('Per Invoice'!T$2:T$401,$X355)="","",INDEX('Per Invoice'!T$2:T$401,$X355)))</f>
        <v/>
      </c>
      <c r="U355" s="7">
        <f>IF($X355="","",IF(INDEX('Per Invoice'!U$2:U$401,$X355)="","",INDEX('Per Invoice'!U$2:U$401,$X355)))</f>
        <v/>
      </c>
      <c r="V355" s="7">
        <f>IF($X355="","",IF(INDEX('Per Invoice'!V$2:V$401,$X355)="","",INDEX('Per Invoice'!V$2:V$401,$X355)))</f>
        <v/>
      </c>
      <c r="W355" s="7">
        <f>IF($X355="","",IF(INDEX('Per Invoice'!W$2:W$401,$X355)="","",INDEX('Per Invoice'!W$2:W$401,$X355)))</f>
        <v/>
      </c>
      <c r="X355" s="16">
        <f>IFERROR(MATCH(Settings!$C$33&amp;"|"&amp;ROWS($X$2:$X355),'Per Invoice'!$Y$2:$Y$401,0),"")</f>
        <v/>
      </c>
    </row>
    <row r="356">
      <c r="A356">
        <f>IF($X356="","",IF(INDEX('Per Invoice'!A$2:A$401,$X356)="","",INDEX('Per Invoice'!A$2:A$401,$X356)))</f>
        <v/>
      </c>
      <c r="B356">
        <f>IF($X356="","",IF(INDEX('Per Invoice'!B$2:B$401,$X356)="","",INDEX('Per Invoice'!B$2:B$401,$X356)))</f>
        <v/>
      </c>
      <c r="C356">
        <f>IF($X356="","",IF(INDEX('Per Invoice'!C$2:C$401,$X356)="","",INDEX('Per Invoice'!C$2:C$401,$X356)))</f>
        <v/>
      </c>
      <c r="D356">
        <f>IF($X356="","",IF(INDEX('Per Invoice'!D$2:D$401,$X356)="","",INDEX('Per Invoice'!D$2:D$401,$X356)))</f>
        <v/>
      </c>
      <c r="E356">
        <f>IF($X356="","",IF(INDEX('Per Invoice'!E$2:E$401,$X356)="","",INDEX('Per Invoice'!E$2:E$401,$X356)))</f>
        <v/>
      </c>
      <c r="F356">
        <f>IF($X356="","",IF(INDEX('Per Invoice'!F$2:F$401,$X356)="","",INDEX('Per Invoice'!F$2:F$401,$X356)))</f>
        <v/>
      </c>
      <c r="G356">
        <f>IF($X356="","",IF(INDEX('Per Invoice'!G$2:G$401,$X356)="","",INDEX('Per Invoice'!G$2:G$401,$X356)))</f>
        <v/>
      </c>
      <c r="H356">
        <f>IF($X356="","",IF(INDEX('Per Invoice'!H$2:H$401,$X356)="","",INDEX('Per Invoice'!H$2:H$401,$X356)))</f>
        <v/>
      </c>
      <c r="I356">
        <f>IF($X356="","",IF(INDEX('Per Invoice'!I$2:I$401,$X356)="","",INDEX('Per Invoice'!I$2:I$401,$X356)))</f>
        <v/>
      </c>
      <c r="J356">
        <f>IF($X356="","",IF(INDEX('Per Invoice'!J$2:J$401,$X356)="","",INDEX('Per Invoice'!J$2:J$401,$X356)))</f>
        <v/>
      </c>
      <c r="K356" s="14">
        <f>IF($X356="","",IF(INDEX('Per Invoice'!K$2:K$401,$X356)="","",INDEX('Per Invoice'!K$2:K$401,$X356)))</f>
        <v/>
      </c>
      <c r="L356">
        <f>IF($X356="","",IF(INDEX('Per Invoice'!L$2:L$401,$X356)="","",INDEX('Per Invoice'!L$2:L$401,$X356)))</f>
        <v/>
      </c>
      <c r="M356" s="7">
        <f>IF($X356="","",IF(INDEX('Per Invoice'!M$2:M$401,$X356)="","",INDEX('Per Invoice'!M$2:M$401,$X356)))</f>
        <v/>
      </c>
      <c r="N356">
        <f>IF($X356="","",IF(INDEX('Per Invoice'!N$2:N$401,$X356)="","",INDEX('Per Invoice'!N$2:N$401,$X356)))</f>
        <v/>
      </c>
      <c r="O356" s="7">
        <f>IF($X356="","",IF(INDEX('Per Invoice'!O$2:O$401,$X356)="","",INDEX('Per Invoice'!O$2:O$401,$X356)))</f>
        <v/>
      </c>
      <c r="P356" s="7">
        <f>IF($X356="","",IF(INDEX('Per Invoice'!P$2:P$401,$X356)="","",INDEX('Per Invoice'!P$2:P$401,$X356)))</f>
        <v/>
      </c>
      <c r="Q356">
        <f>IF($X356="","",IF(INDEX('Per Invoice'!Q$2:Q$401,$X356)="","",INDEX('Per Invoice'!Q$2:Q$401,$X356)))</f>
        <v/>
      </c>
      <c r="R356" s="7">
        <f>IF($X356="","",IF(INDEX('Per Invoice'!R$2:R$401,$X356)="","",INDEX('Per Invoice'!R$2:R$401,$X356)))</f>
        <v/>
      </c>
      <c r="S356" s="7">
        <f>IF($X356="","",IF(INDEX('Per Invoice'!S$2:S$401,$X356)="","",INDEX('Per Invoice'!S$2:S$401,$X356)))</f>
        <v/>
      </c>
      <c r="T356" s="7">
        <f>IF($X356="","",IF(INDEX('Per Invoice'!T$2:T$401,$X356)="","",INDEX('Per Invoice'!T$2:T$401,$X356)))</f>
        <v/>
      </c>
      <c r="U356" s="7">
        <f>IF($X356="","",IF(INDEX('Per Invoice'!U$2:U$401,$X356)="","",INDEX('Per Invoice'!U$2:U$401,$X356)))</f>
        <v/>
      </c>
      <c r="V356" s="7">
        <f>IF($X356="","",IF(INDEX('Per Invoice'!V$2:V$401,$X356)="","",INDEX('Per Invoice'!V$2:V$401,$X356)))</f>
        <v/>
      </c>
      <c r="W356" s="7">
        <f>IF($X356="","",IF(INDEX('Per Invoice'!W$2:W$401,$X356)="","",INDEX('Per Invoice'!W$2:W$401,$X356)))</f>
        <v/>
      </c>
      <c r="X356" s="16">
        <f>IFERROR(MATCH(Settings!$C$33&amp;"|"&amp;ROWS($X$2:$X356),'Per Invoice'!$Y$2:$Y$401,0),"")</f>
        <v/>
      </c>
    </row>
    <row r="357">
      <c r="A357">
        <f>IF($X357="","",IF(INDEX('Per Invoice'!A$2:A$401,$X357)="","",INDEX('Per Invoice'!A$2:A$401,$X357)))</f>
        <v/>
      </c>
      <c r="B357">
        <f>IF($X357="","",IF(INDEX('Per Invoice'!B$2:B$401,$X357)="","",INDEX('Per Invoice'!B$2:B$401,$X357)))</f>
        <v/>
      </c>
      <c r="C357">
        <f>IF($X357="","",IF(INDEX('Per Invoice'!C$2:C$401,$X357)="","",INDEX('Per Invoice'!C$2:C$401,$X357)))</f>
        <v/>
      </c>
      <c r="D357">
        <f>IF($X357="","",IF(INDEX('Per Invoice'!D$2:D$401,$X357)="","",INDEX('Per Invoice'!D$2:D$401,$X357)))</f>
        <v/>
      </c>
      <c r="E357">
        <f>IF($X357="","",IF(INDEX('Per Invoice'!E$2:E$401,$X357)="","",INDEX('Per Invoice'!E$2:E$401,$X357)))</f>
        <v/>
      </c>
      <c r="F357">
        <f>IF($X357="","",IF(INDEX('Per Invoice'!F$2:F$401,$X357)="","",INDEX('Per Invoice'!F$2:F$401,$X357)))</f>
        <v/>
      </c>
      <c r="G357">
        <f>IF($X357="","",IF(INDEX('Per Invoice'!G$2:G$401,$X357)="","",INDEX('Per Invoice'!G$2:G$401,$X357)))</f>
        <v/>
      </c>
      <c r="H357">
        <f>IF($X357="","",IF(INDEX('Per Invoice'!H$2:H$401,$X357)="","",INDEX('Per Invoice'!H$2:H$401,$X357)))</f>
        <v/>
      </c>
      <c r="I357">
        <f>IF($X357="","",IF(INDEX('Per Invoice'!I$2:I$401,$X357)="","",INDEX('Per Invoice'!I$2:I$401,$X357)))</f>
        <v/>
      </c>
      <c r="J357">
        <f>IF($X357="","",IF(INDEX('Per Invoice'!J$2:J$401,$X357)="","",INDEX('Per Invoice'!J$2:J$401,$X357)))</f>
        <v/>
      </c>
      <c r="K357" s="14">
        <f>IF($X357="","",IF(INDEX('Per Invoice'!K$2:K$401,$X357)="","",INDEX('Per Invoice'!K$2:K$401,$X357)))</f>
        <v/>
      </c>
      <c r="L357">
        <f>IF($X357="","",IF(INDEX('Per Invoice'!L$2:L$401,$X357)="","",INDEX('Per Invoice'!L$2:L$401,$X357)))</f>
        <v/>
      </c>
      <c r="M357" s="7">
        <f>IF($X357="","",IF(INDEX('Per Invoice'!M$2:M$401,$X357)="","",INDEX('Per Invoice'!M$2:M$401,$X357)))</f>
        <v/>
      </c>
      <c r="N357">
        <f>IF($X357="","",IF(INDEX('Per Invoice'!N$2:N$401,$X357)="","",INDEX('Per Invoice'!N$2:N$401,$X357)))</f>
        <v/>
      </c>
      <c r="O357" s="7">
        <f>IF($X357="","",IF(INDEX('Per Invoice'!O$2:O$401,$X357)="","",INDEX('Per Invoice'!O$2:O$401,$X357)))</f>
        <v/>
      </c>
      <c r="P357" s="7">
        <f>IF($X357="","",IF(INDEX('Per Invoice'!P$2:P$401,$X357)="","",INDEX('Per Invoice'!P$2:P$401,$X357)))</f>
        <v/>
      </c>
      <c r="Q357">
        <f>IF($X357="","",IF(INDEX('Per Invoice'!Q$2:Q$401,$X357)="","",INDEX('Per Invoice'!Q$2:Q$401,$X357)))</f>
        <v/>
      </c>
      <c r="R357" s="7">
        <f>IF($X357="","",IF(INDEX('Per Invoice'!R$2:R$401,$X357)="","",INDEX('Per Invoice'!R$2:R$401,$X357)))</f>
        <v/>
      </c>
      <c r="S357" s="7">
        <f>IF($X357="","",IF(INDEX('Per Invoice'!S$2:S$401,$X357)="","",INDEX('Per Invoice'!S$2:S$401,$X357)))</f>
        <v/>
      </c>
      <c r="T357" s="7">
        <f>IF($X357="","",IF(INDEX('Per Invoice'!T$2:T$401,$X357)="","",INDEX('Per Invoice'!T$2:T$401,$X357)))</f>
        <v/>
      </c>
      <c r="U357" s="7">
        <f>IF($X357="","",IF(INDEX('Per Invoice'!U$2:U$401,$X357)="","",INDEX('Per Invoice'!U$2:U$401,$X357)))</f>
        <v/>
      </c>
      <c r="V357" s="7">
        <f>IF($X357="","",IF(INDEX('Per Invoice'!V$2:V$401,$X357)="","",INDEX('Per Invoice'!V$2:V$401,$X357)))</f>
        <v/>
      </c>
      <c r="W357" s="7">
        <f>IF($X357="","",IF(INDEX('Per Invoice'!W$2:W$401,$X357)="","",INDEX('Per Invoice'!W$2:W$401,$X357)))</f>
        <v/>
      </c>
      <c r="X357" s="16">
        <f>IFERROR(MATCH(Settings!$C$33&amp;"|"&amp;ROWS($X$2:$X357),'Per Invoice'!$Y$2:$Y$401,0),"")</f>
        <v/>
      </c>
    </row>
    <row r="358">
      <c r="A358">
        <f>IF($X358="","",IF(INDEX('Per Invoice'!A$2:A$401,$X358)="","",INDEX('Per Invoice'!A$2:A$401,$X358)))</f>
        <v/>
      </c>
      <c r="B358">
        <f>IF($X358="","",IF(INDEX('Per Invoice'!B$2:B$401,$X358)="","",INDEX('Per Invoice'!B$2:B$401,$X358)))</f>
        <v/>
      </c>
      <c r="C358">
        <f>IF($X358="","",IF(INDEX('Per Invoice'!C$2:C$401,$X358)="","",INDEX('Per Invoice'!C$2:C$401,$X358)))</f>
        <v/>
      </c>
      <c r="D358">
        <f>IF($X358="","",IF(INDEX('Per Invoice'!D$2:D$401,$X358)="","",INDEX('Per Invoice'!D$2:D$401,$X358)))</f>
        <v/>
      </c>
      <c r="E358">
        <f>IF($X358="","",IF(INDEX('Per Invoice'!E$2:E$401,$X358)="","",INDEX('Per Invoice'!E$2:E$401,$X358)))</f>
        <v/>
      </c>
      <c r="F358">
        <f>IF($X358="","",IF(INDEX('Per Invoice'!F$2:F$401,$X358)="","",INDEX('Per Invoice'!F$2:F$401,$X358)))</f>
        <v/>
      </c>
      <c r="G358">
        <f>IF($X358="","",IF(INDEX('Per Invoice'!G$2:G$401,$X358)="","",INDEX('Per Invoice'!G$2:G$401,$X358)))</f>
        <v/>
      </c>
      <c r="H358">
        <f>IF($X358="","",IF(INDEX('Per Invoice'!H$2:H$401,$X358)="","",INDEX('Per Invoice'!H$2:H$401,$X358)))</f>
        <v/>
      </c>
      <c r="I358">
        <f>IF($X358="","",IF(INDEX('Per Invoice'!I$2:I$401,$X358)="","",INDEX('Per Invoice'!I$2:I$401,$X358)))</f>
        <v/>
      </c>
      <c r="J358">
        <f>IF($X358="","",IF(INDEX('Per Invoice'!J$2:J$401,$X358)="","",INDEX('Per Invoice'!J$2:J$401,$X358)))</f>
        <v/>
      </c>
      <c r="K358" s="14">
        <f>IF($X358="","",IF(INDEX('Per Invoice'!K$2:K$401,$X358)="","",INDEX('Per Invoice'!K$2:K$401,$X358)))</f>
        <v/>
      </c>
      <c r="L358">
        <f>IF($X358="","",IF(INDEX('Per Invoice'!L$2:L$401,$X358)="","",INDEX('Per Invoice'!L$2:L$401,$X358)))</f>
        <v/>
      </c>
      <c r="M358" s="7">
        <f>IF($X358="","",IF(INDEX('Per Invoice'!M$2:M$401,$X358)="","",INDEX('Per Invoice'!M$2:M$401,$X358)))</f>
        <v/>
      </c>
      <c r="N358">
        <f>IF($X358="","",IF(INDEX('Per Invoice'!N$2:N$401,$X358)="","",INDEX('Per Invoice'!N$2:N$401,$X358)))</f>
        <v/>
      </c>
      <c r="O358" s="7">
        <f>IF($X358="","",IF(INDEX('Per Invoice'!O$2:O$401,$X358)="","",INDEX('Per Invoice'!O$2:O$401,$X358)))</f>
        <v/>
      </c>
      <c r="P358" s="7">
        <f>IF($X358="","",IF(INDEX('Per Invoice'!P$2:P$401,$X358)="","",INDEX('Per Invoice'!P$2:P$401,$X358)))</f>
        <v/>
      </c>
      <c r="Q358">
        <f>IF($X358="","",IF(INDEX('Per Invoice'!Q$2:Q$401,$X358)="","",INDEX('Per Invoice'!Q$2:Q$401,$X358)))</f>
        <v/>
      </c>
      <c r="R358" s="7">
        <f>IF($X358="","",IF(INDEX('Per Invoice'!R$2:R$401,$X358)="","",INDEX('Per Invoice'!R$2:R$401,$X358)))</f>
        <v/>
      </c>
      <c r="S358" s="7">
        <f>IF($X358="","",IF(INDEX('Per Invoice'!S$2:S$401,$X358)="","",INDEX('Per Invoice'!S$2:S$401,$X358)))</f>
        <v/>
      </c>
      <c r="T358" s="7">
        <f>IF($X358="","",IF(INDEX('Per Invoice'!T$2:T$401,$X358)="","",INDEX('Per Invoice'!T$2:T$401,$X358)))</f>
        <v/>
      </c>
      <c r="U358" s="7">
        <f>IF($X358="","",IF(INDEX('Per Invoice'!U$2:U$401,$X358)="","",INDEX('Per Invoice'!U$2:U$401,$X358)))</f>
        <v/>
      </c>
      <c r="V358" s="7">
        <f>IF($X358="","",IF(INDEX('Per Invoice'!V$2:V$401,$X358)="","",INDEX('Per Invoice'!V$2:V$401,$X358)))</f>
        <v/>
      </c>
      <c r="W358" s="7">
        <f>IF($X358="","",IF(INDEX('Per Invoice'!W$2:W$401,$X358)="","",INDEX('Per Invoice'!W$2:W$401,$X358)))</f>
        <v/>
      </c>
      <c r="X358" s="16">
        <f>IFERROR(MATCH(Settings!$C$33&amp;"|"&amp;ROWS($X$2:$X358),'Per Invoice'!$Y$2:$Y$401,0),"")</f>
        <v/>
      </c>
    </row>
    <row r="359">
      <c r="A359">
        <f>IF($X359="","",IF(INDEX('Per Invoice'!A$2:A$401,$X359)="","",INDEX('Per Invoice'!A$2:A$401,$X359)))</f>
        <v/>
      </c>
      <c r="B359">
        <f>IF($X359="","",IF(INDEX('Per Invoice'!B$2:B$401,$X359)="","",INDEX('Per Invoice'!B$2:B$401,$X359)))</f>
        <v/>
      </c>
      <c r="C359">
        <f>IF($X359="","",IF(INDEX('Per Invoice'!C$2:C$401,$X359)="","",INDEX('Per Invoice'!C$2:C$401,$X359)))</f>
        <v/>
      </c>
      <c r="D359">
        <f>IF($X359="","",IF(INDEX('Per Invoice'!D$2:D$401,$X359)="","",INDEX('Per Invoice'!D$2:D$401,$X359)))</f>
        <v/>
      </c>
      <c r="E359">
        <f>IF($X359="","",IF(INDEX('Per Invoice'!E$2:E$401,$X359)="","",INDEX('Per Invoice'!E$2:E$401,$X359)))</f>
        <v/>
      </c>
      <c r="F359">
        <f>IF($X359="","",IF(INDEX('Per Invoice'!F$2:F$401,$X359)="","",INDEX('Per Invoice'!F$2:F$401,$X359)))</f>
        <v/>
      </c>
      <c r="G359">
        <f>IF($X359="","",IF(INDEX('Per Invoice'!G$2:G$401,$X359)="","",INDEX('Per Invoice'!G$2:G$401,$X359)))</f>
        <v/>
      </c>
      <c r="H359">
        <f>IF($X359="","",IF(INDEX('Per Invoice'!H$2:H$401,$X359)="","",INDEX('Per Invoice'!H$2:H$401,$X359)))</f>
        <v/>
      </c>
      <c r="I359">
        <f>IF($X359="","",IF(INDEX('Per Invoice'!I$2:I$401,$X359)="","",INDEX('Per Invoice'!I$2:I$401,$X359)))</f>
        <v/>
      </c>
      <c r="J359">
        <f>IF($X359="","",IF(INDEX('Per Invoice'!J$2:J$401,$X359)="","",INDEX('Per Invoice'!J$2:J$401,$X359)))</f>
        <v/>
      </c>
      <c r="K359" s="14">
        <f>IF($X359="","",IF(INDEX('Per Invoice'!K$2:K$401,$X359)="","",INDEX('Per Invoice'!K$2:K$401,$X359)))</f>
        <v/>
      </c>
      <c r="L359">
        <f>IF($X359="","",IF(INDEX('Per Invoice'!L$2:L$401,$X359)="","",INDEX('Per Invoice'!L$2:L$401,$X359)))</f>
        <v/>
      </c>
      <c r="M359" s="7">
        <f>IF($X359="","",IF(INDEX('Per Invoice'!M$2:M$401,$X359)="","",INDEX('Per Invoice'!M$2:M$401,$X359)))</f>
        <v/>
      </c>
      <c r="N359">
        <f>IF($X359="","",IF(INDEX('Per Invoice'!N$2:N$401,$X359)="","",INDEX('Per Invoice'!N$2:N$401,$X359)))</f>
        <v/>
      </c>
      <c r="O359" s="7">
        <f>IF($X359="","",IF(INDEX('Per Invoice'!O$2:O$401,$X359)="","",INDEX('Per Invoice'!O$2:O$401,$X359)))</f>
        <v/>
      </c>
      <c r="P359" s="7">
        <f>IF($X359="","",IF(INDEX('Per Invoice'!P$2:P$401,$X359)="","",INDEX('Per Invoice'!P$2:P$401,$X359)))</f>
        <v/>
      </c>
      <c r="Q359">
        <f>IF($X359="","",IF(INDEX('Per Invoice'!Q$2:Q$401,$X359)="","",INDEX('Per Invoice'!Q$2:Q$401,$X359)))</f>
        <v/>
      </c>
      <c r="R359" s="7">
        <f>IF($X359="","",IF(INDEX('Per Invoice'!R$2:R$401,$X359)="","",INDEX('Per Invoice'!R$2:R$401,$X359)))</f>
        <v/>
      </c>
      <c r="S359" s="7">
        <f>IF($X359="","",IF(INDEX('Per Invoice'!S$2:S$401,$X359)="","",INDEX('Per Invoice'!S$2:S$401,$X359)))</f>
        <v/>
      </c>
      <c r="T359" s="7">
        <f>IF($X359="","",IF(INDEX('Per Invoice'!T$2:T$401,$X359)="","",INDEX('Per Invoice'!T$2:T$401,$X359)))</f>
        <v/>
      </c>
      <c r="U359" s="7">
        <f>IF($X359="","",IF(INDEX('Per Invoice'!U$2:U$401,$X359)="","",INDEX('Per Invoice'!U$2:U$401,$X359)))</f>
        <v/>
      </c>
      <c r="V359" s="7">
        <f>IF($X359="","",IF(INDEX('Per Invoice'!V$2:V$401,$X359)="","",INDEX('Per Invoice'!V$2:V$401,$X359)))</f>
        <v/>
      </c>
      <c r="W359" s="7">
        <f>IF($X359="","",IF(INDEX('Per Invoice'!W$2:W$401,$X359)="","",INDEX('Per Invoice'!W$2:W$401,$X359)))</f>
        <v/>
      </c>
      <c r="X359" s="16">
        <f>IFERROR(MATCH(Settings!$C$33&amp;"|"&amp;ROWS($X$2:$X359),'Per Invoice'!$Y$2:$Y$401,0),"")</f>
        <v/>
      </c>
    </row>
    <row r="360">
      <c r="A360">
        <f>IF($X360="","",IF(INDEX('Per Invoice'!A$2:A$401,$X360)="","",INDEX('Per Invoice'!A$2:A$401,$X360)))</f>
        <v/>
      </c>
      <c r="B360">
        <f>IF($X360="","",IF(INDEX('Per Invoice'!B$2:B$401,$X360)="","",INDEX('Per Invoice'!B$2:B$401,$X360)))</f>
        <v/>
      </c>
      <c r="C360">
        <f>IF($X360="","",IF(INDEX('Per Invoice'!C$2:C$401,$X360)="","",INDEX('Per Invoice'!C$2:C$401,$X360)))</f>
        <v/>
      </c>
      <c r="D360">
        <f>IF($X360="","",IF(INDEX('Per Invoice'!D$2:D$401,$X360)="","",INDEX('Per Invoice'!D$2:D$401,$X360)))</f>
        <v/>
      </c>
      <c r="E360">
        <f>IF($X360="","",IF(INDEX('Per Invoice'!E$2:E$401,$X360)="","",INDEX('Per Invoice'!E$2:E$401,$X360)))</f>
        <v/>
      </c>
      <c r="F360">
        <f>IF($X360="","",IF(INDEX('Per Invoice'!F$2:F$401,$X360)="","",INDEX('Per Invoice'!F$2:F$401,$X360)))</f>
        <v/>
      </c>
      <c r="G360">
        <f>IF($X360="","",IF(INDEX('Per Invoice'!G$2:G$401,$X360)="","",INDEX('Per Invoice'!G$2:G$401,$X360)))</f>
        <v/>
      </c>
      <c r="H360">
        <f>IF($X360="","",IF(INDEX('Per Invoice'!H$2:H$401,$X360)="","",INDEX('Per Invoice'!H$2:H$401,$X360)))</f>
        <v/>
      </c>
      <c r="I360">
        <f>IF($X360="","",IF(INDEX('Per Invoice'!I$2:I$401,$X360)="","",INDEX('Per Invoice'!I$2:I$401,$X360)))</f>
        <v/>
      </c>
      <c r="J360">
        <f>IF($X360="","",IF(INDEX('Per Invoice'!J$2:J$401,$X360)="","",INDEX('Per Invoice'!J$2:J$401,$X360)))</f>
        <v/>
      </c>
      <c r="K360" s="14">
        <f>IF($X360="","",IF(INDEX('Per Invoice'!K$2:K$401,$X360)="","",INDEX('Per Invoice'!K$2:K$401,$X360)))</f>
        <v/>
      </c>
      <c r="L360">
        <f>IF($X360="","",IF(INDEX('Per Invoice'!L$2:L$401,$X360)="","",INDEX('Per Invoice'!L$2:L$401,$X360)))</f>
        <v/>
      </c>
      <c r="M360" s="7">
        <f>IF($X360="","",IF(INDEX('Per Invoice'!M$2:M$401,$X360)="","",INDEX('Per Invoice'!M$2:M$401,$X360)))</f>
        <v/>
      </c>
      <c r="N360">
        <f>IF($X360="","",IF(INDEX('Per Invoice'!N$2:N$401,$X360)="","",INDEX('Per Invoice'!N$2:N$401,$X360)))</f>
        <v/>
      </c>
      <c r="O360" s="7">
        <f>IF($X360="","",IF(INDEX('Per Invoice'!O$2:O$401,$X360)="","",INDEX('Per Invoice'!O$2:O$401,$X360)))</f>
        <v/>
      </c>
      <c r="P360" s="7">
        <f>IF($X360="","",IF(INDEX('Per Invoice'!P$2:P$401,$X360)="","",INDEX('Per Invoice'!P$2:P$401,$X360)))</f>
        <v/>
      </c>
      <c r="Q360">
        <f>IF($X360="","",IF(INDEX('Per Invoice'!Q$2:Q$401,$X360)="","",INDEX('Per Invoice'!Q$2:Q$401,$X360)))</f>
        <v/>
      </c>
      <c r="R360" s="7">
        <f>IF($X360="","",IF(INDEX('Per Invoice'!R$2:R$401,$X360)="","",INDEX('Per Invoice'!R$2:R$401,$X360)))</f>
        <v/>
      </c>
      <c r="S360" s="7">
        <f>IF($X360="","",IF(INDEX('Per Invoice'!S$2:S$401,$X360)="","",INDEX('Per Invoice'!S$2:S$401,$X360)))</f>
        <v/>
      </c>
      <c r="T360" s="7">
        <f>IF($X360="","",IF(INDEX('Per Invoice'!T$2:T$401,$X360)="","",INDEX('Per Invoice'!T$2:T$401,$X360)))</f>
        <v/>
      </c>
      <c r="U360" s="7">
        <f>IF($X360="","",IF(INDEX('Per Invoice'!U$2:U$401,$X360)="","",INDEX('Per Invoice'!U$2:U$401,$X360)))</f>
        <v/>
      </c>
      <c r="V360" s="7">
        <f>IF($X360="","",IF(INDEX('Per Invoice'!V$2:V$401,$X360)="","",INDEX('Per Invoice'!V$2:V$401,$X360)))</f>
        <v/>
      </c>
      <c r="W360" s="7">
        <f>IF($X360="","",IF(INDEX('Per Invoice'!W$2:W$401,$X360)="","",INDEX('Per Invoice'!W$2:W$401,$X360)))</f>
        <v/>
      </c>
      <c r="X360" s="16">
        <f>IFERROR(MATCH(Settings!$C$33&amp;"|"&amp;ROWS($X$2:$X360),'Per Invoice'!$Y$2:$Y$401,0),"")</f>
        <v/>
      </c>
    </row>
    <row r="361">
      <c r="A361">
        <f>IF($X361="","",IF(INDEX('Per Invoice'!A$2:A$401,$X361)="","",INDEX('Per Invoice'!A$2:A$401,$X361)))</f>
        <v/>
      </c>
      <c r="B361">
        <f>IF($X361="","",IF(INDEX('Per Invoice'!B$2:B$401,$X361)="","",INDEX('Per Invoice'!B$2:B$401,$X361)))</f>
        <v/>
      </c>
      <c r="C361">
        <f>IF($X361="","",IF(INDEX('Per Invoice'!C$2:C$401,$X361)="","",INDEX('Per Invoice'!C$2:C$401,$X361)))</f>
        <v/>
      </c>
      <c r="D361">
        <f>IF($X361="","",IF(INDEX('Per Invoice'!D$2:D$401,$X361)="","",INDEX('Per Invoice'!D$2:D$401,$X361)))</f>
        <v/>
      </c>
      <c r="E361">
        <f>IF($X361="","",IF(INDEX('Per Invoice'!E$2:E$401,$X361)="","",INDEX('Per Invoice'!E$2:E$401,$X361)))</f>
        <v/>
      </c>
      <c r="F361">
        <f>IF($X361="","",IF(INDEX('Per Invoice'!F$2:F$401,$X361)="","",INDEX('Per Invoice'!F$2:F$401,$X361)))</f>
        <v/>
      </c>
      <c r="G361">
        <f>IF($X361="","",IF(INDEX('Per Invoice'!G$2:G$401,$X361)="","",INDEX('Per Invoice'!G$2:G$401,$X361)))</f>
        <v/>
      </c>
      <c r="H361">
        <f>IF($X361="","",IF(INDEX('Per Invoice'!H$2:H$401,$X361)="","",INDEX('Per Invoice'!H$2:H$401,$X361)))</f>
        <v/>
      </c>
      <c r="I361">
        <f>IF($X361="","",IF(INDEX('Per Invoice'!I$2:I$401,$X361)="","",INDEX('Per Invoice'!I$2:I$401,$X361)))</f>
        <v/>
      </c>
      <c r="J361">
        <f>IF($X361="","",IF(INDEX('Per Invoice'!J$2:J$401,$X361)="","",INDEX('Per Invoice'!J$2:J$401,$X361)))</f>
        <v/>
      </c>
      <c r="K361" s="14">
        <f>IF($X361="","",IF(INDEX('Per Invoice'!K$2:K$401,$X361)="","",INDEX('Per Invoice'!K$2:K$401,$X361)))</f>
        <v/>
      </c>
      <c r="L361">
        <f>IF($X361="","",IF(INDEX('Per Invoice'!L$2:L$401,$X361)="","",INDEX('Per Invoice'!L$2:L$401,$X361)))</f>
        <v/>
      </c>
      <c r="M361" s="7">
        <f>IF($X361="","",IF(INDEX('Per Invoice'!M$2:M$401,$X361)="","",INDEX('Per Invoice'!M$2:M$401,$X361)))</f>
        <v/>
      </c>
      <c r="N361">
        <f>IF($X361="","",IF(INDEX('Per Invoice'!N$2:N$401,$X361)="","",INDEX('Per Invoice'!N$2:N$401,$X361)))</f>
        <v/>
      </c>
      <c r="O361" s="7">
        <f>IF($X361="","",IF(INDEX('Per Invoice'!O$2:O$401,$X361)="","",INDEX('Per Invoice'!O$2:O$401,$X361)))</f>
        <v/>
      </c>
      <c r="P361" s="7">
        <f>IF($X361="","",IF(INDEX('Per Invoice'!P$2:P$401,$X361)="","",INDEX('Per Invoice'!P$2:P$401,$X361)))</f>
        <v/>
      </c>
      <c r="Q361">
        <f>IF($X361="","",IF(INDEX('Per Invoice'!Q$2:Q$401,$X361)="","",INDEX('Per Invoice'!Q$2:Q$401,$X361)))</f>
        <v/>
      </c>
      <c r="R361" s="7">
        <f>IF($X361="","",IF(INDEX('Per Invoice'!R$2:R$401,$X361)="","",INDEX('Per Invoice'!R$2:R$401,$X361)))</f>
        <v/>
      </c>
      <c r="S361" s="7">
        <f>IF($X361="","",IF(INDEX('Per Invoice'!S$2:S$401,$X361)="","",INDEX('Per Invoice'!S$2:S$401,$X361)))</f>
        <v/>
      </c>
      <c r="T361" s="7">
        <f>IF($X361="","",IF(INDEX('Per Invoice'!T$2:T$401,$X361)="","",INDEX('Per Invoice'!T$2:T$401,$X361)))</f>
        <v/>
      </c>
      <c r="U361" s="7">
        <f>IF($X361="","",IF(INDEX('Per Invoice'!U$2:U$401,$X361)="","",INDEX('Per Invoice'!U$2:U$401,$X361)))</f>
        <v/>
      </c>
      <c r="V361" s="7">
        <f>IF($X361="","",IF(INDEX('Per Invoice'!V$2:V$401,$X361)="","",INDEX('Per Invoice'!V$2:V$401,$X361)))</f>
        <v/>
      </c>
      <c r="W361" s="7">
        <f>IF($X361="","",IF(INDEX('Per Invoice'!W$2:W$401,$X361)="","",INDEX('Per Invoice'!W$2:W$401,$X361)))</f>
        <v/>
      </c>
      <c r="X361" s="16">
        <f>IFERROR(MATCH(Settings!$C$33&amp;"|"&amp;ROWS($X$2:$X361),'Per Invoice'!$Y$2:$Y$401,0),"")</f>
        <v/>
      </c>
    </row>
    <row r="362">
      <c r="A362">
        <f>IF($X362="","",IF(INDEX('Per Invoice'!A$2:A$401,$X362)="","",INDEX('Per Invoice'!A$2:A$401,$X362)))</f>
        <v/>
      </c>
      <c r="B362">
        <f>IF($X362="","",IF(INDEX('Per Invoice'!B$2:B$401,$X362)="","",INDEX('Per Invoice'!B$2:B$401,$X362)))</f>
        <v/>
      </c>
      <c r="C362">
        <f>IF($X362="","",IF(INDEX('Per Invoice'!C$2:C$401,$X362)="","",INDEX('Per Invoice'!C$2:C$401,$X362)))</f>
        <v/>
      </c>
      <c r="D362">
        <f>IF($X362="","",IF(INDEX('Per Invoice'!D$2:D$401,$X362)="","",INDEX('Per Invoice'!D$2:D$401,$X362)))</f>
        <v/>
      </c>
      <c r="E362">
        <f>IF($X362="","",IF(INDEX('Per Invoice'!E$2:E$401,$X362)="","",INDEX('Per Invoice'!E$2:E$401,$X362)))</f>
        <v/>
      </c>
      <c r="F362">
        <f>IF($X362="","",IF(INDEX('Per Invoice'!F$2:F$401,$X362)="","",INDEX('Per Invoice'!F$2:F$401,$X362)))</f>
        <v/>
      </c>
      <c r="G362">
        <f>IF($X362="","",IF(INDEX('Per Invoice'!G$2:G$401,$X362)="","",INDEX('Per Invoice'!G$2:G$401,$X362)))</f>
        <v/>
      </c>
      <c r="H362">
        <f>IF($X362="","",IF(INDEX('Per Invoice'!H$2:H$401,$X362)="","",INDEX('Per Invoice'!H$2:H$401,$X362)))</f>
        <v/>
      </c>
      <c r="I362">
        <f>IF($X362="","",IF(INDEX('Per Invoice'!I$2:I$401,$X362)="","",INDEX('Per Invoice'!I$2:I$401,$X362)))</f>
        <v/>
      </c>
      <c r="J362">
        <f>IF($X362="","",IF(INDEX('Per Invoice'!J$2:J$401,$X362)="","",INDEX('Per Invoice'!J$2:J$401,$X362)))</f>
        <v/>
      </c>
      <c r="K362" s="14">
        <f>IF($X362="","",IF(INDEX('Per Invoice'!K$2:K$401,$X362)="","",INDEX('Per Invoice'!K$2:K$401,$X362)))</f>
        <v/>
      </c>
      <c r="L362">
        <f>IF($X362="","",IF(INDEX('Per Invoice'!L$2:L$401,$X362)="","",INDEX('Per Invoice'!L$2:L$401,$X362)))</f>
        <v/>
      </c>
      <c r="M362" s="7">
        <f>IF($X362="","",IF(INDEX('Per Invoice'!M$2:M$401,$X362)="","",INDEX('Per Invoice'!M$2:M$401,$X362)))</f>
        <v/>
      </c>
      <c r="N362">
        <f>IF($X362="","",IF(INDEX('Per Invoice'!N$2:N$401,$X362)="","",INDEX('Per Invoice'!N$2:N$401,$X362)))</f>
        <v/>
      </c>
      <c r="O362" s="7">
        <f>IF($X362="","",IF(INDEX('Per Invoice'!O$2:O$401,$X362)="","",INDEX('Per Invoice'!O$2:O$401,$X362)))</f>
        <v/>
      </c>
      <c r="P362" s="7">
        <f>IF($X362="","",IF(INDEX('Per Invoice'!P$2:P$401,$X362)="","",INDEX('Per Invoice'!P$2:P$401,$X362)))</f>
        <v/>
      </c>
      <c r="Q362">
        <f>IF($X362="","",IF(INDEX('Per Invoice'!Q$2:Q$401,$X362)="","",INDEX('Per Invoice'!Q$2:Q$401,$X362)))</f>
        <v/>
      </c>
      <c r="R362" s="7">
        <f>IF($X362="","",IF(INDEX('Per Invoice'!R$2:R$401,$X362)="","",INDEX('Per Invoice'!R$2:R$401,$X362)))</f>
        <v/>
      </c>
      <c r="S362" s="7">
        <f>IF($X362="","",IF(INDEX('Per Invoice'!S$2:S$401,$X362)="","",INDEX('Per Invoice'!S$2:S$401,$X362)))</f>
        <v/>
      </c>
      <c r="T362" s="7">
        <f>IF($X362="","",IF(INDEX('Per Invoice'!T$2:T$401,$X362)="","",INDEX('Per Invoice'!T$2:T$401,$X362)))</f>
        <v/>
      </c>
      <c r="U362" s="7">
        <f>IF($X362="","",IF(INDEX('Per Invoice'!U$2:U$401,$X362)="","",INDEX('Per Invoice'!U$2:U$401,$X362)))</f>
        <v/>
      </c>
      <c r="V362" s="7">
        <f>IF($X362="","",IF(INDEX('Per Invoice'!V$2:V$401,$X362)="","",INDEX('Per Invoice'!V$2:V$401,$X362)))</f>
        <v/>
      </c>
      <c r="W362" s="7">
        <f>IF($X362="","",IF(INDEX('Per Invoice'!W$2:W$401,$X362)="","",INDEX('Per Invoice'!W$2:W$401,$X362)))</f>
        <v/>
      </c>
      <c r="X362" s="16">
        <f>IFERROR(MATCH(Settings!$C$33&amp;"|"&amp;ROWS($X$2:$X362),'Per Invoice'!$Y$2:$Y$401,0),"")</f>
        <v/>
      </c>
    </row>
    <row r="363">
      <c r="A363">
        <f>IF($X363="","",IF(INDEX('Per Invoice'!A$2:A$401,$X363)="","",INDEX('Per Invoice'!A$2:A$401,$X363)))</f>
        <v/>
      </c>
      <c r="B363">
        <f>IF($X363="","",IF(INDEX('Per Invoice'!B$2:B$401,$X363)="","",INDEX('Per Invoice'!B$2:B$401,$X363)))</f>
        <v/>
      </c>
      <c r="C363">
        <f>IF($X363="","",IF(INDEX('Per Invoice'!C$2:C$401,$X363)="","",INDEX('Per Invoice'!C$2:C$401,$X363)))</f>
        <v/>
      </c>
      <c r="D363">
        <f>IF($X363="","",IF(INDEX('Per Invoice'!D$2:D$401,$X363)="","",INDEX('Per Invoice'!D$2:D$401,$X363)))</f>
        <v/>
      </c>
      <c r="E363">
        <f>IF($X363="","",IF(INDEX('Per Invoice'!E$2:E$401,$X363)="","",INDEX('Per Invoice'!E$2:E$401,$X363)))</f>
        <v/>
      </c>
      <c r="F363">
        <f>IF($X363="","",IF(INDEX('Per Invoice'!F$2:F$401,$X363)="","",INDEX('Per Invoice'!F$2:F$401,$X363)))</f>
        <v/>
      </c>
      <c r="G363">
        <f>IF($X363="","",IF(INDEX('Per Invoice'!G$2:G$401,$X363)="","",INDEX('Per Invoice'!G$2:G$401,$X363)))</f>
        <v/>
      </c>
      <c r="H363">
        <f>IF($X363="","",IF(INDEX('Per Invoice'!H$2:H$401,$X363)="","",INDEX('Per Invoice'!H$2:H$401,$X363)))</f>
        <v/>
      </c>
      <c r="I363">
        <f>IF($X363="","",IF(INDEX('Per Invoice'!I$2:I$401,$X363)="","",INDEX('Per Invoice'!I$2:I$401,$X363)))</f>
        <v/>
      </c>
      <c r="J363">
        <f>IF($X363="","",IF(INDEX('Per Invoice'!J$2:J$401,$X363)="","",INDEX('Per Invoice'!J$2:J$401,$X363)))</f>
        <v/>
      </c>
      <c r="K363" s="14">
        <f>IF($X363="","",IF(INDEX('Per Invoice'!K$2:K$401,$X363)="","",INDEX('Per Invoice'!K$2:K$401,$X363)))</f>
        <v/>
      </c>
      <c r="L363">
        <f>IF($X363="","",IF(INDEX('Per Invoice'!L$2:L$401,$X363)="","",INDEX('Per Invoice'!L$2:L$401,$X363)))</f>
        <v/>
      </c>
      <c r="M363" s="7">
        <f>IF($X363="","",IF(INDEX('Per Invoice'!M$2:M$401,$X363)="","",INDEX('Per Invoice'!M$2:M$401,$X363)))</f>
        <v/>
      </c>
      <c r="N363">
        <f>IF($X363="","",IF(INDEX('Per Invoice'!N$2:N$401,$X363)="","",INDEX('Per Invoice'!N$2:N$401,$X363)))</f>
        <v/>
      </c>
      <c r="O363" s="7">
        <f>IF($X363="","",IF(INDEX('Per Invoice'!O$2:O$401,$X363)="","",INDEX('Per Invoice'!O$2:O$401,$X363)))</f>
        <v/>
      </c>
      <c r="P363" s="7">
        <f>IF($X363="","",IF(INDEX('Per Invoice'!P$2:P$401,$X363)="","",INDEX('Per Invoice'!P$2:P$401,$X363)))</f>
        <v/>
      </c>
      <c r="Q363">
        <f>IF($X363="","",IF(INDEX('Per Invoice'!Q$2:Q$401,$X363)="","",INDEX('Per Invoice'!Q$2:Q$401,$X363)))</f>
        <v/>
      </c>
      <c r="R363" s="7">
        <f>IF($X363="","",IF(INDEX('Per Invoice'!R$2:R$401,$X363)="","",INDEX('Per Invoice'!R$2:R$401,$X363)))</f>
        <v/>
      </c>
      <c r="S363" s="7">
        <f>IF($X363="","",IF(INDEX('Per Invoice'!S$2:S$401,$X363)="","",INDEX('Per Invoice'!S$2:S$401,$X363)))</f>
        <v/>
      </c>
      <c r="T363" s="7">
        <f>IF($X363="","",IF(INDEX('Per Invoice'!T$2:T$401,$X363)="","",INDEX('Per Invoice'!T$2:T$401,$X363)))</f>
        <v/>
      </c>
      <c r="U363" s="7">
        <f>IF($X363="","",IF(INDEX('Per Invoice'!U$2:U$401,$X363)="","",INDEX('Per Invoice'!U$2:U$401,$X363)))</f>
        <v/>
      </c>
      <c r="V363" s="7">
        <f>IF($X363="","",IF(INDEX('Per Invoice'!V$2:V$401,$X363)="","",INDEX('Per Invoice'!V$2:V$401,$X363)))</f>
        <v/>
      </c>
      <c r="W363" s="7">
        <f>IF($X363="","",IF(INDEX('Per Invoice'!W$2:W$401,$X363)="","",INDEX('Per Invoice'!W$2:W$401,$X363)))</f>
        <v/>
      </c>
      <c r="X363" s="16">
        <f>IFERROR(MATCH(Settings!$C$33&amp;"|"&amp;ROWS($X$2:$X363),'Per Invoice'!$Y$2:$Y$401,0),"")</f>
        <v/>
      </c>
    </row>
    <row r="364">
      <c r="A364">
        <f>IF($X364="","",IF(INDEX('Per Invoice'!A$2:A$401,$X364)="","",INDEX('Per Invoice'!A$2:A$401,$X364)))</f>
        <v/>
      </c>
      <c r="B364">
        <f>IF($X364="","",IF(INDEX('Per Invoice'!B$2:B$401,$X364)="","",INDEX('Per Invoice'!B$2:B$401,$X364)))</f>
        <v/>
      </c>
      <c r="C364">
        <f>IF($X364="","",IF(INDEX('Per Invoice'!C$2:C$401,$X364)="","",INDEX('Per Invoice'!C$2:C$401,$X364)))</f>
        <v/>
      </c>
      <c r="D364">
        <f>IF($X364="","",IF(INDEX('Per Invoice'!D$2:D$401,$X364)="","",INDEX('Per Invoice'!D$2:D$401,$X364)))</f>
        <v/>
      </c>
      <c r="E364">
        <f>IF($X364="","",IF(INDEX('Per Invoice'!E$2:E$401,$X364)="","",INDEX('Per Invoice'!E$2:E$401,$X364)))</f>
        <v/>
      </c>
      <c r="F364">
        <f>IF($X364="","",IF(INDEX('Per Invoice'!F$2:F$401,$X364)="","",INDEX('Per Invoice'!F$2:F$401,$X364)))</f>
        <v/>
      </c>
      <c r="G364">
        <f>IF($X364="","",IF(INDEX('Per Invoice'!G$2:G$401,$X364)="","",INDEX('Per Invoice'!G$2:G$401,$X364)))</f>
        <v/>
      </c>
      <c r="H364">
        <f>IF($X364="","",IF(INDEX('Per Invoice'!H$2:H$401,$X364)="","",INDEX('Per Invoice'!H$2:H$401,$X364)))</f>
        <v/>
      </c>
      <c r="I364">
        <f>IF($X364="","",IF(INDEX('Per Invoice'!I$2:I$401,$X364)="","",INDEX('Per Invoice'!I$2:I$401,$X364)))</f>
        <v/>
      </c>
      <c r="J364">
        <f>IF($X364="","",IF(INDEX('Per Invoice'!J$2:J$401,$X364)="","",INDEX('Per Invoice'!J$2:J$401,$X364)))</f>
        <v/>
      </c>
      <c r="K364" s="14">
        <f>IF($X364="","",IF(INDEX('Per Invoice'!K$2:K$401,$X364)="","",INDEX('Per Invoice'!K$2:K$401,$X364)))</f>
        <v/>
      </c>
      <c r="L364">
        <f>IF($X364="","",IF(INDEX('Per Invoice'!L$2:L$401,$X364)="","",INDEX('Per Invoice'!L$2:L$401,$X364)))</f>
        <v/>
      </c>
      <c r="M364" s="7">
        <f>IF($X364="","",IF(INDEX('Per Invoice'!M$2:M$401,$X364)="","",INDEX('Per Invoice'!M$2:M$401,$X364)))</f>
        <v/>
      </c>
      <c r="N364">
        <f>IF($X364="","",IF(INDEX('Per Invoice'!N$2:N$401,$X364)="","",INDEX('Per Invoice'!N$2:N$401,$X364)))</f>
        <v/>
      </c>
      <c r="O364" s="7">
        <f>IF($X364="","",IF(INDEX('Per Invoice'!O$2:O$401,$X364)="","",INDEX('Per Invoice'!O$2:O$401,$X364)))</f>
        <v/>
      </c>
      <c r="P364" s="7">
        <f>IF($X364="","",IF(INDEX('Per Invoice'!P$2:P$401,$X364)="","",INDEX('Per Invoice'!P$2:P$401,$X364)))</f>
        <v/>
      </c>
      <c r="Q364">
        <f>IF($X364="","",IF(INDEX('Per Invoice'!Q$2:Q$401,$X364)="","",INDEX('Per Invoice'!Q$2:Q$401,$X364)))</f>
        <v/>
      </c>
      <c r="R364" s="7">
        <f>IF($X364="","",IF(INDEX('Per Invoice'!R$2:R$401,$X364)="","",INDEX('Per Invoice'!R$2:R$401,$X364)))</f>
        <v/>
      </c>
      <c r="S364" s="7">
        <f>IF($X364="","",IF(INDEX('Per Invoice'!S$2:S$401,$X364)="","",INDEX('Per Invoice'!S$2:S$401,$X364)))</f>
        <v/>
      </c>
      <c r="T364" s="7">
        <f>IF($X364="","",IF(INDEX('Per Invoice'!T$2:T$401,$X364)="","",INDEX('Per Invoice'!T$2:T$401,$X364)))</f>
        <v/>
      </c>
      <c r="U364" s="7">
        <f>IF($X364="","",IF(INDEX('Per Invoice'!U$2:U$401,$X364)="","",INDEX('Per Invoice'!U$2:U$401,$X364)))</f>
        <v/>
      </c>
      <c r="V364" s="7">
        <f>IF($X364="","",IF(INDEX('Per Invoice'!V$2:V$401,$X364)="","",INDEX('Per Invoice'!V$2:V$401,$X364)))</f>
        <v/>
      </c>
      <c r="W364" s="7">
        <f>IF($X364="","",IF(INDEX('Per Invoice'!W$2:W$401,$X364)="","",INDEX('Per Invoice'!W$2:W$401,$X364)))</f>
        <v/>
      </c>
      <c r="X364" s="16">
        <f>IFERROR(MATCH(Settings!$C$33&amp;"|"&amp;ROWS($X$2:$X364),'Per Invoice'!$Y$2:$Y$401,0),"")</f>
        <v/>
      </c>
    </row>
    <row r="365">
      <c r="A365">
        <f>IF($X365="","",IF(INDEX('Per Invoice'!A$2:A$401,$X365)="","",INDEX('Per Invoice'!A$2:A$401,$X365)))</f>
        <v/>
      </c>
      <c r="B365">
        <f>IF($X365="","",IF(INDEX('Per Invoice'!B$2:B$401,$X365)="","",INDEX('Per Invoice'!B$2:B$401,$X365)))</f>
        <v/>
      </c>
      <c r="C365">
        <f>IF($X365="","",IF(INDEX('Per Invoice'!C$2:C$401,$X365)="","",INDEX('Per Invoice'!C$2:C$401,$X365)))</f>
        <v/>
      </c>
      <c r="D365">
        <f>IF($X365="","",IF(INDEX('Per Invoice'!D$2:D$401,$X365)="","",INDEX('Per Invoice'!D$2:D$401,$X365)))</f>
        <v/>
      </c>
      <c r="E365">
        <f>IF($X365="","",IF(INDEX('Per Invoice'!E$2:E$401,$X365)="","",INDEX('Per Invoice'!E$2:E$401,$X365)))</f>
        <v/>
      </c>
      <c r="F365">
        <f>IF($X365="","",IF(INDEX('Per Invoice'!F$2:F$401,$X365)="","",INDEX('Per Invoice'!F$2:F$401,$X365)))</f>
        <v/>
      </c>
      <c r="G365">
        <f>IF($X365="","",IF(INDEX('Per Invoice'!G$2:G$401,$X365)="","",INDEX('Per Invoice'!G$2:G$401,$X365)))</f>
        <v/>
      </c>
      <c r="H365">
        <f>IF($X365="","",IF(INDEX('Per Invoice'!H$2:H$401,$X365)="","",INDEX('Per Invoice'!H$2:H$401,$X365)))</f>
        <v/>
      </c>
      <c r="I365">
        <f>IF($X365="","",IF(INDEX('Per Invoice'!I$2:I$401,$X365)="","",INDEX('Per Invoice'!I$2:I$401,$X365)))</f>
        <v/>
      </c>
      <c r="J365">
        <f>IF($X365="","",IF(INDEX('Per Invoice'!J$2:J$401,$X365)="","",INDEX('Per Invoice'!J$2:J$401,$X365)))</f>
        <v/>
      </c>
      <c r="K365" s="14">
        <f>IF($X365="","",IF(INDEX('Per Invoice'!K$2:K$401,$X365)="","",INDEX('Per Invoice'!K$2:K$401,$X365)))</f>
        <v/>
      </c>
      <c r="L365">
        <f>IF($X365="","",IF(INDEX('Per Invoice'!L$2:L$401,$X365)="","",INDEX('Per Invoice'!L$2:L$401,$X365)))</f>
        <v/>
      </c>
      <c r="M365" s="7">
        <f>IF($X365="","",IF(INDEX('Per Invoice'!M$2:M$401,$X365)="","",INDEX('Per Invoice'!M$2:M$401,$X365)))</f>
        <v/>
      </c>
      <c r="N365">
        <f>IF($X365="","",IF(INDEX('Per Invoice'!N$2:N$401,$X365)="","",INDEX('Per Invoice'!N$2:N$401,$X365)))</f>
        <v/>
      </c>
      <c r="O365" s="7">
        <f>IF($X365="","",IF(INDEX('Per Invoice'!O$2:O$401,$X365)="","",INDEX('Per Invoice'!O$2:O$401,$X365)))</f>
        <v/>
      </c>
      <c r="P365" s="7">
        <f>IF($X365="","",IF(INDEX('Per Invoice'!P$2:P$401,$X365)="","",INDEX('Per Invoice'!P$2:P$401,$X365)))</f>
        <v/>
      </c>
      <c r="Q365">
        <f>IF($X365="","",IF(INDEX('Per Invoice'!Q$2:Q$401,$X365)="","",INDEX('Per Invoice'!Q$2:Q$401,$X365)))</f>
        <v/>
      </c>
      <c r="R365" s="7">
        <f>IF($X365="","",IF(INDEX('Per Invoice'!R$2:R$401,$X365)="","",INDEX('Per Invoice'!R$2:R$401,$X365)))</f>
        <v/>
      </c>
      <c r="S365" s="7">
        <f>IF($X365="","",IF(INDEX('Per Invoice'!S$2:S$401,$X365)="","",INDEX('Per Invoice'!S$2:S$401,$X365)))</f>
        <v/>
      </c>
      <c r="T365" s="7">
        <f>IF($X365="","",IF(INDEX('Per Invoice'!T$2:T$401,$X365)="","",INDEX('Per Invoice'!T$2:T$401,$X365)))</f>
        <v/>
      </c>
      <c r="U365" s="7">
        <f>IF($X365="","",IF(INDEX('Per Invoice'!U$2:U$401,$X365)="","",INDEX('Per Invoice'!U$2:U$401,$X365)))</f>
        <v/>
      </c>
      <c r="V365" s="7">
        <f>IF($X365="","",IF(INDEX('Per Invoice'!V$2:V$401,$X365)="","",INDEX('Per Invoice'!V$2:V$401,$X365)))</f>
        <v/>
      </c>
      <c r="W365" s="7">
        <f>IF($X365="","",IF(INDEX('Per Invoice'!W$2:W$401,$X365)="","",INDEX('Per Invoice'!W$2:W$401,$X365)))</f>
        <v/>
      </c>
      <c r="X365" s="16">
        <f>IFERROR(MATCH(Settings!$C$33&amp;"|"&amp;ROWS($X$2:$X365),'Per Invoice'!$Y$2:$Y$401,0),"")</f>
        <v/>
      </c>
    </row>
    <row r="366">
      <c r="A366">
        <f>IF($X366="","",IF(INDEX('Per Invoice'!A$2:A$401,$X366)="","",INDEX('Per Invoice'!A$2:A$401,$X366)))</f>
        <v/>
      </c>
      <c r="B366">
        <f>IF($X366="","",IF(INDEX('Per Invoice'!B$2:B$401,$X366)="","",INDEX('Per Invoice'!B$2:B$401,$X366)))</f>
        <v/>
      </c>
      <c r="C366">
        <f>IF($X366="","",IF(INDEX('Per Invoice'!C$2:C$401,$X366)="","",INDEX('Per Invoice'!C$2:C$401,$X366)))</f>
        <v/>
      </c>
      <c r="D366">
        <f>IF($X366="","",IF(INDEX('Per Invoice'!D$2:D$401,$X366)="","",INDEX('Per Invoice'!D$2:D$401,$X366)))</f>
        <v/>
      </c>
      <c r="E366">
        <f>IF($X366="","",IF(INDEX('Per Invoice'!E$2:E$401,$X366)="","",INDEX('Per Invoice'!E$2:E$401,$X366)))</f>
        <v/>
      </c>
      <c r="F366">
        <f>IF($X366="","",IF(INDEX('Per Invoice'!F$2:F$401,$X366)="","",INDEX('Per Invoice'!F$2:F$401,$X366)))</f>
        <v/>
      </c>
      <c r="G366">
        <f>IF($X366="","",IF(INDEX('Per Invoice'!G$2:G$401,$X366)="","",INDEX('Per Invoice'!G$2:G$401,$X366)))</f>
        <v/>
      </c>
      <c r="H366">
        <f>IF($X366="","",IF(INDEX('Per Invoice'!H$2:H$401,$X366)="","",INDEX('Per Invoice'!H$2:H$401,$X366)))</f>
        <v/>
      </c>
      <c r="I366">
        <f>IF($X366="","",IF(INDEX('Per Invoice'!I$2:I$401,$X366)="","",INDEX('Per Invoice'!I$2:I$401,$X366)))</f>
        <v/>
      </c>
      <c r="J366">
        <f>IF($X366="","",IF(INDEX('Per Invoice'!J$2:J$401,$X366)="","",INDEX('Per Invoice'!J$2:J$401,$X366)))</f>
        <v/>
      </c>
      <c r="K366" s="14">
        <f>IF($X366="","",IF(INDEX('Per Invoice'!K$2:K$401,$X366)="","",INDEX('Per Invoice'!K$2:K$401,$X366)))</f>
        <v/>
      </c>
      <c r="L366">
        <f>IF($X366="","",IF(INDEX('Per Invoice'!L$2:L$401,$X366)="","",INDEX('Per Invoice'!L$2:L$401,$X366)))</f>
        <v/>
      </c>
      <c r="M366" s="7">
        <f>IF($X366="","",IF(INDEX('Per Invoice'!M$2:M$401,$X366)="","",INDEX('Per Invoice'!M$2:M$401,$X366)))</f>
        <v/>
      </c>
      <c r="N366">
        <f>IF($X366="","",IF(INDEX('Per Invoice'!N$2:N$401,$X366)="","",INDEX('Per Invoice'!N$2:N$401,$X366)))</f>
        <v/>
      </c>
      <c r="O366" s="7">
        <f>IF($X366="","",IF(INDEX('Per Invoice'!O$2:O$401,$X366)="","",INDEX('Per Invoice'!O$2:O$401,$X366)))</f>
        <v/>
      </c>
      <c r="P366" s="7">
        <f>IF($X366="","",IF(INDEX('Per Invoice'!P$2:P$401,$X366)="","",INDEX('Per Invoice'!P$2:P$401,$X366)))</f>
        <v/>
      </c>
      <c r="Q366">
        <f>IF($X366="","",IF(INDEX('Per Invoice'!Q$2:Q$401,$X366)="","",INDEX('Per Invoice'!Q$2:Q$401,$X366)))</f>
        <v/>
      </c>
      <c r="R366" s="7">
        <f>IF($X366="","",IF(INDEX('Per Invoice'!R$2:R$401,$X366)="","",INDEX('Per Invoice'!R$2:R$401,$X366)))</f>
        <v/>
      </c>
      <c r="S366" s="7">
        <f>IF($X366="","",IF(INDEX('Per Invoice'!S$2:S$401,$X366)="","",INDEX('Per Invoice'!S$2:S$401,$X366)))</f>
        <v/>
      </c>
      <c r="T366" s="7">
        <f>IF($X366="","",IF(INDEX('Per Invoice'!T$2:T$401,$X366)="","",INDEX('Per Invoice'!T$2:T$401,$X366)))</f>
        <v/>
      </c>
      <c r="U366" s="7">
        <f>IF($X366="","",IF(INDEX('Per Invoice'!U$2:U$401,$X366)="","",INDEX('Per Invoice'!U$2:U$401,$X366)))</f>
        <v/>
      </c>
      <c r="V366" s="7">
        <f>IF($X366="","",IF(INDEX('Per Invoice'!V$2:V$401,$X366)="","",INDEX('Per Invoice'!V$2:V$401,$X366)))</f>
        <v/>
      </c>
      <c r="W366" s="7">
        <f>IF($X366="","",IF(INDEX('Per Invoice'!W$2:W$401,$X366)="","",INDEX('Per Invoice'!W$2:W$401,$X366)))</f>
        <v/>
      </c>
      <c r="X366" s="16">
        <f>IFERROR(MATCH(Settings!$C$33&amp;"|"&amp;ROWS($X$2:$X366),'Per Invoice'!$Y$2:$Y$401,0),"")</f>
        <v/>
      </c>
    </row>
    <row r="367">
      <c r="A367">
        <f>IF($X367="","",IF(INDEX('Per Invoice'!A$2:A$401,$X367)="","",INDEX('Per Invoice'!A$2:A$401,$X367)))</f>
        <v/>
      </c>
      <c r="B367">
        <f>IF($X367="","",IF(INDEX('Per Invoice'!B$2:B$401,$X367)="","",INDEX('Per Invoice'!B$2:B$401,$X367)))</f>
        <v/>
      </c>
      <c r="C367">
        <f>IF($X367="","",IF(INDEX('Per Invoice'!C$2:C$401,$X367)="","",INDEX('Per Invoice'!C$2:C$401,$X367)))</f>
        <v/>
      </c>
      <c r="D367">
        <f>IF($X367="","",IF(INDEX('Per Invoice'!D$2:D$401,$X367)="","",INDEX('Per Invoice'!D$2:D$401,$X367)))</f>
        <v/>
      </c>
      <c r="E367">
        <f>IF($X367="","",IF(INDEX('Per Invoice'!E$2:E$401,$X367)="","",INDEX('Per Invoice'!E$2:E$401,$X367)))</f>
        <v/>
      </c>
      <c r="F367">
        <f>IF($X367="","",IF(INDEX('Per Invoice'!F$2:F$401,$X367)="","",INDEX('Per Invoice'!F$2:F$401,$X367)))</f>
        <v/>
      </c>
      <c r="G367">
        <f>IF($X367="","",IF(INDEX('Per Invoice'!G$2:G$401,$X367)="","",INDEX('Per Invoice'!G$2:G$401,$X367)))</f>
        <v/>
      </c>
      <c r="H367">
        <f>IF($X367="","",IF(INDEX('Per Invoice'!H$2:H$401,$X367)="","",INDEX('Per Invoice'!H$2:H$401,$X367)))</f>
        <v/>
      </c>
      <c r="I367">
        <f>IF($X367="","",IF(INDEX('Per Invoice'!I$2:I$401,$X367)="","",INDEX('Per Invoice'!I$2:I$401,$X367)))</f>
        <v/>
      </c>
      <c r="J367">
        <f>IF($X367="","",IF(INDEX('Per Invoice'!J$2:J$401,$X367)="","",INDEX('Per Invoice'!J$2:J$401,$X367)))</f>
        <v/>
      </c>
      <c r="K367" s="14">
        <f>IF($X367="","",IF(INDEX('Per Invoice'!K$2:K$401,$X367)="","",INDEX('Per Invoice'!K$2:K$401,$X367)))</f>
        <v/>
      </c>
      <c r="L367">
        <f>IF($X367="","",IF(INDEX('Per Invoice'!L$2:L$401,$X367)="","",INDEX('Per Invoice'!L$2:L$401,$X367)))</f>
        <v/>
      </c>
      <c r="M367" s="7">
        <f>IF($X367="","",IF(INDEX('Per Invoice'!M$2:M$401,$X367)="","",INDEX('Per Invoice'!M$2:M$401,$X367)))</f>
        <v/>
      </c>
      <c r="N367">
        <f>IF($X367="","",IF(INDEX('Per Invoice'!N$2:N$401,$X367)="","",INDEX('Per Invoice'!N$2:N$401,$X367)))</f>
        <v/>
      </c>
      <c r="O367" s="7">
        <f>IF($X367="","",IF(INDEX('Per Invoice'!O$2:O$401,$X367)="","",INDEX('Per Invoice'!O$2:O$401,$X367)))</f>
        <v/>
      </c>
      <c r="P367" s="7">
        <f>IF($X367="","",IF(INDEX('Per Invoice'!P$2:P$401,$X367)="","",INDEX('Per Invoice'!P$2:P$401,$X367)))</f>
        <v/>
      </c>
      <c r="Q367">
        <f>IF($X367="","",IF(INDEX('Per Invoice'!Q$2:Q$401,$X367)="","",INDEX('Per Invoice'!Q$2:Q$401,$X367)))</f>
        <v/>
      </c>
      <c r="R367" s="7">
        <f>IF($X367="","",IF(INDEX('Per Invoice'!R$2:R$401,$X367)="","",INDEX('Per Invoice'!R$2:R$401,$X367)))</f>
        <v/>
      </c>
      <c r="S367" s="7">
        <f>IF($X367="","",IF(INDEX('Per Invoice'!S$2:S$401,$X367)="","",INDEX('Per Invoice'!S$2:S$401,$X367)))</f>
        <v/>
      </c>
      <c r="T367" s="7">
        <f>IF($X367="","",IF(INDEX('Per Invoice'!T$2:T$401,$X367)="","",INDEX('Per Invoice'!T$2:T$401,$X367)))</f>
        <v/>
      </c>
      <c r="U367" s="7">
        <f>IF($X367="","",IF(INDEX('Per Invoice'!U$2:U$401,$X367)="","",INDEX('Per Invoice'!U$2:U$401,$X367)))</f>
        <v/>
      </c>
      <c r="V367" s="7">
        <f>IF($X367="","",IF(INDEX('Per Invoice'!V$2:V$401,$X367)="","",INDEX('Per Invoice'!V$2:V$401,$X367)))</f>
        <v/>
      </c>
      <c r="W367" s="7">
        <f>IF($X367="","",IF(INDEX('Per Invoice'!W$2:W$401,$X367)="","",INDEX('Per Invoice'!W$2:W$401,$X367)))</f>
        <v/>
      </c>
      <c r="X367" s="16">
        <f>IFERROR(MATCH(Settings!$C$33&amp;"|"&amp;ROWS($X$2:$X367),'Per Invoice'!$Y$2:$Y$401,0),"")</f>
        <v/>
      </c>
    </row>
    <row r="368">
      <c r="A368">
        <f>IF($X368="","",IF(INDEX('Per Invoice'!A$2:A$401,$X368)="","",INDEX('Per Invoice'!A$2:A$401,$X368)))</f>
        <v/>
      </c>
      <c r="B368">
        <f>IF($X368="","",IF(INDEX('Per Invoice'!B$2:B$401,$X368)="","",INDEX('Per Invoice'!B$2:B$401,$X368)))</f>
        <v/>
      </c>
      <c r="C368">
        <f>IF($X368="","",IF(INDEX('Per Invoice'!C$2:C$401,$X368)="","",INDEX('Per Invoice'!C$2:C$401,$X368)))</f>
        <v/>
      </c>
      <c r="D368">
        <f>IF($X368="","",IF(INDEX('Per Invoice'!D$2:D$401,$X368)="","",INDEX('Per Invoice'!D$2:D$401,$X368)))</f>
        <v/>
      </c>
      <c r="E368">
        <f>IF($X368="","",IF(INDEX('Per Invoice'!E$2:E$401,$X368)="","",INDEX('Per Invoice'!E$2:E$401,$X368)))</f>
        <v/>
      </c>
      <c r="F368">
        <f>IF($X368="","",IF(INDEX('Per Invoice'!F$2:F$401,$X368)="","",INDEX('Per Invoice'!F$2:F$401,$X368)))</f>
        <v/>
      </c>
      <c r="G368">
        <f>IF($X368="","",IF(INDEX('Per Invoice'!G$2:G$401,$X368)="","",INDEX('Per Invoice'!G$2:G$401,$X368)))</f>
        <v/>
      </c>
      <c r="H368">
        <f>IF($X368="","",IF(INDEX('Per Invoice'!H$2:H$401,$X368)="","",INDEX('Per Invoice'!H$2:H$401,$X368)))</f>
        <v/>
      </c>
      <c r="I368">
        <f>IF($X368="","",IF(INDEX('Per Invoice'!I$2:I$401,$X368)="","",INDEX('Per Invoice'!I$2:I$401,$X368)))</f>
        <v/>
      </c>
      <c r="J368">
        <f>IF($X368="","",IF(INDEX('Per Invoice'!J$2:J$401,$X368)="","",INDEX('Per Invoice'!J$2:J$401,$X368)))</f>
        <v/>
      </c>
      <c r="K368" s="14">
        <f>IF($X368="","",IF(INDEX('Per Invoice'!K$2:K$401,$X368)="","",INDEX('Per Invoice'!K$2:K$401,$X368)))</f>
        <v/>
      </c>
      <c r="L368">
        <f>IF($X368="","",IF(INDEX('Per Invoice'!L$2:L$401,$X368)="","",INDEX('Per Invoice'!L$2:L$401,$X368)))</f>
        <v/>
      </c>
      <c r="M368" s="7">
        <f>IF($X368="","",IF(INDEX('Per Invoice'!M$2:M$401,$X368)="","",INDEX('Per Invoice'!M$2:M$401,$X368)))</f>
        <v/>
      </c>
      <c r="N368">
        <f>IF($X368="","",IF(INDEX('Per Invoice'!N$2:N$401,$X368)="","",INDEX('Per Invoice'!N$2:N$401,$X368)))</f>
        <v/>
      </c>
      <c r="O368" s="7">
        <f>IF($X368="","",IF(INDEX('Per Invoice'!O$2:O$401,$X368)="","",INDEX('Per Invoice'!O$2:O$401,$X368)))</f>
        <v/>
      </c>
      <c r="P368" s="7">
        <f>IF($X368="","",IF(INDEX('Per Invoice'!P$2:P$401,$X368)="","",INDEX('Per Invoice'!P$2:P$401,$X368)))</f>
        <v/>
      </c>
      <c r="Q368">
        <f>IF($X368="","",IF(INDEX('Per Invoice'!Q$2:Q$401,$X368)="","",INDEX('Per Invoice'!Q$2:Q$401,$X368)))</f>
        <v/>
      </c>
      <c r="R368" s="7">
        <f>IF($X368="","",IF(INDEX('Per Invoice'!R$2:R$401,$X368)="","",INDEX('Per Invoice'!R$2:R$401,$X368)))</f>
        <v/>
      </c>
      <c r="S368" s="7">
        <f>IF($X368="","",IF(INDEX('Per Invoice'!S$2:S$401,$X368)="","",INDEX('Per Invoice'!S$2:S$401,$X368)))</f>
        <v/>
      </c>
      <c r="T368" s="7">
        <f>IF($X368="","",IF(INDEX('Per Invoice'!T$2:T$401,$X368)="","",INDEX('Per Invoice'!T$2:T$401,$X368)))</f>
        <v/>
      </c>
      <c r="U368" s="7">
        <f>IF($X368="","",IF(INDEX('Per Invoice'!U$2:U$401,$X368)="","",INDEX('Per Invoice'!U$2:U$401,$X368)))</f>
        <v/>
      </c>
      <c r="V368" s="7">
        <f>IF($X368="","",IF(INDEX('Per Invoice'!V$2:V$401,$X368)="","",INDEX('Per Invoice'!V$2:V$401,$X368)))</f>
        <v/>
      </c>
      <c r="W368" s="7">
        <f>IF($X368="","",IF(INDEX('Per Invoice'!W$2:W$401,$X368)="","",INDEX('Per Invoice'!W$2:W$401,$X368)))</f>
        <v/>
      </c>
      <c r="X368" s="16">
        <f>IFERROR(MATCH(Settings!$C$33&amp;"|"&amp;ROWS($X$2:$X368),'Per Invoice'!$Y$2:$Y$401,0),"")</f>
        <v/>
      </c>
    </row>
    <row r="369">
      <c r="A369">
        <f>IF($X369="","",IF(INDEX('Per Invoice'!A$2:A$401,$X369)="","",INDEX('Per Invoice'!A$2:A$401,$X369)))</f>
        <v/>
      </c>
      <c r="B369">
        <f>IF($X369="","",IF(INDEX('Per Invoice'!B$2:B$401,$X369)="","",INDEX('Per Invoice'!B$2:B$401,$X369)))</f>
        <v/>
      </c>
      <c r="C369">
        <f>IF($X369="","",IF(INDEX('Per Invoice'!C$2:C$401,$X369)="","",INDEX('Per Invoice'!C$2:C$401,$X369)))</f>
        <v/>
      </c>
      <c r="D369">
        <f>IF($X369="","",IF(INDEX('Per Invoice'!D$2:D$401,$X369)="","",INDEX('Per Invoice'!D$2:D$401,$X369)))</f>
        <v/>
      </c>
      <c r="E369">
        <f>IF($X369="","",IF(INDEX('Per Invoice'!E$2:E$401,$X369)="","",INDEX('Per Invoice'!E$2:E$401,$X369)))</f>
        <v/>
      </c>
      <c r="F369">
        <f>IF($X369="","",IF(INDEX('Per Invoice'!F$2:F$401,$X369)="","",INDEX('Per Invoice'!F$2:F$401,$X369)))</f>
        <v/>
      </c>
      <c r="G369">
        <f>IF($X369="","",IF(INDEX('Per Invoice'!G$2:G$401,$X369)="","",INDEX('Per Invoice'!G$2:G$401,$X369)))</f>
        <v/>
      </c>
      <c r="H369">
        <f>IF($X369="","",IF(INDEX('Per Invoice'!H$2:H$401,$X369)="","",INDEX('Per Invoice'!H$2:H$401,$X369)))</f>
        <v/>
      </c>
      <c r="I369">
        <f>IF($X369="","",IF(INDEX('Per Invoice'!I$2:I$401,$X369)="","",INDEX('Per Invoice'!I$2:I$401,$X369)))</f>
        <v/>
      </c>
      <c r="J369">
        <f>IF($X369="","",IF(INDEX('Per Invoice'!J$2:J$401,$X369)="","",INDEX('Per Invoice'!J$2:J$401,$X369)))</f>
        <v/>
      </c>
      <c r="K369" s="14">
        <f>IF($X369="","",IF(INDEX('Per Invoice'!K$2:K$401,$X369)="","",INDEX('Per Invoice'!K$2:K$401,$X369)))</f>
        <v/>
      </c>
      <c r="L369">
        <f>IF($X369="","",IF(INDEX('Per Invoice'!L$2:L$401,$X369)="","",INDEX('Per Invoice'!L$2:L$401,$X369)))</f>
        <v/>
      </c>
      <c r="M369" s="7">
        <f>IF($X369="","",IF(INDEX('Per Invoice'!M$2:M$401,$X369)="","",INDEX('Per Invoice'!M$2:M$401,$X369)))</f>
        <v/>
      </c>
      <c r="N369">
        <f>IF($X369="","",IF(INDEX('Per Invoice'!N$2:N$401,$X369)="","",INDEX('Per Invoice'!N$2:N$401,$X369)))</f>
        <v/>
      </c>
      <c r="O369" s="7">
        <f>IF($X369="","",IF(INDEX('Per Invoice'!O$2:O$401,$X369)="","",INDEX('Per Invoice'!O$2:O$401,$X369)))</f>
        <v/>
      </c>
      <c r="P369" s="7">
        <f>IF($X369="","",IF(INDEX('Per Invoice'!P$2:P$401,$X369)="","",INDEX('Per Invoice'!P$2:P$401,$X369)))</f>
        <v/>
      </c>
      <c r="Q369">
        <f>IF($X369="","",IF(INDEX('Per Invoice'!Q$2:Q$401,$X369)="","",INDEX('Per Invoice'!Q$2:Q$401,$X369)))</f>
        <v/>
      </c>
      <c r="R369" s="7">
        <f>IF($X369="","",IF(INDEX('Per Invoice'!R$2:R$401,$X369)="","",INDEX('Per Invoice'!R$2:R$401,$X369)))</f>
        <v/>
      </c>
      <c r="S369" s="7">
        <f>IF($X369="","",IF(INDEX('Per Invoice'!S$2:S$401,$X369)="","",INDEX('Per Invoice'!S$2:S$401,$X369)))</f>
        <v/>
      </c>
      <c r="T369" s="7">
        <f>IF($X369="","",IF(INDEX('Per Invoice'!T$2:T$401,$X369)="","",INDEX('Per Invoice'!T$2:T$401,$X369)))</f>
        <v/>
      </c>
      <c r="U369" s="7">
        <f>IF($X369="","",IF(INDEX('Per Invoice'!U$2:U$401,$X369)="","",INDEX('Per Invoice'!U$2:U$401,$X369)))</f>
        <v/>
      </c>
      <c r="V369" s="7">
        <f>IF($X369="","",IF(INDEX('Per Invoice'!V$2:V$401,$X369)="","",INDEX('Per Invoice'!V$2:V$401,$X369)))</f>
        <v/>
      </c>
      <c r="W369" s="7">
        <f>IF($X369="","",IF(INDEX('Per Invoice'!W$2:W$401,$X369)="","",INDEX('Per Invoice'!W$2:W$401,$X369)))</f>
        <v/>
      </c>
      <c r="X369" s="16">
        <f>IFERROR(MATCH(Settings!$C$33&amp;"|"&amp;ROWS($X$2:$X369),'Per Invoice'!$Y$2:$Y$401,0),"")</f>
        <v/>
      </c>
    </row>
    <row r="370">
      <c r="A370">
        <f>IF($X370="","",IF(INDEX('Per Invoice'!A$2:A$401,$X370)="","",INDEX('Per Invoice'!A$2:A$401,$X370)))</f>
        <v/>
      </c>
      <c r="B370">
        <f>IF($X370="","",IF(INDEX('Per Invoice'!B$2:B$401,$X370)="","",INDEX('Per Invoice'!B$2:B$401,$X370)))</f>
        <v/>
      </c>
      <c r="C370">
        <f>IF($X370="","",IF(INDEX('Per Invoice'!C$2:C$401,$X370)="","",INDEX('Per Invoice'!C$2:C$401,$X370)))</f>
        <v/>
      </c>
      <c r="D370">
        <f>IF($X370="","",IF(INDEX('Per Invoice'!D$2:D$401,$X370)="","",INDEX('Per Invoice'!D$2:D$401,$X370)))</f>
        <v/>
      </c>
      <c r="E370">
        <f>IF($X370="","",IF(INDEX('Per Invoice'!E$2:E$401,$X370)="","",INDEX('Per Invoice'!E$2:E$401,$X370)))</f>
        <v/>
      </c>
      <c r="F370">
        <f>IF($X370="","",IF(INDEX('Per Invoice'!F$2:F$401,$X370)="","",INDEX('Per Invoice'!F$2:F$401,$X370)))</f>
        <v/>
      </c>
      <c r="G370">
        <f>IF($X370="","",IF(INDEX('Per Invoice'!G$2:G$401,$X370)="","",INDEX('Per Invoice'!G$2:G$401,$X370)))</f>
        <v/>
      </c>
      <c r="H370">
        <f>IF($X370="","",IF(INDEX('Per Invoice'!H$2:H$401,$X370)="","",INDEX('Per Invoice'!H$2:H$401,$X370)))</f>
        <v/>
      </c>
      <c r="I370">
        <f>IF($X370="","",IF(INDEX('Per Invoice'!I$2:I$401,$X370)="","",INDEX('Per Invoice'!I$2:I$401,$X370)))</f>
        <v/>
      </c>
      <c r="J370">
        <f>IF($X370="","",IF(INDEX('Per Invoice'!J$2:J$401,$X370)="","",INDEX('Per Invoice'!J$2:J$401,$X370)))</f>
        <v/>
      </c>
      <c r="K370" s="14">
        <f>IF($X370="","",IF(INDEX('Per Invoice'!K$2:K$401,$X370)="","",INDEX('Per Invoice'!K$2:K$401,$X370)))</f>
        <v/>
      </c>
      <c r="L370">
        <f>IF($X370="","",IF(INDEX('Per Invoice'!L$2:L$401,$X370)="","",INDEX('Per Invoice'!L$2:L$401,$X370)))</f>
        <v/>
      </c>
      <c r="M370" s="7">
        <f>IF($X370="","",IF(INDEX('Per Invoice'!M$2:M$401,$X370)="","",INDEX('Per Invoice'!M$2:M$401,$X370)))</f>
        <v/>
      </c>
      <c r="N370">
        <f>IF($X370="","",IF(INDEX('Per Invoice'!N$2:N$401,$X370)="","",INDEX('Per Invoice'!N$2:N$401,$X370)))</f>
        <v/>
      </c>
      <c r="O370" s="7">
        <f>IF($X370="","",IF(INDEX('Per Invoice'!O$2:O$401,$X370)="","",INDEX('Per Invoice'!O$2:O$401,$X370)))</f>
        <v/>
      </c>
      <c r="P370" s="7">
        <f>IF($X370="","",IF(INDEX('Per Invoice'!P$2:P$401,$X370)="","",INDEX('Per Invoice'!P$2:P$401,$X370)))</f>
        <v/>
      </c>
      <c r="Q370">
        <f>IF($X370="","",IF(INDEX('Per Invoice'!Q$2:Q$401,$X370)="","",INDEX('Per Invoice'!Q$2:Q$401,$X370)))</f>
        <v/>
      </c>
      <c r="R370" s="7">
        <f>IF($X370="","",IF(INDEX('Per Invoice'!R$2:R$401,$X370)="","",INDEX('Per Invoice'!R$2:R$401,$X370)))</f>
        <v/>
      </c>
      <c r="S370" s="7">
        <f>IF($X370="","",IF(INDEX('Per Invoice'!S$2:S$401,$X370)="","",INDEX('Per Invoice'!S$2:S$401,$X370)))</f>
        <v/>
      </c>
      <c r="T370" s="7">
        <f>IF($X370="","",IF(INDEX('Per Invoice'!T$2:T$401,$X370)="","",INDEX('Per Invoice'!T$2:T$401,$X370)))</f>
        <v/>
      </c>
      <c r="U370" s="7">
        <f>IF($X370="","",IF(INDEX('Per Invoice'!U$2:U$401,$X370)="","",INDEX('Per Invoice'!U$2:U$401,$X370)))</f>
        <v/>
      </c>
      <c r="V370" s="7">
        <f>IF($X370="","",IF(INDEX('Per Invoice'!V$2:V$401,$X370)="","",INDEX('Per Invoice'!V$2:V$401,$X370)))</f>
        <v/>
      </c>
      <c r="W370" s="7">
        <f>IF($X370="","",IF(INDEX('Per Invoice'!W$2:W$401,$X370)="","",INDEX('Per Invoice'!W$2:W$401,$X370)))</f>
        <v/>
      </c>
      <c r="X370" s="16">
        <f>IFERROR(MATCH(Settings!$C$33&amp;"|"&amp;ROWS($X$2:$X370),'Per Invoice'!$Y$2:$Y$401,0),"")</f>
        <v/>
      </c>
    </row>
    <row r="371">
      <c r="A371">
        <f>IF($X371="","",IF(INDEX('Per Invoice'!A$2:A$401,$X371)="","",INDEX('Per Invoice'!A$2:A$401,$X371)))</f>
        <v/>
      </c>
      <c r="B371">
        <f>IF($X371="","",IF(INDEX('Per Invoice'!B$2:B$401,$X371)="","",INDEX('Per Invoice'!B$2:B$401,$X371)))</f>
        <v/>
      </c>
      <c r="C371">
        <f>IF($X371="","",IF(INDEX('Per Invoice'!C$2:C$401,$X371)="","",INDEX('Per Invoice'!C$2:C$401,$X371)))</f>
        <v/>
      </c>
      <c r="D371">
        <f>IF($X371="","",IF(INDEX('Per Invoice'!D$2:D$401,$X371)="","",INDEX('Per Invoice'!D$2:D$401,$X371)))</f>
        <v/>
      </c>
      <c r="E371">
        <f>IF($X371="","",IF(INDEX('Per Invoice'!E$2:E$401,$X371)="","",INDEX('Per Invoice'!E$2:E$401,$X371)))</f>
        <v/>
      </c>
      <c r="F371">
        <f>IF($X371="","",IF(INDEX('Per Invoice'!F$2:F$401,$X371)="","",INDEX('Per Invoice'!F$2:F$401,$X371)))</f>
        <v/>
      </c>
      <c r="G371">
        <f>IF($X371="","",IF(INDEX('Per Invoice'!G$2:G$401,$X371)="","",INDEX('Per Invoice'!G$2:G$401,$X371)))</f>
        <v/>
      </c>
      <c r="H371">
        <f>IF($X371="","",IF(INDEX('Per Invoice'!H$2:H$401,$X371)="","",INDEX('Per Invoice'!H$2:H$401,$X371)))</f>
        <v/>
      </c>
      <c r="I371">
        <f>IF($X371="","",IF(INDEX('Per Invoice'!I$2:I$401,$X371)="","",INDEX('Per Invoice'!I$2:I$401,$X371)))</f>
        <v/>
      </c>
      <c r="J371">
        <f>IF($X371="","",IF(INDEX('Per Invoice'!J$2:J$401,$X371)="","",INDEX('Per Invoice'!J$2:J$401,$X371)))</f>
        <v/>
      </c>
      <c r="K371" s="14">
        <f>IF($X371="","",IF(INDEX('Per Invoice'!K$2:K$401,$X371)="","",INDEX('Per Invoice'!K$2:K$401,$X371)))</f>
        <v/>
      </c>
      <c r="L371">
        <f>IF($X371="","",IF(INDEX('Per Invoice'!L$2:L$401,$X371)="","",INDEX('Per Invoice'!L$2:L$401,$X371)))</f>
        <v/>
      </c>
      <c r="M371" s="7">
        <f>IF($X371="","",IF(INDEX('Per Invoice'!M$2:M$401,$X371)="","",INDEX('Per Invoice'!M$2:M$401,$X371)))</f>
        <v/>
      </c>
      <c r="N371">
        <f>IF($X371="","",IF(INDEX('Per Invoice'!N$2:N$401,$X371)="","",INDEX('Per Invoice'!N$2:N$401,$X371)))</f>
        <v/>
      </c>
      <c r="O371" s="7">
        <f>IF($X371="","",IF(INDEX('Per Invoice'!O$2:O$401,$X371)="","",INDEX('Per Invoice'!O$2:O$401,$X371)))</f>
        <v/>
      </c>
      <c r="P371" s="7">
        <f>IF($X371="","",IF(INDEX('Per Invoice'!P$2:P$401,$X371)="","",INDEX('Per Invoice'!P$2:P$401,$X371)))</f>
        <v/>
      </c>
      <c r="Q371">
        <f>IF($X371="","",IF(INDEX('Per Invoice'!Q$2:Q$401,$X371)="","",INDEX('Per Invoice'!Q$2:Q$401,$X371)))</f>
        <v/>
      </c>
      <c r="R371" s="7">
        <f>IF($X371="","",IF(INDEX('Per Invoice'!R$2:R$401,$X371)="","",INDEX('Per Invoice'!R$2:R$401,$X371)))</f>
        <v/>
      </c>
      <c r="S371" s="7">
        <f>IF($X371="","",IF(INDEX('Per Invoice'!S$2:S$401,$X371)="","",INDEX('Per Invoice'!S$2:S$401,$X371)))</f>
        <v/>
      </c>
      <c r="T371" s="7">
        <f>IF($X371="","",IF(INDEX('Per Invoice'!T$2:T$401,$X371)="","",INDEX('Per Invoice'!T$2:T$401,$X371)))</f>
        <v/>
      </c>
      <c r="U371" s="7">
        <f>IF($X371="","",IF(INDEX('Per Invoice'!U$2:U$401,$X371)="","",INDEX('Per Invoice'!U$2:U$401,$X371)))</f>
        <v/>
      </c>
      <c r="V371" s="7">
        <f>IF($X371="","",IF(INDEX('Per Invoice'!V$2:V$401,$X371)="","",INDEX('Per Invoice'!V$2:V$401,$X371)))</f>
        <v/>
      </c>
      <c r="W371" s="7">
        <f>IF($X371="","",IF(INDEX('Per Invoice'!W$2:W$401,$X371)="","",INDEX('Per Invoice'!W$2:W$401,$X371)))</f>
        <v/>
      </c>
      <c r="X371" s="16">
        <f>IFERROR(MATCH(Settings!$C$33&amp;"|"&amp;ROWS($X$2:$X371),'Per Invoice'!$Y$2:$Y$401,0),"")</f>
        <v/>
      </c>
    </row>
    <row r="372">
      <c r="A372">
        <f>IF($X372="","",IF(INDEX('Per Invoice'!A$2:A$401,$X372)="","",INDEX('Per Invoice'!A$2:A$401,$X372)))</f>
        <v/>
      </c>
      <c r="B372">
        <f>IF($X372="","",IF(INDEX('Per Invoice'!B$2:B$401,$X372)="","",INDEX('Per Invoice'!B$2:B$401,$X372)))</f>
        <v/>
      </c>
      <c r="C372">
        <f>IF($X372="","",IF(INDEX('Per Invoice'!C$2:C$401,$X372)="","",INDEX('Per Invoice'!C$2:C$401,$X372)))</f>
        <v/>
      </c>
      <c r="D372">
        <f>IF($X372="","",IF(INDEX('Per Invoice'!D$2:D$401,$X372)="","",INDEX('Per Invoice'!D$2:D$401,$X372)))</f>
        <v/>
      </c>
      <c r="E372">
        <f>IF($X372="","",IF(INDEX('Per Invoice'!E$2:E$401,$X372)="","",INDEX('Per Invoice'!E$2:E$401,$X372)))</f>
        <v/>
      </c>
      <c r="F372">
        <f>IF($X372="","",IF(INDEX('Per Invoice'!F$2:F$401,$X372)="","",INDEX('Per Invoice'!F$2:F$401,$X372)))</f>
        <v/>
      </c>
      <c r="G372">
        <f>IF($X372="","",IF(INDEX('Per Invoice'!G$2:G$401,$X372)="","",INDEX('Per Invoice'!G$2:G$401,$X372)))</f>
        <v/>
      </c>
      <c r="H372">
        <f>IF($X372="","",IF(INDEX('Per Invoice'!H$2:H$401,$X372)="","",INDEX('Per Invoice'!H$2:H$401,$X372)))</f>
        <v/>
      </c>
      <c r="I372">
        <f>IF($X372="","",IF(INDEX('Per Invoice'!I$2:I$401,$X372)="","",INDEX('Per Invoice'!I$2:I$401,$X372)))</f>
        <v/>
      </c>
      <c r="J372">
        <f>IF($X372="","",IF(INDEX('Per Invoice'!J$2:J$401,$X372)="","",INDEX('Per Invoice'!J$2:J$401,$X372)))</f>
        <v/>
      </c>
      <c r="K372" s="14">
        <f>IF($X372="","",IF(INDEX('Per Invoice'!K$2:K$401,$X372)="","",INDEX('Per Invoice'!K$2:K$401,$X372)))</f>
        <v/>
      </c>
      <c r="L372">
        <f>IF($X372="","",IF(INDEX('Per Invoice'!L$2:L$401,$X372)="","",INDEX('Per Invoice'!L$2:L$401,$X372)))</f>
        <v/>
      </c>
      <c r="M372" s="7">
        <f>IF($X372="","",IF(INDEX('Per Invoice'!M$2:M$401,$X372)="","",INDEX('Per Invoice'!M$2:M$401,$X372)))</f>
        <v/>
      </c>
      <c r="N372">
        <f>IF($X372="","",IF(INDEX('Per Invoice'!N$2:N$401,$X372)="","",INDEX('Per Invoice'!N$2:N$401,$X372)))</f>
        <v/>
      </c>
      <c r="O372" s="7">
        <f>IF($X372="","",IF(INDEX('Per Invoice'!O$2:O$401,$X372)="","",INDEX('Per Invoice'!O$2:O$401,$X372)))</f>
        <v/>
      </c>
      <c r="P372" s="7">
        <f>IF($X372="","",IF(INDEX('Per Invoice'!P$2:P$401,$X372)="","",INDEX('Per Invoice'!P$2:P$401,$X372)))</f>
        <v/>
      </c>
      <c r="Q372">
        <f>IF($X372="","",IF(INDEX('Per Invoice'!Q$2:Q$401,$X372)="","",INDEX('Per Invoice'!Q$2:Q$401,$X372)))</f>
        <v/>
      </c>
      <c r="R372" s="7">
        <f>IF($X372="","",IF(INDEX('Per Invoice'!R$2:R$401,$X372)="","",INDEX('Per Invoice'!R$2:R$401,$X372)))</f>
        <v/>
      </c>
      <c r="S372" s="7">
        <f>IF($X372="","",IF(INDEX('Per Invoice'!S$2:S$401,$X372)="","",INDEX('Per Invoice'!S$2:S$401,$X372)))</f>
        <v/>
      </c>
      <c r="T372" s="7">
        <f>IF($X372="","",IF(INDEX('Per Invoice'!T$2:T$401,$X372)="","",INDEX('Per Invoice'!T$2:T$401,$X372)))</f>
        <v/>
      </c>
      <c r="U372" s="7">
        <f>IF($X372="","",IF(INDEX('Per Invoice'!U$2:U$401,$X372)="","",INDEX('Per Invoice'!U$2:U$401,$X372)))</f>
        <v/>
      </c>
      <c r="V372" s="7">
        <f>IF($X372="","",IF(INDEX('Per Invoice'!V$2:V$401,$X372)="","",INDEX('Per Invoice'!V$2:V$401,$X372)))</f>
        <v/>
      </c>
      <c r="W372" s="7">
        <f>IF($X372="","",IF(INDEX('Per Invoice'!W$2:W$401,$X372)="","",INDEX('Per Invoice'!W$2:W$401,$X372)))</f>
        <v/>
      </c>
      <c r="X372" s="16">
        <f>IFERROR(MATCH(Settings!$C$33&amp;"|"&amp;ROWS($X$2:$X372),'Per Invoice'!$Y$2:$Y$401,0),"")</f>
        <v/>
      </c>
    </row>
    <row r="373">
      <c r="A373">
        <f>IF($X373="","",IF(INDEX('Per Invoice'!A$2:A$401,$X373)="","",INDEX('Per Invoice'!A$2:A$401,$X373)))</f>
        <v/>
      </c>
      <c r="B373">
        <f>IF($X373="","",IF(INDEX('Per Invoice'!B$2:B$401,$X373)="","",INDEX('Per Invoice'!B$2:B$401,$X373)))</f>
        <v/>
      </c>
      <c r="C373">
        <f>IF($X373="","",IF(INDEX('Per Invoice'!C$2:C$401,$X373)="","",INDEX('Per Invoice'!C$2:C$401,$X373)))</f>
        <v/>
      </c>
      <c r="D373">
        <f>IF($X373="","",IF(INDEX('Per Invoice'!D$2:D$401,$X373)="","",INDEX('Per Invoice'!D$2:D$401,$X373)))</f>
        <v/>
      </c>
      <c r="E373">
        <f>IF($X373="","",IF(INDEX('Per Invoice'!E$2:E$401,$X373)="","",INDEX('Per Invoice'!E$2:E$401,$X373)))</f>
        <v/>
      </c>
      <c r="F373">
        <f>IF($X373="","",IF(INDEX('Per Invoice'!F$2:F$401,$X373)="","",INDEX('Per Invoice'!F$2:F$401,$X373)))</f>
        <v/>
      </c>
      <c r="G373">
        <f>IF($X373="","",IF(INDEX('Per Invoice'!G$2:G$401,$X373)="","",INDEX('Per Invoice'!G$2:G$401,$X373)))</f>
        <v/>
      </c>
      <c r="H373">
        <f>IF($X373="","",IF(INDEX('Per Invoice'!H$2:H$401,$X373)="","",INDEX('Per Invoice'!H$2:H$401,$X373)))</f>
        <v/>
      </c>
      <c r="I373">
        <f>IF($X373="","",IF(INDEX('Per Invoice'!I$2:I$401,$X373)="","",INDEX('Per Invoice'!I$2:I$401,$X373)))</f>
        <v/>
      </c>
      <c r="J373">
        <f>IF($X373="","",IF(INDEX('Per Invoice'!J$2:J$401,$X373)="","",INDEX('Per Invoice'!J$2:J$401,$X373)))</f>
        <v/>
      </c>
      <c r="K373" s="14">
        <f>IF($X373="","",IF(INDEX('Per Invoice'!K$2:K$401,$X373)="","",INDEX('Per Invoice'!K$2:K$401,$X373)))</f>
        <v/>
      </c>
      <c r="L373">
        <f>IF($X373="","",IF(INDEX('Per Invoice'!L$2:L$401,$X373)="","",INDEX('Per Invoice'!L$2:L$401,$X373)))</f>
        <v/>
      </c>
      <c r="M373" s="7">
        <f>IF($X373="","",IF(INDEX('Per Invoice'!M$2:M$401,$X373)="","",INDEX('Per Invoice'!M$2:M$401,$X373)))</f>
        <v/>
      </c>
      <c r="N373">
        <f>IF($X373="","",IF(INDEX('Per Invoice'!N$2:N$401,$X373)="","",INDEX('Per Invoice'!N$2:N$401,$X373)))</f>
        <v/>
      </c>
      <c r="O373" s="7">
        <f>IF($X373="","",IF(INDEX('Per Invoice'!O$2:O$401,$X373)="","",INDEX('Per Invoice'!O$2:O$401,$X373)))</f>
        <v/>
      </c>
      <c r="P373" s="7">
        <f>IF($X373="","",IF(INDEX('Per Invoice'!P$2:P$401,$X373)="","",INDEX('Per Invoice'!P$2:P$401,$X373)))</f>
        <v/>
      </c>
      <c r="Q373">
        <f>IF($X373="","",IF(INDEX('Per Invoice'!Q$2:Q$401,$X373)="","",INDEX('Per Invoice'!Q$2:Q$401,$X373)))</f>
        <v/>
      </c>
      <c r="R373" s="7">
        <f>IF($X373="","",IF(INDEX('Per Invoice'!R$2:R$401,$X373)="","",INDEX('Per Invoice'!R$2:R$401,$X373)))</f>
        <v/>
      </c>
      <c r="S373" s="7">
        <f>IF($X373="","",IF(INDEX('Per Invoice'!S$2:S$401,$X373)="","",INDEX('Per Invoice'!S$2:S$401,$X373)))</f>
        <v/>
      </c>
      <c r="T373" s="7">
        <f>IF($X373="","",IF(INDEX('Per Invoice'!T$2:T$401,$X373)="","",INDEX('Per Invoice'!T$2:T$401,$X373)))</f>
        <v/>
      </c>
      <c r="U373" s="7">
        <f>IF($X373="","",IF(INDEX('Per Invoice'!U$2:U$401,$X373)="","",INDEX('Per Invoice'!U$2:U$401,$X373)))</f>
        <v/>
      </c>
      <c r="V373" s="7">
        <f>IF($X373="","",IF(INDEX('Per Invoice'!V$2:V$401,$X373)="","",INDEX('Per Invoice'!V$2:V$401,$X373)))</f>
        <v/>
      </c>
      <c r="W373" s="7">
        <f>IF($X373="","",IF(INDEX('Per Invoice'!W$2:W$401,$X373)="","",INDEX('Per Invoice'!W$2:W$401,$X373)))</f>
        <v/>
      </c>
      <c r="X373" s="16">
        <f>IFERROR(MATCH(Settings!$C$33&amp;"|"&amp;ROWS($X$2:$X373),'Per Invoice'!$Y$2:$Y$401,0),"")</f>
        <v/>
      </c>
    </row>
    <row r="374">
      <c r="A374">
        <f>IF($X374="","",IF(INDEX('Per Invoice'!A$2:A$401,$X374)="","",INDEX('Per Invoice'!A$2:A$401,$X374)))</f>
        <v/>
      </c>
      <c r="B374">
        <f>IF($X374="","",IF(INDEX('Per Invoice'!B$2:B$401,$X374)="","",INDEX('Per Invoice'!B$2:B$401,$X374)))</f>
        <v/>
      </c>
      <c r="C374">
        <f>IF($X374="","",IF(INDEX('Per Invoice'!C$2:C$401,$X374)="","",INDEX('Per Invoice'!C$2:C$401,$X374)))</f>
        <v/>
      </c>
      <c r="D374">
        <f>IF($X374="","",IF(INDEX('Per Invoice'!D$2:D$401,$X374)="","",INDEX('Per Invoice'!D$2:D$401,$X374)))</f>
        <v/>
      </c>
      <c r="E374">
        <f>IF($X374="","",IF(INDEX('Per Invoice'!E$2:E$401,$X374)="","",INDEX('Per Invoice'!E$2:E$401,$X374)))</f>
        <v/>
      </c>
      <c r="F374">
        <f>IF($X374="","",IF(INDEX('Per Invoice'!F$2:F$401,$X374)="","",INDEX('Per Invoice'!F$2:F$401,$X374)))</f>
        <v/>
      </c>
      <c r="G374">
        <f>IF($X374="","",IF(INDEX('Per Invoice'!G$2:G$401,$X374)="","",INDEX('Per Invoice'!G$2:G$401,$X374)))</f>
        <v/>
      </c>
      <c r="H374">
        <f>IF($X374="","",IF(INDEX('Per Invoice'!H$2:H$401,$X374)="","",INDEX('Per Invoice'!H$2:H$401,$X374)))</f>
        <v/>
      </c>
      <c r="I374">
        <f>IF($X374="","",IF(INDEX('Per Invoice'!I$2:I$401,$X374)="","",INDEX('Per Invoice'!I$2:I$401,$X374)))</f>
        <v/>
      </c>
      <c r="J374">
        <f>IF($X374="","",IF(INDEX('Per Invoice'!J$2:J$401,$X374)="","",INDEX('Per Invoice'!J$2:J$401,$X374)))</f>
        <v/>
      </c>
      <c r="K374" s="14">
        <f>IF($X374="","",IF(INDEX('Per Invoice'!K$2:K$401,$X374)="","",INDEX('Per Invoice'!K$2:K$401,$X374)))</f>
        <v/>
      </c>
      <c r="L374">
        <f>IF($X374="","",IF(INDEX('Per Invoice'!L$2:L$401,$X374)="","",INDEX('Per Invoice'!L$2:L$401,$X374)))</f>
        <v/>
      </c>
      <c r="M374" s="7">
        <f>IF($X374="","",IF(INDEX('Per Invoice'!M$2:M$401,$X374)="","",INDEX('Per Invoice'!M$2:M$401,$X374)))</f>
        <v/>
      </c>
      <c r="N374">
        <f>IF($X374="","",IF(INDEX('Per Invoice'!N$2:N$401,$X374)="","",INDEX('Per Invoice'!N$2:N$401,$X374)))</f>
        <v/>
      </c>
      <c r="O374" s="7">
        <f>IF($X374="","",IF(INDEX('Per Invoice'!O$2:O$401,$X374)="","",INDEX('Per Invoice'!O$2:O$401,$X374)))</f>
        <v/>
      </c>
      <c r="P374" s="7">
        <f>IF($X374="","",IF(INDEX('Per Invoice'!P$2:P$401,$X374)="","",INDEX('Per Invoice'!P$2:P$401,$X374)))</f>
        <v/>
      </c>
      <c r="Q374">
        <f>IF($X374="","",IF(INDEX('Per Invoice'!Q$2:Q$401,$X374)="","",INDEX('Per Invoice'!Q$2:Q$401,$X374)))</f>
        <v/>
      </c>
      <c r="R374" s="7">
        <f>IF($X374="","",IF(INDEX('Per Invoice'!R$2:R$401,$X374)="","",INDEX('Per Invoice'!R$2:R$401,$X374)))</f>
        <v/>
      </c>
      <c r="S374" s="7">
        <f>IF($X374="","",IF(INDEX('Per Invoice'!S$2:S$401,$X374)="","",INDEX('Per Invoice'!S$2:S$401,$X374)))</f>
        <v/>
      </c>
      <c r="T374" s="7">
        <f>IF($X374="","",IF(INDEX('Per Invoice'!T$2:T$401,$X374)="","",INDEX('Per Invoice'!T$2:T$401,$X374)))</f>
        <v/>
      </c>
      <c r="U374" s="7">
        <f>IF($X374="","",IF(INDEX('Per Invoice'!U$2:U$401,$X374)="","",INDEX('Per Invoice'!U$2:U$401,$X374)))</f>
        <v/>
      </c>
      <c r="V374" s="7">
        <f>IF($X374="","",IF(INDEX('Per Invoice'!V$2:V$401,$X374)="","",INDEX('Per Invoice'!V$2:V$401,$X374)))</f>
        <v/>
      </c>
      <c r="W374" s="7">
        <f>IF($X374="","",IF(INDEX('Per Invoice'!W$2:W$401,$X374)="","",INDEX('Per Invoice'!W$2:W$401,$X374)))</f>
        <v/>
      </c>
      <c r="X374" s="16">
        <f>IFERROR(MATCH(Settings!$C$33&amp;"|"&amp;ROWS($X$2:$X374),'Per Invoice'!$Y$2:$Y$401,0),"")</f>
        <v/>
      </c>
    </row>
    <row r="375">
      <c r="A375">
        <f>IF($X375="","",IF(INDEX('Per Invoice'!A$2:A$401,$X375)="","",INDEX('Per Invoice'!A$2:A$401,$X375)))</f>
        <v/>
      </c>
      <c r="B375">
        <f>IF($X375="","",IF(INDEX('Per Invoice'!B$2:B$401,$X375)="","",INDEX('Per Invoice'!B$2:B$401,$X375)))</f>
        <v/>
      </c>
      <c r="C375">
        <f>IF($X375="","",IF(INDEX('Per Invoice'!C$2:C$401,$X375)="","",INDEX('Per Invoice'!C$2:C$401,$X375)))</f>
        <v/>
      </c>
      <c r="D375">
        <f>IF($X375="","",IF(INDEX('Per Invoice'!D$2:D$401,$X375)="","",INDEX('Per Invoice'!D$2:D$401,$X375)))</f>
        <v/>
      </c>
      <c r="E375">
        <f>IF($X375="","",IF(INDEX('Per Invoice'!E$2:E$401,$X375)="","",INDEX('Per Invoice'!E$2:E$401,$X375)))</f>
        <v/>
      </c>
      <c r="F375">
        <f>IF($X375="","",IF(INDEX('Per Invoice'!F$2:F$401,$X375)="","",INDEX('Per Invoice'!F$2:F$401,$X375)))</f>
        <v/>
      </c>
      <c r="G375">
        <f>IF($X375="","",IF(INDEX('Per Invoice'!G$2:G$401,$X375)="","",INDEX('Per Invoice'!G$2:G$401,$X375)))</f>
        <v/>
      </c>
      <c r="H375">
        <f>IF($X375="","",IF(INDEX('Per Invoice'!H$2:H$401,$X375)="","",INDEX('Per Invoice'!H$2:H$401,$X375)))</f>
        <v/>
      </c>
      <c r="I375">
        <f>IF($X375="","",IF(INDEX('Per Invoice'!I$2:I$401,$X375)="","",INDEX('Per Invoice'!I$2:I$401,$X375)))</f>
        <v/>
      </c>
      <c r="J375">
        <f>IF($X375="","",IF(INDEX('Per Invoice'!J$2:J$401,$X375)="","",INDEX('Per Invoice'!J$2:J$401,$X375)))</f>
        <v/>
      </c>
      <c r="K375" s="14">
        <f>IF($X375="","",IF(INDEX('Per Invoice'!K$2:K$401,$X375)="","",INDEX('Per Invoice'!K$2:K$401,$X375)))</f>
        <v/>
      </c>
      <c r="L375">
        <f>IF($X375="","",IF(INDEX('Per Invoice'!L$2:L$401,$X375)="","",INDEX('Per Invoice'!L$2:L$401,$X375)))</f>
        <v/>
      </c>
      <c r="M375" s="7">
        <f>IF($X375="","",IF(INDEX('Per Invoice'!M$2:M$401,$X375)="","",INDEX('Per Invoice'!M$2:M$401,$X375)))</f>
        <v/>
      </c>
      <c r="N375">
        <f>IF($X375="","",IF(INDEX('Per Invoice'!N$2:N$401,$X375)="","",INDEX('Per Invoice'!N$2:N$401,$X375)))</f>
        <v/>
      </c>
      <c r="O375" s="7">
        <f>IF($X375="","",IF(INDEX('Per Invoice'!O$2:O$401,$X375)="","",INDEX('Per Invoice'!O$2:O$401,$X375)))</f>
        <v/>
      </c>
      <c r="P375" s="7">
        <f>IF($X375="","",IF(INDEX('Per Invoice'!P$2:P$401,$X375)="","",INDEX('Per Invoice'!P$2:P$401,$X375)))</f>
        <v/>
      </c>
      <c r="Q375">
        <f>IF($X375="","",IF(INDEX('Per Invoice'!Q$2:Q$401,$X375)="","",INDEX('Per Invoice'!Q$2:Q$401,$X375)))</f>
        <v/>
      </c>
      <c r="R375" s="7">
        <f>IF($X375="","",IF(INDEX('Per Invoice'!R$2:R$401,$X375)="","",INDEX('Per Invoice'!R$2:R$401,$X375)))</f>
        <v/>
      </c>
      <c r="S375" s="7">
        <f>IF($X375="","",IF(INDEX('Per Invoice'!S$2:S$401,$X375)="","",INDEX('Per Invoice'!S$2:S$401,$X375)))</f>
        <v/>
      </c>
      <c r="T375" s="7">
        <f>IF($X375="","",IF(INDEX('Per Invoice'!T$2:T$401,$X375)="","",INDEX('Per Invoice'!T$2:T$401,$X375)))</f>
        <v/>
      </c>
      <c r="U375" s="7">
        <f>IF($X375="","",IF(INDEX('Per Invoice'!U$2:U$401,$X375)="","",INDEX('Per Invoice'!U$2:U$401,$X375)))</f>
        <v/>
      </c>
      <c r="V375" s="7">
        <f>IF($X375="","",IF(INDEX('Per Invoice'!V$2:V$401,$X375)="","",INDEX('Per Invoice'!V$2:V$401,$X375)))</f>
        <v/>
      </c>
      <c r="W375" s="7">
        <f>IF($X375="","",IF(INDEX('Per Invoice'!W$2:W$401,$X375)="","",INDEX('Per Invoice'!W$2:W$401,$X375)))</f>
        <v/>
      </c>
      <c r="X375" s="16">
        <f>IFERROR(MATCH(Settings!$C$33&amp;"|"&amp;ROWS($X$2:$X375),'Per Invoice'!$Y$2:$Y$401,0),"")</f>
        <v/>
      </c>
    </row>
    <row r="376">
      <c r="A376">
        <f>IF($X376="","",IF(INDEX('Per Invoice'!A$2:A$401,$X376)="","",INDEX('Per Invoice'!A$2:A$401,$X376)))</f>
        <v/>
      </c>
      <c r="B376">
        <f>IF($X376="","",IF(INDEX('Per Invoice'!B$2:B$401,$X376)="","",INDEX('Per Invoice'!B$2:B$401,$X376)))</f>
        <v/>
      </c>
      <c r="C376">
        <f>IF($X376="","",IF(INDEX('Per Invoice'!C$2:C$401,$X376)="","",INDEX('Per Invoice'!C$2:C$401,$X376)))</f>
        <v/>
      </c>
      <c r="D376">
        <f>IF($X376="","",IF(INDEX('Per Invoice'!D$2:D$401,$X376)="","",INDEX('Per Invoice'!D$2:D$401,$X376)))</f>
        <v/>
      </c>
      <c r="E376">
        <f>IF($X376="","",IF(INDEX('Per Invoice'!E$2:E$401,$X376)="","",INDEX('Per Invoice'!E$2:E$401,$X376)))</f>
        <v/>
      </c>
      <c r="F376">
        <f>IF($X376="","",IF(INDEX('Per Invoice'!F$2:F$401,$X376)="","",INDEX('Per Invoice'!F$2:F$401,$X376)))</f>
        <v/>
      </c>
      <c r="G376">
        <f>IF($X376="","",IF(INDEX('Per Invoice'!G$2:G$401,$X376)="","",INDEX('Per Invoice'!G$2:G$401,$X376)))</f>
        <v/>
      </c>
      <c r="H376">
        <f>IF($X376="","",IF(INDEX('Per Invoice'!H$2:H$401,$X376)="","",INDEX('Per Invoice'!H$2:H$401,$X376)))</f>
        <v/>
      </c>
      <c r="I376">
        <f>IF($X376="","",IF(INDEX('Per Invoice'!I$2:I$401,$X376)="","",INDEX('Per Invoice'!I$2:I$401,$X376)))</f>
        <v/>
      </c>
      <c r="J376">
        <f>IF($X376="","",IF(INDEX('Per Invoice'!J$2:J$401,$X376)="","",INDEX('Per Invoice'!J$2:J$401,$X376)))</f>
        <v/>
      </c>
      <c r="K376" s="14">
        <f>IF($X376="","",IF(INDEX('Per Invoice'!K$2:K$401,$X376)="","",INDEX('Per Invoice'!K$2:K$401,$X376)))</f>
        <v/>
      </c>
      <c r="L376">
        <f>IF($X376="","",IF(INDEX('Per Invoice'!L$2:L$401,$X376)="","",INDEX('Per Invoice'!L$2:L$401,$X376)))</f>
        <v/>
      </c>
      <c r="M376" s="7">
        <f>IF($X376="","",IF(INDEX('Per Invoice'!M$2:M$401,$X376)="","",INDEX('Per Invoice'!M$2:M$401,$X376)))</f>
        <v/>
      </c>
      <c r="N376">
        <f>IF($X376="","",IF(INDEX('Per Invoice'!N$2:N$401,$X376)="","",INDEX('Per Invoice'!N$2:N$401,$X376)))</f>
        <v/>
      </c>
      <c r="O376" s="7">
        <f>IF($X376="","",IF(INDEX('Per Invoice'!O$2:O$401,$X376)="","",INDEX('Per Invoice'!O$2:O$401,$X376)))</f>
        <v/>
      </c>
      <c r="P376" s="7">
        <f>IF($X376="","",IF(INDEX('Per Invoice'!P$2:P$401,$X376)="","",INDEX('Per Invoice'!P$2:P$401,$X376)))</f>
        <v/>
      </c>
      <c r="Q376">
        <f>IF($X376="","",IF(INDEX('Per Invoice'!Q$2:Q$401,$X376)="","",INDEX('Per Invoice'!Q$2:Q$401,$X376)))</f>
        <v/>
      </c>
      <c r="R376" s="7">
        <f>IF($X376="","",IF(INDEX('Per Invoice'!R$2:R$401,$X376)="","",INDEX('Per Invoice'!R$2:R$401,$X376)))</f>
        <v/>
      </c>
      <c r="S376" s="7">
        <f>IF($X376="","",IF(INDEX('Per Invoice'!S$2:S$401,$X376)="","",INDEX('Per Invoice'!S$2:S$401,$X376)))</f>
        <v/>
      </c>
      <c r="T376" s="7">
        <f>IF($X376="","",IF(INDEX('Per Invoice'!T$2:T$401,$X376)="","",INDEX('Per Invoice'!T$2:T$401,$X376)))</f>
        <v/>
      </c>
      <c r="U376" s="7">
        <f>IF($X376="","",IF(INDEX('Per Invoice'!U$2:U$401,$X376)="","",INDEX('Per Invoice'!U$2:U$401,$X376)))</f>
        <v/>
      </c>
      <c r="V376" s="7">
        <f>IF($X376="","",IF(INDEX('Per Invoice'!V$2:V$401,$X376)="","",INDEX('Per Invoice'!V$2:V$401,$X376)))</f>
        <v/>
      </c>
      <c r="W376" s="7">
        <f>IF($X376="","",IF(INDEX('Per Invoice'!W$2:W$401,$X376)="","",INDEX('Per Invoice'!W$2:W$401,$X376)))</f>
        <v/>
      </c>
      <c r="X376" s="16">
        <f>IFERROR(MATCH(Settings!$C$33&amp;"|"&amp;ROWS($X$2:$X376),'Per Invoice'!$Y$2:$Y$401,0),"")</f>
        <v/>
      </c>
    </row>
    <row r="377">
      <c r="A377">
        <f>IF($X377="","",IF(INDEX('Per Invoice'!A$2:A$401,$X377)="","",INDEX('Per Invoice'!A$2:A$401,$X377)))</f>
        <v/>
      </c>
      <c r="B377">
        <f>IF($X377="","",IF(INDEX('Per Invoice'!B$2:B$401,$X377)="","",INDEX('Per Invoice'!B$2:B$401,$X377)))</f>
        <v/>
      </c>
      <c r="C377">
        <f>IF($X377="","",IF(INDEX('Per Invoice'!C$2:C$401,$X377)="","",INDEX('Per Invoice'!C$2:C$401,$X377)))</f>
        <v/>
      </c>
      <c r="D377">
        <f>IF($X377="","",IF(INDEX('Per Invoice'!D$2:D$401,$X377)="","",INDEX('Per Invoice'!D$2:D$401,$X377)))</f>
        <v/>
      </c>
      <c r="E377">
        <f>IF($X377="","",IF(INDEX('Per Invoice'!E$2:E$401,$X377)="","",INDEX('Per Invoice'!E$2:E$401,$X377)))</f>
        <v/>
      </c>
      <c r="F377">
        <f>IF($X377="","",IF(INDEX('Per Invoice'!F$2:F$401,$X377)="","",INDEX('Per Invoice'!F$2:F$401,$X377)))</f>
        <v/>
      </c>
      <c r="G377">
        <f>IF($X377="","",IF(INDEX('Per Invoice'!G$2:G$401,$X377)="","",INDEX('Per Invoice'!G$2:G$401,$X377)))</f>
        <v/>
      </c>
      <c r="H377">
        <f>IF($X377="","",IF(INDEX('Per Invoice'!H$2:H$401,$X377)="","",INDEX('Per Invoice'!H$2:H$401,$X377)))</f>
        <v/>
      </c>
      <c r="I377">
        <f>IF($X377="","",IF(INDEX('Per Invoice'!I$2:I$401,$X377)="","",INDEX('Per Invoice'!I$2:I$401,$X377)))</f>
        <v/>
      </c>
      <c r="J377">
        <f>IF($X377="","",IF(INDEX('Per Invoice'!J$2:J$401,$X377)="","",INDEX('Per Invoice'!J$2:J$401,$X377)))</f>
        <v/>
      </c>
      <c r="K377" s="14">
        <f>IF($X377="","",IF(INDEX('Per Invoice'!K$2:K$401,$X377)="","",INDEX('Per Invoice'!K$2:K$401,$X377)))</f>
        <v/>
      </c>
      <c r="L377">
        <f>IF($X377="","",IF(INDEX('Per Invoice'!L$2:L$401,$X377)="","",INDEX('Per Invoice'!L$2:L$401,$X377)))</f>
        <v/>
      </c>
      <c r="M377" s="7">
        <f>IF($X377="","",IF(INDEX('Per Invoice'!M$2:M$401,$X377)="","",INDEX('Per Invoice'!M$2:M$401,$X377)))</f>
        <v/>
      </c>
      <c r="N377">
        <f>IF($X377="","",IF(INDEX('Per Invoice'!N$2:N$401,$X377)="","",INDEX('Per Invoice'!N$2:N$401,$X377)))</f>
        <v/>
      </c>
      <c r="O377" s="7">
        <f>IF($X377="","",IF(INDEX('Per Invoice'!O$2:O$401,$X377)="","",INDEX('Per Invoice'!O$2:O$401,$X377)))</f>
        <v/>
      </c>
      <c r="P377" s="7">
        <f>IF($X377="","",IF(INDEX('Per Invoice'!P$2:P$401,$X377)="","",INDEX('Per Invoice'!P$2:P$401,$X377)))</f>
        <v/>
      </c>
      <c r="Q377">
        <f>IF($X377="","",IF(INDEX('Per Invoice'!Q$2:Q$401,$X377)="","",INDEX('Per Invoice'!Q$2:Q$401,$X377)))</f>
        <v/>
      </c>
      <c r="R377" s="7">
        <f>IF($X377="","",IF(INDEX('Per Invoice'!R$2:R$401,$X377)="","",INDEX('Per Invoice'!R$2:R$401,$X377)))</f>
        <v/>
      </c>
      <c r="S377" s="7">
        <f>IF($X377="","",IF(INDEX('Per Invoice'!S$2:S$401,$X377)="","",INDEX('Per Invoice'!S$2:S$401,$X377)))</f>
        <v/>
      </c>
      <c r="T377" s="7">
        <f>IF($X377="","",IF(INDEX('Per Invoice'!T$2:T$401,$X377)="","",INDEX('Per Invoice'!T$2:T$401,$X377)))</f>
        <v/>
      </c>
      <c r="U377" s="7">
        <f>IF($X377="","",IF(INDEX('Per Invoice'!U$2:U$401,$X377)="","",INDEX('Per Invoice'!U$2:U$401,$X377)))</f>
        <v/>
      </c>
      <c r="V377" s="7">
        <f>IF($X377="","",IF(INDEX('Per Invoice'!V$2:V$401,$X377)="","",INDEX('Per Invoice'!V$2:V$401,$X377)))</f>
        <v/>
      </c>
      <c r="W377" s="7">
        <f>IF($X377="","",IF(INDEX('Per Invoice'!W$2:W$401,$X377)="","",INDEX('Per Invoice'!W$2:W$401,$X377)))</f>
        <v/>
      </c>
      <c r="X377" s="16">
        <f>IFERROR(MATCH(Settings!$C$33&amp;"|"&amp;ROWS($X$2:$X377),'Per Invoice'!$Y$2:$Y$401,0),"")</f>
        <v/>
      </c>
    </row>
    <row r="378">
      <c r="A378">
        <f>IF($X378="","",IF(INDEX('Per Invoice'!A$2:A$401,$X378)="","",INDEX('Per Invoice'!A$2:A$401,$X378)))</f>
        <v/>
      </c>
      <c r="B378">
        <f>IF($X378="","",IF(INDEX('Per Invoice'!B$2:B$401,$X378)="","",INDEX('Per Invoice'!B$2:B$401,$X378)))</f>
        <v/>
      </c>
      <c r="C378">
        <f>IF($X378="","",IF(INDEX('Per Invoice'!C$2:C$401,$X378)="","",INDEX('Per Invoice'!C$2:C$401,$X378)))</f>
        <v/>
      </c>
      <c r="D378">
        <f>IF($X378="","",IF(INDEX('Per Invoice'!D$2:D$401,$X378)="","",INDEX('Per Invoice'!D$2:D$401,$X378)))</f>
        <v/>
      </c>
      <c r="E378">
        <f>IF($X378="","",IF(INDEX('Per Invoice'!E$2:E$401,$X378)="","",INDEX('Per Invoice'!E$2:E$401,$X378)))</f>
        <v/>
      </c>
      <c r="F378">
        <f>IF($X378="","",IF(INDEX('Per Invoice'!F$2:F$401,$X378)="","",INDEX('Per Invoice'!F$2:F$401,$X378)))</f>
        <v/>
      </c>
      <c r="G378">
        <f>IF($X378="","",IF(INDEX('Per Invoice'!G$2:G$401,$X378)="","",INDEX('Per Invoice'!G$2:G$401,$X378)))</f>
        <v/>
      </c>
      <c r="H378">
        <f>IF($X378="","",IF(INDEX('Per Invoice'!H$2:H$401,$X378)="","",INDEX('Per Invoice'!H$2:H$401,$X378)))</f>
        <v/>
      </c>
      <c r="I378">
        <f>IF($X378="","",IF(INDEX('Per Invoice'!I$2:I$401,$X378)="","",INDEX('Per Invoice'!I$2:I$401,$X378)))</f>
        <v/>
      </c>
      <c r="J378">
        <f>IF($X378="","",IF(INDEX('Per Invoice'!J$2:J$401,$X378)="","",INDEX('Per Invoice'!J$2:J$401,$X378)))</f>
        <v/>
      </c>
      <c r="K378" s="14">
        <f>IF($X378="","",IF(INDEX('Per Invoice'!K$2:K$401,$X378)="","",INDEX('Per Invoice'!K$2:K$401,$X378)))</f>
        <v/>
      </c>
      <c r="L378">
        <f>IF($X378="","",IF(INDEX('Per Invoice'!L$2:L$401,$X378)="","",INDEX('Per Invoice'!L$2:L$401,$X378)))</f>
        <v/>
      </c>
      <c r="M378" s="7">
        <f>IF($X378="","",IF(INDEX('Per Invoice'!M$2:M$401,$X378)="","",INDEX('Per Invoice'!M$2:M$401,$X378)))</f>
        <v/>
      </c>
      <c r="N378">
        <f>IF($X378="","",IF(INDEX('Per Invoice'!N$2:N$401,$X378)="","",INDEX('Per Invoice'!N$2:N$401,$X378)))</f>
        <v/>
      </c>
      <c r="O378" s="7">
        <f>IF($X378="","",IF(INDEX('Per Invoice'!O$2:O$401,$X378)="","",INDEX('Per Invoice'!O$2:O$401,$X378)))</f>
        <v/>
      </c>
      <c r="P378" s="7">
        <f>IF($X378="","",IF(INDEX('Per Invoice'!P$2:P$401,$X378)="","",INDEX('Per Invoice'!P$2:P$401,$X378)))</f>
        <v/>
      </c>
      <c r="Q378">
        <f>IF($X378="","",IF(INDEX('Per Invoice'!Q$2:Q$401,$X378)="","",INDEX('Per Invoice'!Q$2:Q$401,$X378)))</f>
        <v/>
      </c>
      <c r="R378" s="7">
        <f>IF($X378="","",IF(INDEX('Per Invoice'!R$2:R$401,$X378)="","",INDEX('Per Invoice'!R$2:R$401,$X378)))</f>
        <v/>
      </c>
      <c r="S378" s="7">
        <f>IF($X378="","",IF(INDEX('Per Invoice'!S$2:S$401,$X378)="","",INDEX('Per Invoice'!S$2:S$401,$X378)))</f>
        <v/>
      </c>
      <c r="T378" s="7">
        <f>IF($X378="","",IF(INDEX('Per Invoice'!T$2:T$401,$X378)="","",INDEX('Per Invoice'!T$2:T$401,$X378)))</f>
        <v/>
      </c>
      <c r="U378" s="7">
        <f>IF($X378="","",IF(INDEX('Per Invoice'!U$2:U$401,$X378)="","",INDEX('Per Invoice'!U$2:U$401,$X378)))</f>
        <v/>
      </c>
      <c r="V378" s="7">
        <f>IF($X378="","",IF(INDEX('Per Invoice'!V$2:V$401,$X378)="","",INDEX('Per Invoice'!V$2:V$401,$X378)))</f>
        <v/>
      </c>
      <c r="W378" s="7">
        <f>IF($X378="","",IF(INDEX('Per Invoice'!W$2:W$401,$X378)="","",INDEX('Per Invoice'!W$2:W$401,$X378)))</f>
        <v/>
      </c>
      <c r="X378" s="16">
        <f>IFERROR(MATCH(Settings!$C$33&amp;"|"&amp;ROWS($X$2:$X378),'Per Invoice'!$Y$2:$Y$401,0),"")</f>
        <v/>
      </c>
    </row>
    <row r="379">
      <c r="A379">
        <f>IF($X379="","",IF(INDEX('Per Invoice'!A$2:A$401,$X379)="","",INDEX('Per Invoice'!A$2:A$401,$X379)))</f>
        <v/>
      </c>
      <c r="B379">
        <f>IF($X379="","",IF(INDEX('Per Invoice'!B$2:B$401,$X379)="","",INDEX('Per Invoice'!B$2:B$401,$X379)))</f>
        <v/>
      </c>
      <c r="C379">
        <f>IF($X379="","",IF(INDEX('Per Invoice'!C$2:C$401,$X379)="","",INDEX('Per Invoice'!C$2:C$401,$X379)))</f>
        <v/>
      </c>
      <c r="D379">
        <f>IF($X379="","",IF(INDEX('Per Invoice'!D$2:D$401,$X379)="","",INDEX('Per Invoice'!D$2:D$401,$X379)))</f>
        <v/>
      </c>
      <c r="E379">
        <f>IF($X379="","",IF(INDEX('Per Invoice'!E$2:E$401,$X379)="","",INDEX('Per Invoice'!E$2:E$401,$X379)))</f>
        <v/>
      </c>
      <c r="F379">
        <f>IF($X379="","",IF(INDEX('Per Invoice'!F$2:F$401,$X379)="","",INDEX('Per Invoice'!F$2:F$401,$X379)))</f>
        <v/>
      </c>
      <c r="G379">
        <f>IF($X379="","",IF(INDEX('Per Invoice'!G$2:G$401,$X379)="","",INDEX('Per Invoice'!G$2:G$401,$X379)))</f>
        <v/>
      </c>
      <c r="H379">
        <f>IF($X379="","",IF(INDEX('Per Invoice'!H$2:H$401,$X379)="","",INDEX('Per Invoice'!H$2:H$401,$X379)))</f>
        <v/>
      </c>
      <c r="I379">
        <f>IF($X379="","",IF(INDEX('Per Invoice'!I$2:I$401,$X379)="","",INDEX('Per Invoice'!I$2:I$401,$X379)))</f>
        <v/>
      </c>
      <c r="J379">
        <f>IF($X379="","",IF(INDEX('Per Invoice'!J$2:J$401,$X379)="","",INDEX('Per Invoice'!J$2:J$401,$X379)))</f>
        <v/>
      </c>
      <c r="K379" s="14">
        <f>IF($X379="","",IF(INDEX('Per Invoice'!K$2:K$401,$X379)="","",INDEX('Per Invoice'!K$2:K$401,$X379)))</f>
        <v/>
      </c>
      <c r="L379">
        <f>IF($X379="","",IF(INDEX('Per Invoice'!L$2:L$401,$X379)="","",INDEX('Per Invoice'!L$2:L$401,$X379)))</f>
        <v/>
      </c>
      <c r="M379" s="7">
        <f>IF($X379="","",IF(INDEX('Per Invoice'!M$2:M$401,$X379)="","",INDEX('Per Invoice'!M$2:M$401,$X379)))</f>
        <v/>
      </c>
      <c r="N379">
        <f>IF($X379="","",IF(INDEX('Per Invoice'!N$2:N$401,$X379)="","",INDEX('Per Invoice'!N$2:N$401,$X379)))</f>
        <v/>
      </c>
      <c r="O379" s="7">
        <f>IF($X379="","",IF(INDEX('Per Invoice'!O$2:O$401,$X379)="","",INDEX('Per Invoice'!O$2:O$401,$X379)))</f>
        <v/>
      </c>
      <c r="P379" s="7">
        <f>IF($X379="","",IF(INDEX('Per Invoice'!P$2:P$401,$X379)="","",INDEX('Per Invoice'!P$2:P$401,$X379)))</f>
        <v/>
      </c>
      <c r="Q379">
        <f>IF($X379="","",IF(INDEX('Per Invoice'!Q$2:Q$401,$X379)="","",INDEX('Per Invoice'!Q$2:Q$401,$X379)))</f>
        <v/>
      </c>
      <c r="R379" s="7">
        <f>IF($X379="","",IF(INDEX('Per Invoice'!R$2:R$401,$X379)="","",INDEX('Per Invoice'!R$2:R$401,$X379)))</f>
        <v/>
      </c>
      <c r="S379" s="7">
        <f>IF($X379="","",IF(INDEX('Per Invoice'!S$2:S$401,$X379)="","",INDEX('Per Invoice'!S$2:S$401,$X379)))</f>
        <v/>
      </c>
      <c r="T379" s="7">
        <f>IF($X379="","",IF(INDEX('Per Invoice'!T$2:T$401,$X379)="","",INDEX('Per Invoice'!T$2:T$401,$X379)))</f>
        <v/>
      </c>
      <c r="U379" s="7">
        <f>IF($X379="","",IF(INDEX('Per Invoice'!U$2:U$401,$X379)="","",INDEX('Per Invoice'!U$2:U$401,$X379)))</f>
        <v/>
      </c>
      <c r="V379" s="7">
        <f>IF($X379="","",IF(INDEX('Per Invoice'!V$2:V$401,$X379)="","",INDEX('Per Invoice'!V$2:V$401,$X379)))</f>
        <v/>
      </c>
      <c r="W379" s="7">
        <f>IF($X379="","",IF(INDEX('Per Invoice'!W$2:W$401,$X379)="","",INDEX('Per Invoice'!W$2:W$401,$X379)))</f>
        <v/>
      </c>
      <c r="X379" s="16">
        <f>IFERROR(MATCH(Settings!$C$33&amp;"|"&amp;ROWS($X$2:$X379),'Per Invoice'!$Y$2:$Y$401,0),"")</f>
        <v/>
      </c>
    </row>
    <row r="380">
      <c r="A380">
        <f>IF($X380="","",IF(INDEX('Per Invoice'!A$2:A$401,$X380)="","",INDEX('Per Invoice'!A$2:A$401,$X380)))</f>
        <v/>
      </c>
      <c r="B380">
        <f>IF($X380="","",IF(INDEX('Per Invoice'!B$2:B$401,$X380)="","",INDEX('Per Invoice'!B$2:B$401,$X380)))</f>
        <v/>
      </c>
      <c r="C380">
        <f>IF($X380="","",IF(INDEX('Per Invoice'!C$2:C$401,$X380)="","",INDEX('Per Invoice'!C$2:C$401,$X380)))</f>
        <v/>
      </c>
      <c r="D380">
        <f>IF($X380="","",IF(INDEX('Per Invoice'!D$2:D$401,$X380)="","",INDEX('Per Invoice'!D$2:D$401,$X380)))</f>
        <v/>
      </c>
      <c r="E380">
        <f>IF($X380="","",IF(INDEX('Per Invoice'!E$2:E$401,$X380)="","",INDEX('Per Invoice'!E$2:E$401,$X380)))</f>
        <v/>
      </c>
      <c r="F380">
        <f>IF($X380="","",IF(INDEX('Per Invoice'!F$2:F$401,$X380)="","",INDEX('Per Invoice'!F$2:F$401,$X380)))</f>
        <v/>
      </c>
      <c r="G380">
        <f>IF($X380="","",IF(INDEX('Per Invoice'!G$2:G$401,$X380)="","",INDEX('Per Invoice'!G$2:G$401,$X380)))</f>
        <v/>
      </c>
      <c r="H380">
        <f>IF($X380="","",IF(INDEX('Per Invoice'!H$2:H$401,$X380)="","",INDEX('Per Invoice'!H$2:H$401,$X380)))</f>
        <v/>
      </c>
      <c r="I380">
        <f>IF($X380="","",IF(INDEX('Per Invoice'!I$2:I$401,$X380)="","",INDEX('Per Invoice'!I$2:I$401,$X380)))</f>
        <v/>
      </c>
      <c r="J380">
        <f>IF($X380="","",IF(INDEX('Per Invoice'!J$2:J$401,$X380)="","",INDEX('Per Invoice'!J$2:J$401,$X380)))</f>
        <v/>
      </c>
      <c r="K380" s="14">
        <f>IF($X380="","",IF(INDEX('Per Invoice'!K$2:K$401,$X380)="","",INDEX('Per Invoice'!K$2:K$401,$X380)))</f>
        <v/>
      </c>
      <c r="L380">
        <f>IF($X380="","",IF(INDEX('Per Invoice'!L$2:L$401,$X380)="","",INDEX('Per Invoice'!L$2:L$401,$X380)))</f>
        <v/>
      </c>
      <c r="M380" s="7">
        <f>IF($X380="","",IF(INDEX('Per Invoice'!M$2:M$401,$X380)="","",INDEX('Per Invoice'!M$2:M$401,$X380)))</f>
        <v/>
      </c>
      <c r="N380">
        <f>IF($X380="","",IF(INDEX('Per Invoice'!N$2:N$401,$X380)="","",INDEX('Per Invoice'!N$2:N$401,$X380)))</f>
        <v/>
      </c>
      <c r="O380" s="7">
        <f>IF($X380="","",IF(INDEX('Per Invoice'!O$2:O$401,$X380)="","",INDEX('Per Invoice'!O$2:O$401,$X380)))</f>
        <v/>
      </c>
      <c r="P380" s="7">
        <f>IF($X380="","",IF(INDEX('Per Invoice'!P$2:P$401,$X380)="","",INDEX('Per Invoice'!P$2:P$401,$X380)))</f>
        <v/>
      </c>
      <c r="Q380">
        <f>IF($X380="","",IF(INDEX('Per Invoice'!Q$2:Q$401,$X380)="","",INDEX('Per Invoice'!Q$2:Q$401,$X380)))</f>
        <v/>
      </c>
      <c r="R380" s="7">
        <f>IF($X380="","",IF(INDEX('Per Invoice'!R$2:R$401,$X380)="","",INDEX('Per Invoice'!R$2:R$401,$X380)))</f>
        <v/>
      </c>
      <c r="S380" s="7">
        <f>IF($X380="","",IF(INDEX('Per Invoice'!S$2:S$401,$X380)="","",INDEX('Per Invoice'!S$2:S$401,$X380)))</f>
        <v/>
      </c>
      <c r="T380" s="7">
        <f>IF($X380="","",IF(INDEX('Per Invoice'!T$2:T$401,$X380)="","",INDEX('Per Invoice'!T$2:T$401,$X380)))</f>
        <v/>
      </c>
      <c r="U380" s="7">
        <f>IF($X380="","",IF(INDEX('Per Invoice'!U$2:U$401,$X380)="","",INDEX('Per Invoice'!U$2:U$401,$X380)))</f>
        <v/>
      </c>
      <c r="V380" s="7">
        <f>IF($X380="","",IF(INDEX('Per Invoice'!V$2:V$401,$X380)="","",INDEX('Per Invoice'!V$2:V$401,$X380)))</f>
        <v/>
      </c>
      <c r="W380" s="7">
        <f>IF($X380="","",IF(INDEX('Per Invoice'!W$2:W$401,$X380)="","",INDEX('Per Invoice'!W$2:W$401,$X380)))</f>
        <v/>
      </c>
      <c r="X380" s="16">
        <f>IFERROR(MATCH(Settings!$C$33&amp;"|"&amp;ROWS($X$2:$X380),'Per Invoice'!$Y$2:$Y$401,0),"")</f>
        <v/>
      </c>
    </row>
    <row r="381">
      <c r="A381">
        <f>IF($X381="","",IF(INDEX('Per Invoice'!A$2:A$401,$X381)="","",INDEX('Per Invoice'!A$2:A$401,$X381)))</f>
        <v/>
      </c>
      <c r="B381">
        <f>IF($X381="","",IF(INDEX('Per Invoice'!B$2:B$401,$X381)="","",INDEX('Per Invoice'!B$2:B$401,$X381)))</f>
        <v/>
      </c>
      <c r="C381">
        <f>IF($X381="","",IF(INDEX('Per Invoice'!C$2:C$401,$X381)="","",INDEX('Per Invoice'!C$2:C$401,$X381)))</f>
        <v/>
      </c>
      <c r="D381">
        <f>IF($X381="","",IF(INDEX('Per Invoice'!D$2:D$401,$X381)="","",INDEX('Per Invoice'!D$2:D$401,$X381)))</f>
        <v/>
      </c>
      <c r="E381">
        <f>IF($X381="","",IF(INDEX('Per Invoice'!E$2:E$401,$X381)="","",INDEX('Per Invoice'!E$2:E$401,$X381)))</f>
        <v/>
      </c>
      <c r="F381">
        <f>IF($X381="","",IF(INDEX('Per Invoice'!F$2:F$401,$X381)="","",INDEX('Per Invoice'!F$2:F$401,$X381)))</f>
        <v/>
      </c>
      <c r="G381">
        <f>IF($X381="","",IF(INDEX('Per Invoice'!G$2:G$401,$X381)="","",INDEX('Per Invoice'!G$2:G$401,$X381)))</f>
        <v/>
      </c>
      <c r="H381">
        <f>IF($X381="","",IF(INDEX('Per Invoice'!H$2:H$401,$X381)="","",INDEX('Per Invoice'!H$2:H$401,$X381)))</f>
        <v/>
      </c>
      <c r="I381">
        <f>IF($X381="","",IF(INDEX('Per Invoice'!I$2:I$401,$X381)="","",INDEX('Per Invoice'!I$2:I$401,$X381)))</f>
        <v/>
      </c>
      <c r="J381">
        <f>IF($X381="","",IF(INDEX('Per Invoice'!J$2:J$401,$X381)="","",INDEX('Per Invoice'!J$2:J$401,$X381)))</f>
        <v/>
      </c>
      <c r="K381" s="14">
        <f>IF($X381="","",IF(INDEX('Per Invoice'!K$2:K$401,$X381)="","",INDEX('Per Invoice'!K$2:K$401,$X381)))</f>
        <v/>
      </c>
      <c r="L381">
        <f>IF($X381="","",IF(INDEX('Per Invoice'!L$2:L$401,$X381)="","",INDEX('Per Invoice'!L$2:L$401,$X381)))</f>
        <v/>
      </c>
      <c r="M381" s="7">
        <f>IF($X381="","",IF(INDEX('Per Invoice'!M$2:M$401,$X381)="","",INDEX('Per Invoice'!M$2:M$401,$X381)))</f>
        <v/>
      </c>
      <c r="N381">
        <f>IF($X381="","",IF(INDEX('Per Invoice'!N$2:N$401,$X381)="","",INDEX('Per Invoice'!N$2:N$401,$X381)))</f>
        <v/>
      </c>
      <c r="O381" s="7">
        <f>IF($X381="","",IF(INDEX('Per Invoice'!O$2:O$401,$X381)="","",INDEX('Per Invoice'!O$2:O$401,$X381)))</f>
        <v/>
      </c>
      <c r="P381" s="7">
        <f>IF($X381="","",IF(INDEX('Per Invoice'!P$2:P$401,$X381)="","",INDEX('Per Invoice'!P$2:P$401,$X381)))</f>
        <v/>
      </c>
      <c r="Q381">
        <f>IF($X381="","",IF(INDEX('Per Invoice'!Q$2:Q$401,$X381)="","",INDEX('Per Invoice'!Q$2:Q$401,$X381)))</f>
        <v/>
      </c>
      <c r="R381" s="7">
        <f>IF($X381="","",IF(INDEX('Per Invoice'!R$2:R$401,$X381)="","",INDEX('Per Invoice'!R$2:R$401,$X381)))</f>
        <v/>
      </c>
      <c r="S381" s="7">
        <f>IF($X381="","",IF(INDEX('Per Invoice'!S$2:S$401,$X381)="","",INDEX('Per Invoice'!S$2:S$401,$X381)))</f>
        <v/>
      </c>
      <c r="T381" s="7">
        <f>IF($X381="","",IF(INDEX('Per Invoice'!T$2:T$401,$X381)="","",INDEX('Per Invoice'!T$2:T$401,$X381)))</f>
        <v/>
      </c>
      <c r="U381" s="7">
        <f>IF($X381="","",IF(INDEX('Per Invoice'!U$2:U$401,$X381)="","",INDEX('Per Invoice'!U$2:U$401,$X381)))</f>
        <v/>
      </c>
      <c r="V381" s="7">
        <f>IF($X381="","",IF(INDEX('Per Invoice'!V$2:V$401,$X381)="","",INDEX('Per Invoice'!V$2:V$401,$X381)))</f>
        <v/>
      </c>
      <c r="W381" s="7">
        <f>IF($X381="","",IF(INDEX('Per Invoice'!W$2:W$401,$X381)="","",INDEX('Per Invoice'!W$2:W$401,$X381)))</f>
        <v/>
      </c>
      <c r="X381" s="16">
        <f>IFERROR(MATCH(Settings!$C$33&amp;"|"&amp;ROWS($X$2:$X381),'Per Invoice'!$Y$2:$Y$401,0),"")</f>
        <v/>
      </c>
    </row>
    <row r="382">
      <c r="A382">
        <f>IF($X382="","",IF(INDEX('Per Invoice'!A$2:A$401,$X382)="","",INDEX('Per Invoice'!A$2:A$401,$X382)))</f>
        <v/>
      </c>
      <c r="B382">
        <f>IF($X382="","",IF(INDEX('Per Invoice'!B$2:B$401,$X382)="","",INDEX('Per Invoice'!B$2:B$401,$X382)))</f>
        <v/>
      </c>
      <c r="C382">
        <f>IF($X382="","",IF(INDEX('Per Invoice'!C$2:C$401,$X382)="","",INDEX('Per Invoice'!C$2:C$401,$X382)))</f>
        <v/>
      </c>
      <c r="D382">
        <f>IF($X382="","",IF(INDEX('Per Invoice'!D$2:D$401,$X382)="","",INDEX('Per Invoice'!D$2:D$401,$X382)))</f>
        <v/>
      </c>
      <c r="E382">
        <f>IF($X382="","",IF(INDEX('Per Invoice'!E$2:E$401,$X382)="","",INDEX('Per Invoice'!E$2:E$401,$X382)))</f>
        <v/>
      </c>
      <c r="F382">
        <f>IF($X382="","",IF(INDEX('Per Invoice'!F$2:F$401,$X382)="","",INDEX('Per Invoice'!F$2:F$401,$X382)))</f>
        <v/>
      </c>
      <c r="G382">
        <f>IF($X382="","",IF(INDEX('Per Invoice'!G$2:G$401,$X382)="","",INDEX('Per Invoice'!G$2:G$401,$X382)))</f>
        <v/>
      </c>
      <c r="H382">
        <f>IF($X382="","",IF(INDEX('Per Invoice'!H$2:H$401,$X382)="","",INDEX('Per Invoice'!H$2:H$401,$X382)))</f>
        <v/>
      </c>
      <c r="I382">
        <f>IF($X382="","",IF(INDEX('Per Invoice'!I$2:I$401,$X382)="","",INDEX('Per Invoice'!I$2:I$401,$X382)))</f>
        <v/>
      </c>
      <c r="J382">
        <f>IF($X382="","",IF(INDEX('Per Invoice'!J$2:J$401,$X382)="","",INDEX('Per Invoice'!J$2:J$401,$X382)))</f>
        <v/>
      </c>
      <c r="K382" s="14">
        <f>IF($X382="","",IF(INDEX('Per Invoice'!K$2:K$401,$X382)="","",INDEX('Per Invoice'!K$2:K$401,$X382)))</f>
        <v/>
      </c>
      <c r="L382">
        <f>IF($X382="","",IF(INDEX('Per Invoice'!L$2:L$401,$X382)="","",INDEX('Per Invoice'!L$2:L$401,$X382)))</f>
        <v/>
      </c>
      <c r="M382" s="7">
        <f>IF($X382="","",IF(INDEX('Per Invoice'!M$2:M$401,$X382)="","",INDEX('Per Invoice'!M$2:M$401,$X382)))</f>
        <v/>
      </c>
      <c r="N382">
        <f>IF($X382="","",IF(INDEX('Per Invoice'!N$2:N$401,$X382)="","",INDEX('Per Invoice'!N$2:N$401,$X382)))</f>
        <v/>
      </c>
      <c r="O382" s="7">
        <f>IF($X382="","",IF(INDEX('Per Invoice'!O$2:O$401,$X382)="","",INDEX('Per Invoice'!O$2:O$401,$X382)))</f>
        <v/>
      </c>
      <c r="P382" s="7">
        <f>IF($X382="","",IF(INDEX('Per Invoice'!P$2:P$401,$X382)="","",INDEX('Per Invoice'!P$2:P$401,$X382)))</f>
        <v/>
      </c>
      <c r="Q382">
        <f>IF($X382="","",IF(INDEX('Per Invoice'!Q$2:Q$401,$X382)="","",INDEX('Per Invoice'!Q$2:Q$401,$X382)))</f>
        <v/>
      </c>
      <c r="R382" s="7">
        <f>IF($X382="","",IF(INDEX('Per Invoice'!R$2:R$401,$X382)="","",INDEX('Per Invoice'!R$2:R$401,$X382)))</f>
        <v/>
      </c>
      <c r="S382" s="7">
        <f>IF($X382="","",IF(INDEX('Per Invoice'!S$2:S$401,$X382)="","",INDEX('Per Invoice'!S$2:S$401,$X382)))</f>
        <v/>
      </c>
      <c r="T382" s="7">
        <f>IF($X382="","",IF(INDEX('Per Invoice'!T$2:T$401,$X382)="","",INDEX('Per Invoice'!T$2:T$401,$X382)))</f>
        <v/>
      </c>
      <c r="U382" s="7">
        <f>IF($X382="","",IF(INDEX('Per Invoice'!U$2:U$401,$X382)="","",INDEX('Per Invoice'!U$2:U$401,$X382)))</f>
        <v/>
      </c>
      <c r="V382" s="7">
        <f>IF($X382="","",IF(INDEX('Per Invoice'!V$2:V$401,$X382)="","",INDEX('Per Invoice'!V$2:V$401,$X382)))</f>
        <v/>
      </c>
      <c r="W382" s="7">
        <f>IF($X382="","",IF(INDEX('Per Invoice'!W$2:W$401,$X382)="","",INDEX('Per Invoice'!W$2:W$401,$X382)))</f>
        <v/>
      </c>
      <c r="X382" s="16">
        <f>IFERROR(MATCH(Settings!$C$33&amp;"|"&amp;ROWS($X$2:$X382),'Per Invoice'!$Y$2:$Y$401,0),"")</f>
        <v/>
      </c>
    </row>
    <row r="383">
      <c r="A383">
        <f>IF($X383="","",IF(INDEX('Per Invoice'!A$2:A$401,$X383)="","",INDEX('Per Invoice'!A$2:A$401,$X383)))</f>
        <v/>
      </c>
      <c r="B383">
        <f>IF($X383="","",IF(INDEX('Per Invoice'!B$2:B$401,$X383)="","",INDEX('Per Invoice'!B$2:B$401,$X383)))</f>
        <v/>
      </c>
      <c r="C383">
        <f>IF($X383="","",IF(INDEX('Per Invoice'!C$2:C$401,$X383)="","",INDEX('Per Invoice'!C$2:C$401,$X383)))</f>
        <v/>
      </c>
      <c r="D383">
        <f>IF($X383="","",IF(INDEX('Per Invoice'!D$2:D$401,$X383)="","",INDEX('Per Invoice'!D$2:D$401,$X383)))</f>
        <v/>
      </c>
      <c r="E383">
        <f>IF($X383="","",IF(INDEX('Per Invoice'!E$2:E$401,$X383)="","",INDEX('Per Invoice'!E$2:E$401,$X383)))</f>
        <v/>
      </c>
      <c r="F383">
        <f>IF($X383="","",IF(INDEX('Per Invoice'!F$2:F$401,$X383)="","",INDEX('Per Invoice'!F$2:F$401,$X383)))</f>
        <v/>
      </c>
      <c r="G383">
        <f>IF($X383="","",IF(INDEX('Per Invoice'!G$2:G$401,$X383)="","",INDEX('Per Invoice'!G$2:G$401,$X383)))</f>
        <v/>
      </c>
      <c r="H383">
        <f>IF($X383="","",IF(INDEX('Per Invoice'!H$2:H$401,$X383)="","",INDEX('Per Invoice'!H$2:H$401,$X383)))</f>
        <v/>
      </c>
      <c r="I383">
        <f>IF($X383="","",IF(INDEX('Per Invoice'!I$2:I$401,$X383)="","",INDEX('Per Invoice'!I$2:I$401,$X383)))</f>
        <v/>
      </c>
      <c r="J383">
        <f>IF($X383="","",IF(INDEX('Per Invoice'!J$2:J$401,$X383)="","",INDEX('Per Invoice'!J$2:J$401,$X383)))</f>
        <v/>
      </c>
      <c r="K383" s="14">
        <f>IF($X383="","",IF(INDEX('Per Invoice'!K$2:K$401,$X383)="","",INDEX('Per Invoice'!K$2:K$401,$X383)))</f>
        <v/>
      </c>
      <c r="L383">
        <f>IF($X383="","",IF(INDEX('Per Invoice'!L$2:L$401,$X383)="","",INDEX('Per Invoice'!L$2:L$401,$X383)))</f>
        <v/>
      </c>
      <c r="M383" s="7">
        <f>IF($X383="","",IF(INDEX('Per Invoice'!M$2:M$401,$X383)="","",INDEX('Per Invoice'!M$2:M$401,$X383)))</f>
        <v/>
      </c>
      <c r="N383">
        <f>IF($X383="","",IF(INDEX('Per Invoice'!N$2:N$401,$X383)="","",INDEX('Per Invoice'!N$2:N$401,$X383)))</f>
        <v/>
      </c>
      <c r="O383" s="7">
        <f>IF($X383="","",IF(INDEX('Per Invoice'!O$2:O$401,$X383)="","",INDEX('Per Invoice'!O$2:O$401,$X383)))</f>
        <v/>
      </c>
      <c r="P383" s="7">
        <f>IF($X383="","",IF(INDEX('Per Invoice'!P$2:P$401,$X383)="","",INDEX('Per Invoice'!P$2:P$401,$X383)))</f>
        <v/>
      </c>
      <c r="Q383">
        <f>IF($X383="","",IF(INDEX('Per Invoice'!Q$2:Q$401,$X383)="","",INDEX('Per Invoice'!Q$2:Q$401,$X383)))</f>
        <v/>
      </c>
      <c r="R383" s="7">
        <f>IF($X383="","",IF(INDEX('Per Invoice'!R$2:R$401,$X383)="","",INDEX('Per Invoice'!R$2:R$401,$X383)))</f>
        <v/>
      </c>
      <c r="S383" s="7">
        <f>IF($X383="","",IF(INDEX('Per Invoice'!S$2:S$401,$X383)="","",INDEX('Per Invoice'!S$2:S$401,$X383)))</f>
        <v/>
      </c>
      <c r="T383" s="7">
        <f>IF($X383="","",IF(INDEX('Per Invoice'!T$2:T$401,$X383)="","",INDEX('Per Invoice'!T$2:T$401,$X383)))</f>
        <v/>
      </c>
      <c r="U383" s="7">
        <f>IF($X383="","",IF(INDEX('Per Invoice'!U$2:U$401,$X383)="","",INDEX('Per Invoice'!U$2:U$401,$X383)))</f>
        <v/>
      </c>
      <c r="V383" s="7">
        <f>IF($X383="","",IF(INDEX('Per Invoice'!V$2:V$401,$X383)="","",INDEX('Per Invoice'!V$2:V$401,$X383)))</f>
        <v/>
      </c>
      <c r="W383" s="7">
        <f>IF($X383="","",IF(INDEX('Per Invoice'!W$2:W$401,$X383)="","",INDEX('Per Invoice'!W$2:W$401,$X383)))</f>
        <v/>
      </c>
      <c r="X383" s="16">
        <f>IFERROR(MATCH(Settings!$C$33&amp;"|"&amp;ROWS($X$2:$X383),'Per Invoice'!$Y$2:$Y$401,0),"")</f>
        <v/>
      </c>
    </row>
    <row r="384">
      <c r="A384">
        <f>IF($X384="","",IF(INDEX('Per Invoice'!A$2:A$401,$X384)="","",INDEX('Per Invoice'!A$2:A$401,$X384)))</f>
        <v/>
      </c>
      <c r="B384">
        <f>IF($X384="","",IF(INDEX('Per Invoice'!B$2:B$401,$X384)="","",INDEX('Per Invoice'!B$2:B$401,$X384)))</f>
        <v/>
      </c>
      <c r="C384">
        <f>IF($X384="","",IF(INDEX('Per Invoice'!C$2:C$401,$X384)="","",INDEX('Per Invoice'!C$2:C$401,$X384)))</f>
        <v/>
      </c>
      <c r="D384">
        <f>IF($X384="","",IF(INDEX('Per Invoice'!D$2:D$401,$X384)="","",INDEX('Per Invoice'!D$2:D$401,$X384)))</f>
        <v/>
      </c>
      <c r="E384">
        <f>IF($X384="","",IF(INDEX('Per Invoice'!E$2:E$401,$X384)="","",INDEX('Per Invoice'!E$2:E$401,$X384)))</f>
        <v/>
      </c>
      <c r="F384">
        <f>IF($X384="","",IF(INDEX('Per Invoice'!F$2:F$401,$X384)="","",INDEX('Per Invoice'!F$2:F$401,$X384)))</f>
        <v/>
      </c>
      <c r="G384">
        <f>IF($X384="","",IF(INDEX('Per Invoice'!G$2:G$401,$X384)="","",INDEX('Per Invoice'!G$2:G$401,$X384)))</f>
        <v/>
      </c>
      <c r="H384">
        <f>IF($X384="","",IF(INDEX('Per Invoice'!H$2:H$401,$X384)="","",INDEX('Per Invoice'!H$2:H$401,$X384)))</f>
        <v/>
      </c>
      <c r="I384">
        <f>IF($X384="","",IF(INDEX('Per Invoice'!I$2:I$401,$X384)="","",INDEX('Per Invoice'!I$2:I$401,$X384)))</f>
        <v/>
      </c>
      <c r="J384">
        <f>IF($X384="","",IF(INDEX('Per Invoice'!J$2:J$401,$X384)="","",INDEX('Per Invoice'!J$2:J$401,$X384)))</f>
        <v/>
      </c>
      <c r="K384" s="14">
        <f>IF($X384="","",IF(INDEX('Per Invoice'!K$2:K$401,$X384)="","",INDEX('Per Invoice'!K$2:K$401,$X384)))</f>
        <v/>
      </c>
      <c r="L384">
        <f>IF($X384="","",IF(INDEX('Per Invoice'!L$2:L$401,$X384)="","",INDEX('Per Invoice'!L$2:L$401,$X384)))</f>
        <v/>
      </c>
      <c r="M384" s="7">
        <f>IF($X384="","",IF(INDEX('Per Invoice'!M$2:M$401,$X384)="","",INDEX('Per Invoice'!M$2:M$401,$X384)))</f>
        <v/>
      </c>
      <c r="N384">
        <f>IF($X384="","",IF(INDEX('Per Invoice'!N$2:N$401,$X384)="","",INDEX('Per Invoice'!N$2:N$401,$X384)))</f>
        <v/>
      </c>
      <c r="O384" s="7">
        <f>IF($X384="","",IF(INDEX('Per Invoice'!O$2:O$401,$X384)="","",INDEX('Per Invoice'!O$2:O$401,$X384)))</f>
        <v/>
      </c>
      <c r="P384" s="7">
        <f>IF($X384="","",IF(INDEX('Per Invoice'!P$2:P$401,$X384)="","",INDEX('Per Invoice'!P$2:P$401,$X384)))</f>
        <v/>
      </c>
      <c r="Q384">
        <f>IF($X384="","",IF(INDEX('Per Invoice'!Q$2:Q$401,$X384)="","",INDEX('Per Invoice'!Q$2:Q$401,$X384)))</f>
        <v/>
      </c>
      <c r="R384" s="7">
        <f>IF($X384="","",IF(INDEX('Per Invoice'!R$2:R$401,$X384)="","",INDEX('Per Invoice'!R$2:R$401,$X384)))</f>
        <v/>
      </c>
      <c r="S384" s="7">
        <f>IF($X384="","",IF(INDEX('Per Invoice'!S$2:S$401,$X384)="","",INDEX('Per Invoice'!S$2:S$401,$X384)))</f>
        <v/>
      </c>
      <c r="T384" s="7">
        <f>IF($X384="","",IF(INDEX('Per Invoice'!T$2:T$401,$X384)="","",INDEX('Per Invoice'!T$2:T$401,$X384)))</f>
        <v/>
      </c>
      <c r="U384" s="7">
        <f>IF($X384="","",IF(INDEX('Per Invoice'!U$2:U$401,$X384)="","",INDEX('Per Invoice'!U$2:U$401,$X384)))</f>
        <v/>
      </c>
      <c r="V384" s="7">
        <f>IF($X384="","",IF(INDEX('Per Invoice'!V$2:V$401,$X384)="","",INDEX('Per Invoice'!V$2:V$401,$X384)))</f>
        <v/>
      </c>
      <c r="W384" s="7">
        <f>IF($X384="","",IF(INDEX('Per Invoice'!W$2:W$401,$X384)="","",INDEX('Per Invoice'!W$2:W$401,$X384)))</f>
        <v/>
      </c>
      <c r="X384" s="16">
        <f>IFERROR(MATCH(Settings!$C$33&amp;"|"&amp;ROWS($X$2:$X384),'Per Invoice'!$Y$2:$Y$401,0),"")</f>
        <v/>
      </c>
    </row>
    <row r="385">
      <c r="A385">
        <f>IF($X385="","",IF(INDEX('Per Invoice'!A$2:A$401,$X385)="","",INDEX('Per Invoice'!A$2:A$401,$X385)))</f>
        <v/>
      </c>
      <c r="B385">
        <f>IF($X385="","",IF(INDEX('Per Invoice'!B$2:B$401,$X385)="","",INDEX('Per Invoice'!B$2:B$401,$X385)))</f>
        <v/>
      </c>
      <c r="C385">
        <f>IF($X385="","",IF(INDEX('Per Invoice'!C$2:C$401,$X385)="","",INDEX('Per Invoice'!C$2:C$401,$X385)))</f>
        <v/>
      </c>
      <c r="D385">
        <f>IF($X385="","",IF(INDEX('Per Invoice'!D$2:D$401,$X385)="","",INDEX('Per Invoice'!D$2:D$401,$X385)))</f>
        <v/>
      </c>
      <c r="E385">
        <f>IF($X385="","",IF(INDEX('Per Invoice'!E$2:E$401,$X385)="","",INDEX('Per Invoice'!E$2:E$401,$X385)))</f>
        <v/>
      </c>
      <c r="F385">
        <f>IF($X385="","",IF(INDEX('Per Invoice'!F$2:F$401,$X385)="","",INDEX('Per Invoice'!F$2:F$401,$X385)))</f>
        <v/>
      </c>
      <c r="G385">
        <f>IF($X385="","",IF(INDEX('Per Invoice'!G$2:G$401,$X385)="","",INDEX('Per Invoice'!G$2:G$401,$X385)))</f>
        <v/>
      </c>
      <c r="H385">
        <f>IF($X385="","",IF(INDEX('Per Invoice'!H$2:H$401,$X385)="","",INDEX('Per Invoice'!H$2:H$401,$X385)))</f>
        <v/>
      </c>
      <c r="I385">
        <f>IF($X385="","",IF(INDEX('Per Invoice'!I$2:I$401,$X385)="","",INDEX('Per Invoice'!I$2:I$401,$X385)))</f>
        <v/>
      </c>
      <c r="J385">
        <f>IF($X385="","",IF(INDEX('Per Invoice'!J$2:J$401,$X385)="","",INDEX('Per Invoice'!J$2:J$401,$X385)))</f>
        <v/>
      </c>
      <c r="K385" s="14">
        <f>IF($X385="","",IF(INDEX('Per Invoice'!K$2:K$401,$X385)="","",INDEX('Per Invoice'!K$2:K$401,$X385)))</f>
        <v/>
      </c>
      <c r="L385">
        <f>IF($X385="","",IF(INDEX('Per Invoice'!L$2:L$401,$X385)="","",INDEX('Per Invoice'!L$2:L$401,$X385)))</f>
        <v/>
      </c>
      <c r="M385" s="7">
        <f>IF($X385="","",IF(INDEX('Per Invoice'!M$2:M$401,$X385)="","",INDEX('Per Invoice'!M$2:M$401,$X385)))</f>
        <v/>
      </c>
      <c r="N385">
        <f>IF($X385="","",IF(INDEX('Per Invoice'!N$2:N$401,$X385)="","",INDEX('Per Invoice'!N$2:N$401,$X385)))</f>
        <v/>
      </c>
      <c r="O385" s="7">
        <f>IF($X385="","",IF(INDEX('Per Invoice'!O$2:O$401,$X385)="","",INDEX('Per Invoice'!O$2:O$401,$X385)))</f>
        <v/>
      </c>
      <c r="P385" s="7">
        <f>IF($X385="","",IF(INDEX('Per Invoice'!P$2:P$401,$X385)="","",INDEX('Per Invoice'!P$2:P$401,$X385)))</f>
        <v/>
      </c>
      <c r="Q385">
        <f>IF($X385="","",IF(INDEX('Per Invoice'!Q$2:Q$401,$X385)="","",INDEX('Per Invoice'!Q$2:Q$401,$X385)))</f>
        <v/>
      </c>
      <c r="R385" s="7">
        <f>IF($X385="","",IF(INDEX('Per Invoice'!R$2:R$401,$X385)="","",INDEX('Per Invoice'!R$2:R$401,$X385)))</f>
        <v/>
      </c>
      <c r="S385" s="7">
        <f>IF($X385="","",IF(INDEX('Per Invoice'!S$2:S$401,$X385)="","",INDEX('Per Invoice'!S$2:S$401,$X385)))</f>
        <v/>
      </c>
      <c r="T385" s="7">
        <f>IF($X385="","",IF(INDEX('Per Invoice'!T$2:T$401,$X385)="","",INDEX('Per Invoice'!T$2:T$401,$X385)))</f>
        <v/>
      </c>
      <c r="U385" s="7">
        <f>IF($X385="","",IF(INDEX('Per Invoice'!U$2:U$401,$X385)="","",INDEX('Per Invoice'!U$2:U$401,$X385)))</f>
        <v/>
      </c>
      <c r="V385" s="7">
        <f>IF($X385="","",IF(INDEX('Per Invoice'!V$2:V$401,$X385)="","",INDEX('Per Invoice'!V$2:V$401,$X385)))</f>
        <v/>
      </c>
      <c r="W385" s="7">
        <f>IF($X385="","",IF(INDEX('Per Invoice'!W$2:W$401,$X385)="","",INDEX('Per Invoice'!W$2:W$401,$X385)))</f>
        <v/>
      </c>
      <c r="X385" s="16">
        <f>IFERROR(MATCH(Settings!$C$33&amp;"|"&amp;ROWS($X$2:$X385),'Per Invoice'!$Y$2:$Y$401,0),"")</f>
        <v/>
      </c>
    </row>
    <row r="386">
      <c r="A386">
        <f>IF($X386="","",IF(INDEX('Per Invoice'!A$2:A$401,$X386)="","",INDEX('Per Invoice'!A$2:A$401,$X386)))</f>
        <v/>
      </c>
      <c r="B386">
        <f>IF($X386="","",IF(INDEX('Per Invoice'!B$2:B$401,$X386)="","",INDEX('Per Invoice'!B$2:B$401,$X386)))</f>
        <v/>
      </c>
      <c r="C386">
        <f>IF($X386="","",IF(INDEX('Per Invoice'!C$2:C$401,$X386)="","",INDEX('Per Invoice'!C$2:C$401,$X386)))</f>
        <v/>
      </c>
      <c r="D386">
        <f>IF($X386="","",IF(INDEX('Per Invoice'!D$2:D$401,$X386)="","",INDEX('Per Invoice'!D$2:D$401,$X386)))</f>
        <v/>
      </c>
      <c r="E386">
        <f>IF($X386="","",IF(INDEX('Per Invoice'!E$2:E$401,$X386)="","",INDEX('Per Invoice'!E$2:E$401,$X386)))</f>
        <v/>
      </c>
      <c r="F386">
        <f>IF($X386="","",IF(INDEX('Per Invoice'!F$2:F$401,$X386)="","",INDEX('Per Invoice'!F$2:F$401,$X386)))</f>
        <v/>
      </c>
      <c r="G386">
        <f>IF($X386="","",IF(INDEX('Per Invoice'!G$2:G$401,$X386)="","",INDEX('Per Invoice'!G$2:G$401,$X386)))</f>
        <v/>
      </c>
      <c r="H386">
        <f>IF($X386="","",IF(INDEX('Per Invoice'!H$2:H$401,$X386)="","",INDEX('Per Invoice'!H$2:H$401,$X386)))</f>
        <v/>
      </c>
      <c r="I386">
        <f>IF($X386="","",IF(INDEX('Per Invoice'!I$2:I$401,$X386)="","",INDEX('Per Invoice'!I$2:I$401,$X386)))</f>
        <v/>
      </c>
      <c r="J386">
        <f>IF($X386="","",IF(INDEX('Per Invoice'!J$2:J$401,$X386)="","",INDEX('Per Invoice'!J$2:J$401,$X386)))</f>
        <v/>
      </c>
      <c r="K386" s="14">
        <f>IF($X386="","",IF(INDEX('Per Invoice'!K$2:K$401,$X386)="","",INDEX('Per Invoice'!K$2:K$401,$X386)))</f>
        <v/>
      </c>
      <c r="L386">
        <f>IF($X386="","",IF(INDEX('Per Invoice'!L$2:L$401,$X386)="","",INDEX('Per Invoice'!L$2:L$401,$X386)))</f>
        <v/>
      </c>
      <c r="M386" s="7">
        <f>IF($X386="","",IF(INDEX('Per Invoice'!M$2:M$401,$X386)="","",INDEX('Per Invoice'!M$2:M$401,$X386)))</f>
        <v/>
      </c>
      <c r="N386">
        <f>IF($X386="","",IF(INDEX('Per Invoice'!N$2:N$401,$X386)="","",INDEX('Per Invoice'!N$2:N$401,$X386)))</f>
        <v/>
      </c>
      <c r="O386" s="7">
        <f>IF($X386="","",IF(INDEX('Per Invoice'!O$2:O$401,$X386)="","",INDEX('Per Invoice'!O$2:O$401,$X386)))</f>
        <v/>
      </c>
      <c r="P386" s="7">
        <f>IF($X386="","",IF(INDEX('Per Invoice'!P$2:P$401,$X386)="","",INDEX('Per Invoice'!P$2:P$401,$X386)))</f>
        <v/>
      </c>
      <c r="Q386">
        <f>IF($X386="","",IF(INDEX('Per Invoice'!Q$2:Q$401,$X386)="","",INDEX('Per Invoice'!Q$2:Q$401,$X386)))</f>
        <v/>
      </c>
      <c r="R386" s="7">
        <f>IF($X386="","",IF(INDEX('Per Invoice'!R$2:R$401,$X386)="","",INDEX('Per Invoice'!R$2:R$401,$X386)))</f>
        <v/>
      </c>
      <c r="S386" s="7">
        <f>IF($X386="","",IF(INDEX('Per Invoice'!S$2:S$401,$X386)="","",INDEX('Per Invoice'!S$2:S$401,$X386)))</f>
        <v/>
      </c>
      <c r="T386" s="7">
        <f>IF($X386="","",IF(INDEX('Per Invoice'!T$2:T$401,$X386)="","",INDEX('Per Invoice'!T$2:T$401,$X386)))</f>
        <v/>
      </c>
      <c r="U386" s="7">
        <f>IF($X386="","",IF(INDEX('Per Invoice'!U$2:U$401,$X386)="","",INDEX('Per Invoice'!U$2:U$401,$X386)))</f>
        <v/>
      </c>
      <c r="V386" s="7">
        <f>IF($X386="","",IF(INDEX('Per Invoice'!V$2:V$401,$X386)="","",INDEX('Per Invoice'!V$2:V$401,$X386)))</f>
        <v/>
      </c>
      <c r="W386" s="7">
        <f>IF($X386="","",IF(INDEX('Per Invoice'!W$2:W$401,$X386)="","",INDEX('Per Invoice'!W$2:W$401,$X386)))</f>
        <v/>
      </c>
      <c r="X386" s="16">
        <f>IFERROR(MATCH(Settings!$C$33&amp;"|"&amp;ROWS($X$2:$X386),'Per Invoice'!$Y$2:$Y$401,0),"")</f>
        <v/>
      </c>
    </row>
    <row r="387">
      <c r="A387">
        <f>IF($X387="","",IF(INDEX('Per Invoice'!A$2:A$401,$X387)="","",INDEX('Per Invoice'!A$2:A$401,$X387)))</f>
        <v/>
      </c>
      <c r="B387">
        <f>IF($X387="","",IF(INDEX('Per Invoice'!B$2:B$401,$X387)="","",INDEX('Per Invoice'!B$2:B$401,$X387)))</f>
        <v/>
      </c>
      <c r="C387">
        <f>IF($X387="","",IF(INDEX('Per Invoice'!C$2:C$401,$X387)="","",INDEX('Per Invoice'!C$2:C$401,$X387)))</f>
        <v/>
      </c>
      <c r="D387">
        <f>IF($X387="","",IF(INDEX('Per Invoice'!D$2:D$401,$X387)="","",INDEX('Per Invoice'!D$2:D$401,$X387)))</f>
        <v/>
      </c>
      <c r="E387">
        <f>IF($X387="","",IF(INDEX('Per Invoice'!E$2:E$401,$X387)="","",INDEX('Per Invoice'!E$2:E$401,$X387)))</f>
        <v/>
      </c>
      <c r="F387">
        <f>IF($X387="","",IF(INDEX('Per Invoice'!F$2:F$401,$X387)="","",INDEX('Per Invoice'!F$2:F$401,$X387)))</f>
        <v/>
      </c>
      <c r="G387">
        <f>IF($X387="","",IF(INDEX('Per Invoice'!G$2:G$401,$X387)="","",INDEX('Per Invoice'!G$2:G$401,$X387)))</f>
        <v/>
      </c>
      <c r="H387">
        <f>IF($X387="","",IF(INDEX('Per Invoice'!H$2:H$401,$X387)="","",INDEX('Per Invoice'!H$2:H$401,$X387)))</f>
        <v/>
      </c>
      <c r="I387">
        <f>IF($X387="","",IF(INDEX('Per Invoice'!I$2:I$401,$X387)="","",INDEX('Per Invoice'!I$2:I$401,$X387)))</f>
        <v/>
      </c>
      <c r="J387">
        <f>IF($X387="","",IF(INDEX('Per Invoice'!J$2:J$401,$X387)="","",INDEX('Per Invoice'!J$2:J$401,$X387)))</f>
        <v/>
      </c>
      <c r="K387" s="14">
        <f>IF($X387="","",IF(INDEX('Per Invoice'!K$2:K$401,$X387)="","",INDEX('Per Invoice'!K$2:K$401,$X387)))</f>
        <v/>
      </c>
      <c r="L387">
        <f>IF($X387="","",IF(INDEX('Per Invoice'!L$2:L$401,$X387)="","",INDEX('Per Invoice'!L$2:L$401,$X387)))</f>
        <v/>
      </c>
      <c r="M387" s="7">
        <f>IF($X387="","",IF(INDEX('Per Invoice'!M$2:M$401,$X387)="","",INDEX('Per Invoice'!M$2:M$401,$X387)))</f>
        <v/>
      </c>
      <c r="N387">
        <f>IF($X387="","",IF(INDEX('Per Invoice'!N$2:N$401,$X387)="","",INDEX('Per Invoice'!N$2:N$401,$X387)))</f>
        <v/>
      </c>
      <c r="O387" s="7">
        <f>IF($X387="","",IF(INDEX('Per Invoice'!O$2:O$401,$X387)="","",INDEX('Per Invoice'!O$2:O$401,$X387)))</f>
        <v/>
      </c>
      <c r="P387" s="7">
        <f>IF($X387="","",IF(INDEX('Per Invoice'!P$2:P$401,$X387)="","",INDEX('Per Invoice'!P$2:P$401,$X387)))</f>
        <v/>
      </c>
      <c r="Q387">
        <f>IF($X387="","",IF(INDEX('Per Invoice'!Q$2:Q$401,$X387)="","",INDEX('Per Invoice'!Q$2:Q$401,$X387)))</f>
        <v/>
      </c>
      <c r="R387" s="7">
        <f>IF($X387="","",IF(INDEX('Per Invoice'!R$2:R$401,$X387)="","",INDEX('Per Invoice'!R$2:R$401,$X387)))</f>
        <v/>
      </c>
      <c r="S387" s="7">
        <f>IF($X387="","",IF(INDEX('Per Invoice'!S$2:S$401,$X387)="","",INDEX('Per Invoice'!S$2:S$401,$X387)))</f>
        <v/>
      </c>
      <c r="T387" s="7">
        <f>IF($X387="","",IF(INDEX('Per Invoice'!T$2:T$401,$X387)="","",INDEX('Per Invoice'!T$2:T$401,$X387)))</f>
        <v/>
      </c>
      <c r="U387" s="7">
        <f>IF($X387="","",IF(INDEX('Per Invoice'!U$2:U$401,$X387)="","",INDEX('Per Invoice'!U$2:U$401,$X387)))</f>
        <v/>
      </c>
      <c r="V387" s="7">
        <f>IF($X387="","",IF(INDEX('Per Invoice'!V$2:V$401,$X387)="","",INDEX('Per Invoice'!V$2:V$401,$X387)))</f>
        <v/>
      </c>
      <c r="W387" s="7">
        <f>IF($X387="","",IF(INDEX('Per Invoice'!W$2:W$401,$X387)="","",INDEX('Per Invoice'!W$2:W$401,$X387)))</f>
        <v/>
      </c>
      <c r="X387" s="16">
        <f>IFERROR(MATCH(Settings!$C$33&amp;"|"&amp;ROWS($X$2:$X387),'Per Invoice'!$Y$2:$Y$401,0),"")</f>
        <v/>
      </c>
    </row>
    <row r="388">
      <c r="A388">
        <f>IF($X388="","",IF(INDEX('Per Invoice'!A$2:A$401,$X388)="","",INDEX('Per Invoice'!A$2:A$401,$X388)))</f>
        <v/>
      </c>
      <c r="B388">
        <f>IF($X388="","",IF(INDEX('Per Invoice'!B$2:B$401,$X388)="","",INDEX('Per Invoice'!B$2:B$401,$X388)))</f>
        <v/>
      </c>
      <c r="C388">
        <f>IF($X388="","",IF(INDEX('Per Invoice'!C$2:C$401,$X388)="","",INDEX('Per Invoice'!C$2:C$401,$X388)))</f>
        <v/>
      </c>
      <c r="D388">
        <f>IF($X388="","",IF(INDEX('Per Invoice'!D$2:D$401,$X388)="","",INDEX('Per Invoice'!D$2:D$401,$X388)))</f>
        <v/>
      </c>
      <c r="E388">
        <f>IF($X388="","",IF(INDEX('Per Invoice'!E$2:E$401,$X388)="","",INDEX('Per Invoice'!E$2:E$401,$X388)))</f>
        <v/>
      </c>
      <c r="F388">
        <f>IF($X388="","",IF(INDEX('Per Invoice'!F$2:F$401,$X388)="","",INDEX('Per Invoice'!F$2:F$401,$X388)))</f>
        <v/>
      </c>
      <c r="G388">
        <f>IF($X388="","",IF(INDEX('Per Invoice'!G$2:G$401,$X388)="","",INDEX('Per Invoice'!G$2:G$401,$X388)))</f>
        <v/>
      </c>
      <c r="H388">
        <f>IF($X388="","",IF(INDEX('Per Invoice'!H$2:H$401,$X388)="","",INDEX('Per Invoice'!H$2:H$401,$X388)))</f>
        <v/>
      </c>
      <c r="I388">
        <f>IF($X388="","",IF(INDEX('Per Invoice'!I$2:I$401,$X388)="","",INDEX('Per Invoice'!I$2:I$401,$X388)))</f>
        <v/>
      </c>
      <c r="J388">
        <f>IF($X388="","",IF(INDEX('Per Invoice'!J$2:J$401,$X388)="","",INDEX('Per Invoice'!J$2:J$401,$X388)))</f>
        <v/>
      </c>
      <c r="K388" s="14">
        <f>IF($X388="","",IF(INDEX('Per Invoice'!K$2:K$401,$X388)="","",INDEX('Per Invoice'!K$2:K$401,$X388)))</f>
        <v/>
      </c>
      <c r="L388">
        <f>IF($X388="","",IF(INDEX('Per Invoice'!L$2:L$401,$X388)="","",INDEX('Per Invoice'!L$2:L$401,$X388)))</f>
        <v/>
      </c>
      <c r="M388" s="7">
        <f>IF($X388="","",IF(INDEX('Per Invoice'!M$2:M$401,$X388)="","",INDEX('Per Invoice'!M$2:M$401,$X388)))</f>
        <v/>
      </c>
      <c r="N388">
        <f>IF($X388="","",IF(INDEX('Per Invoice'!N$2:N$401,$X388)="","",INDEX('Per Invoice'!N$2:N$401,$X388)))</f>
        <v/>
      </c>
      <c r="O388" s="7">
        <f>IF($X388="","",IF(INDEX('Per Invoice'!O$2:O$401,$X388)="","",INDEX('Per Invoice'!O$2:O$401,$X388)))</f>
        <v/>
      </c>
      <c r="P388" s="7">
        <f>IF($X388="","",IF(INDEX('Per Invoice'!P$2:P$401,$X388)="","",INDEX('Per Invoice'!P$2:P$401,$X388)))</f>
        <v/>
      </c>
      <c r="Q388">
        <f>IF($X388="","",IF(INDEX('Per Invoice'!Q$2:Q$401,$X388)="","",INDEX('Per Invoice'!Q$2:Q$401,$X388)))</f>
        <v/>
      </c>
      <c r="R388" s="7">
        <f>IF($X388="","",IF(INDEX('Per Invoice'!R$2:R$401,$X388)="","",INDEX('Per Invoice'!R$2:R$401,$X388)))</f>
        <v/>
      </c>
      <c r="S388" s="7">
        <f>IF($X388="","",IF(INDEX('Per Invoice'!S$2:S$401,$X388)="","",INDEX('Per Invoice'!S$2:S$401,$X388)))</f>
        <v/>
      </c>
      <c r="T388" s="7">
        <f>IF($X388="","",IF(INDEX('Per Invoice'!T$2:T$401,$X388)="","",INDEX('Per Invoice'!T$2:T$401,$X388)))</f>
        <v/>
      </c>
      <c r="U388" s="7">
        <f>IF($X388="","",IF(INDEX('Per Invoice'!U$2:U$401,$X388)="","",INDEX('Per Invoice'!U$2:U$401,$X388)))</f>
        <v/>
      </c>
      <c r="V388" s="7">
        <f>IF($X388="","",IF(INDEX('Per Invoice'!V$2:V$401,$X388)="","",INDEX('Per Invoice'!V$2:V$401,$X388)))</f>
        <v/>
      </c>
      <c r="W388" s="7">
        <f>IF($X388="","",IF(INDEX('Per Invoice'!W$2:W$401,$X388)="","",INDEX('Per Invoice'!W$2:W$401,$X388)))</f>
        <v/>
      </c>
      <c r="X388" s="16">
        <f>IFERROR(MATCH(Settings!$C$33&amp;"|"&amp;ROWS($X$2:$X388),'Per Invoice'!$Y$2:$Y$401,0),"")</f>
        <v/>
      </c>
    </row>
    <row r="389">
      <c r="A389">
        <f>IF($X389="","",IF(INDEX('Per Invoice'!A$2:A$401,$X389)="","",INDEX('Per Invoice'!A$2:A$401,$X389)))</f>
        <v/>
      </c>
      <c r="B389">
        <f>IF($X389="","",IF(INDEX('Per Invoice'!B$2:B$401,$X389)="","",INDEX('Per Invoice'!B$2:B$401,$X389)))</f>
        <v/>
      </c>
      <c r="C389">
        <f>IF($X389="","",IF(INDEX('Per Invoice'!C$2:C$401,$X389)="","",INDEX('Per Invoice'!C$2:C$401,$X389)))</f>
        <v/>
      </c>
      <c r="D389">
        <f>IF($X389="","",IF(INDEX('Per Invoice'!D$2:D$401,$X389)="","",INDEX('Per Invoice'!D$2:D$401,$X389)))</f>
        <v/>
      </c>
      <c r="E389">
        <f>IF($X389="","",IF(INDEX('Per Invoice'!E$2:E$401,$X389)="","",INDEX('Per Invoice'!E$2:E$401,$X389)))</f>
        <v/>
      </c>
      <c r="F389">
        <f>IF($X389="","",IF(INDEX('Per Invoice'!F$2:F$401,$X389)="","",INDEX('Per Invoice'!F$2:F$401,$X389)))</f>
        <v/>
      </c>
      <c r="G389">
        <f>IF($X389="","",IF(INDEX('Per Invoice'!G$2:G$401,$X389)="","",INDEX('Per Invoice'!G$2:G$401,$X389)))</f>
        <v/>
      </c>
      <c r="H389">
        <f>IF($X389="","",IF(INDEX('Per Invoice'!H$2:H$401,$X389)="","",INDEX('Per Invoice'!H$2:H$401,$X389)))</f>
        <v/>
      </c>
      <c r="I389">
        <f>IF($X389="","",IF(INDEX('Per Invoice'!I$2:I$401,$X389)="","",INDEX('Per Invoice'!I$2:I$401,$X389)))</f>
        <v/>
      </c>
      <c r="J389">
        <f>IF($X389="","",IF(INDEX('Per Invoice'!J$2:J$401,$X389)="","",INDEX('Per Invoice'!J$2:J$401,$X389)))</f>
        <v/>
      </c>
      <c r="K389" s="14">
        <f>IF($X389="","",IF(INDEX('Per Invoice'!K$2:K$401,$X389)="","",INDEX('Per Invoice'!K$2:K$401,$X389)))</f>
        <v/>
      </c>
      <c r="L389">
        <f>IF($X389="","",IF(INDEX('Per Invoice'!L$2:L$401,$X389)="","",INDEX('Per Invoice'!L$2:L$401,$X389)))</f>
        <v/>
      </c>
      <c r="M389" s="7">
        <f>IF($X389="","",IF(INDEX('Per Invoice'!M$2:M$401,$X389)="","",INDEX('Per Invoice'!M$2:M$401,$X389)))</f>
        <v/>
      </c>
      <c r="N389">
        <f>IF($X389="","",IF(INDEX('Per Invoice'!N$2:N$401,$X389)="","",INDEX('Per Invoice'!N$2:N$401,$X389)))</f>
        <v/>
      </c>
      <c r="O389" s="7">
        <f>IF($X389="","",IF(INDEX('Per Invoice'!O$2:O$401,$X389)="","",INDEX('Per Invoice'!O$2:O$401,$X389)))</f>
        <v/>
      </c>
      <c r="P389" s="7">
        <f>IF($X389="","",IF(INDEX('Per Invoice'!P$2:P$401,$X389)="","",INDEX('Per Invoice'!P$2:P$401,$X389)))</f>
        <v/>
      </c>
      <c r="Q389">
        <f>IF($X389="","",IF(INDEX('Per Invoice'!Q$2:Q$401,$X389)="","",INDEX('Per Invoice'!Q$2:Q$401,$X389)))</f>
        <v/>
      </c>
      <c r="R389" s="7">
        <f>IF($X389="","",IF(INDEX('Per Invoice'!R$2:R$401,$X389)="","",INDEX('Per Invoice'!R$2:R$401,$X389)))</f>
        <v/>
      </c>
      <c r="S389" s="7">
        <f>IF($X389="","",IF(INDEX('Per Invoice'!S$2:S$401,$X389)="","",INDEX('Per Invoice'!S$2:S$401,$X389)))</f>
        <v/>
      </c>
      <c r="T389" s="7">
        <f>IF($X389="","",IF(INDEX('Per Invoice'!T$2:T$401,$X389)="","",INDEX('Per Invoice'!T$2:T$401,$X389)))</f>
        <v/>
      </c>
      <c r="U389" s="7">
        <f>IF($X389="","",IF(INDEX('Per Invoice'!U$2:U$401,$X389)="","",INDEX('Per Invoice'!U$2:U$401,$X389)))</f>
        <v/>
      </c>
      <c r="V389" s="7">
        <f>IF($X389="","",IF(INDEX('Per Invoice'!V$2:V$401,$X389)="","",INDEX('Per Invoice'!V$2:V$401,$X389)))</f>
        <v/>
      </c>
      <c r="W389" s="7">
        <f>IF($X389="","",IF(INDEX('Per Invoice'!W$2:W$401,$X389)="","",INDEX('Per Invoice'!W$2:W$401,$X389)))</f>
        <v/>
      </c>
      <c r="X389" s="16">
        <f>IFERROR(MATCH(Settings!$C$33&amp;"|"&amp;ROWS($X$2:$X389),'Per Invoice'!$Y$2:$Y$401,0),"")</f>
        <v/>
      </c>
    </row>
    <row r="390">
      <c r="A390">
        <f>IF($X390="","",IF(INDEX('Per Invoice'!A$2:A$401,$X390)="","",INDEX('Per Invoice'!A$2:A$401,$X390)))</f>
        <v/>
      </c>
      <c r="B390">
        <f>IF($X390="","",IF(INDEX('Per Invoice'!B$2:B$401,$X390)="","",INDEX('Per Invoice'!B$2:B$401,$X390)))</f>
        <v/>
      </c>
      <c r="C390">
        <f>IF($X390="","",IF(INDEX('Per Invoice'!C$2:C$401,$X390)="","",INDEX('Per Invoice'!C$2:C$401,$X390)))</f>
        <v/>
      </c>
      <c r="D390">
        <f>IF($X390="","",IF(INDEX('Per Invoice'!D$2:D$401,$X390)="","",INDEX('Per Invoice'!D$2:D$401,$X390)))</f>
        <v/>
      </c>
      <c r="E390">
        <f>IF($X390="","",IF(INDEX('Per Invoice'!E$2:E$401,$X390)="","",INDEX('Per Invoice'!E$2:E$401,$X390)))</f>
        <v/>
      </c>
      <c r="F390">
        <f>IF($X390="","",IF(INDEX('Per Invoice'!F$2:F$401,$X390)="","",INDEX('Per Invoice'!F$2:F$401,$X390)))</f>
        <v/>
      </c>
      <c r="G390">
        <f>IF($X390="","",IF(INDEX('Per Invoice'!G$2:G$401,$X390)="","",INDEX('Per Invoice'!G$2:G$401,$X390)))</f>
        <v/>
      </c>
      <c r="H390">
        <f>IF($X390="","",IF(INDEX('Per Invoice'!H$2:H$401,$X390)="","",INDEX('Per Invoice'!H$2:H$401,$X390)))</f>
        <v/>
      </c>
      <c r="I390">
        <f>IF($X390="","",IF(INDEX('Per Invoice'!I$2:I$401,$X390)="","",INDEX('Per Invoice'!I$2:I$401,$X390)))</f>
        <v/>
      </c>
      <c r="J390">
        <f>IF($X390="","",IF(INDEX('Per Invoice'!J$2:J$401,$X390)="","",INDEX('Per Invoice'!J$2:J$401,$X390)))</f>
        <v/>
      </c>
      <c r="K390" s="14">
        <f>IF($X390="","",IF(INDEX('Per Invoice'!K$2:K$401,$X390)="","",INDEX('Per Invoice'!K$2:K$401,$X390)))</f>
        <v/>
      </c>
      <c r="L390">
        <f>IF($X390="","",IF(INDEX('Per Invoice'!L$2:L$401,$X390)="","",INDEX('Per Invoice'!L$2:L$401,$X390)))</f>
        <v/>
      </c>
      <c r="M390" s="7">
        <f>IF($X390="","",IF(INDEX('Per Invoice'!M$2:M$401,$X390)="","",INDEX('Per Invoice'!M$2:M$401,$X390)))</f>
        <v/>
      </c>
      <c r="N390">
        <f>IF($X390="","",IF(INDEX('Per Invoice'!N$2:N$401,$X390)="","",INDEX('Per Invoice'!N$2:N$401,$X390)))</f>
        <v/>
      </c>
      <c r="O390" s="7">
        <f>IF($X390="","",IF(INDEX('Per Invoice'!O$2:O$401,$X390)="","",INDEX('Per Invoice'!O$2:O$401,$X390)))</f>
        <v/>
      </c>
      <c r="P390" s="7">
        <f>IF($X390="","",IF(INDEX('Per Invoice'!P$2:P$401,$X390)="","",INDEX('Per Invoice'!P$2:P$401,$X390)))</f>
        <v/>
      </c>
      <c r="Q390">
        <f>IF($X390="","",IF(INDEX('Per Invoice'!Q$2:Q$401,$X390)="","",INDEX('Per Invoice'!Q$2:Q$401,$X390)))</f>
        <v/>
      </c>
      <c r="R390" s="7">
        <f>IF($X390="","",IF(INDEX('Per Invoice'!R$2:R$401,$X390)="","",INDEX('Per Invoice'!R$2:R$401,$X390)))</f>
        <v/>
      </c>
      <c r="S390" s="7">
        <f>IF($X390="","",IF(INDEX('Per Invoice'!S$2:S$401,$X390)="","",INDEX('Per Invoice'!S$2:S$401,$X390)))</f>
        <v/>
      </c>
      <c r="T390" s="7">
        <f>IF($X390="","",IF(INDEX('Per Invoice'!T$2:T$401,$X390)="","",INDEX('Per Invoice'!T$2:T$401,$X390)))</f>
        <v/>
      </c>
      <c r="U390" s="7">
        <f>IF($X390="","",IF(INDEX('Per Invoice'!U$2:U$401,$X390)="","",INDEX('Per Invoice'!U$2:U$401,$X390)))</f>
        <v/>
      </c>
      <c r="V390" s="7">
        <f>IF($X390="","",IF(INDEX('Per Invoice'!V$2:V$401,$X390)="","",INDEX('Per Invoice'!V$2:V$401,$X390)))</f>
        <v/>
      </c>
      <c r="W390" s="7">
        <f>IF($X390="","",IF(INDEX('Per Invoice'!W$2:W$401,$X390)="","",INDEX('Per Invoice'!W$2:W$401,$X390)))</f>
        <v/>
      </c>
      <c r="X390" s="16">
        <f>IFERROR(MATCH(Settings!$C$33&amp;"|"&amp;ROWS($X$2:$X390),'Per Invoice'!$Y$2:$Y$401,0),"")</f>
        <v/>
      </c>
    </row>
    <row r="391">
      <c r="A391">
        <f>IF($X391="","",IF(INDEX('Per Invoice'!A$2:A$401,$X391)="","",INDEX('Per Invoice'!A$2:A$401,$X391)))</f>
        <v/>
      </c>
      <c r="B391">
        <f>IF($X391="","",IF(INDEX('Per Invoice'!B$2:B$401,$X391)="","",INDEX('Per Invoice'!B$2:B$401,$X391)))</f>
        <v/>
      </c>
      <c r="C391">
        <f>IF($X391="","",IF(INDEX('Per Invoice'!C$2:C$401,$X391)="","",INDEX('Per Invoice'!C$2:C$401,$X391)))</f>
        <v/>
      </c>
      <c r="D391">
        <f>IF($X391="","",IF(INDEX('Per Invoice'!D$2:D$401,$X391)="","",INDEX('Per Invoice'!D$2:D$401,$X391)))</f>
        <v/>
      </c>
      <c r="E391">
        <f>IF($X391="","",IF(INDEX('Per Invoice'!E$2:E$401,$X391)="","",INDEX('Per Invoice'!E$2:E$401,$X391)))</f>
        <v/>
      </c>
      <c r="F391">
        <f>IF($X391="","",IF(INDEX('Per Invoice'!F$2:F$401,$X391)="","",INDEX('Per Invoice'!F$2:F$401,$X391)))</f>
        <v/>
      </c>
      <c r="G391">
        <f>IF($X391="","",IF(INDEX('Per Invoice'!G$2:G$401,$X391)="","",INDEX('Per Invoice'!G$2:G$401,$X391)))</f>
        <v/>
      </c>
      <c r="H391">
        <f>IF($X391="","",IF(INDEX('Per Invoice'!H$2:H$401,$X391)="","",INDEX('Per Invoice'!H$2:H$401,$X391)))</f>
        <v/>
      </c>
      <c r="I391">
        <f>IF($X391="","",IF(INDEX('Per Invoice'!I$2:I$401,$X391)="","",INDEX('Per Invoice'!I$2:I$401,$X391)))</f>
        <v/>
      </c>
      <c r="J391">
        <f>IF($X391="","",IF(INDEX('Per Invoice'!J$2:J$401,$X391)="","",INDEX('Per Invoice'!J$2:J$401,$X391)))</f>
        <v/>
      </c>
      <c r="K391" s="14">
        <f>IF($X391="","",IF(INDEX('Per Invoice'!K$2:K$401,$X391)="","",INDEX('Per Invoice'!K$2:K$401,$X391)))</f>
        <v/>
      </c>
      <c r="L391">
        <f>IF($X391="","",IF(INDEX('Per Invoice'!L$2:L$401,$X391)="","",INDEX('Per Invoice'!L$2:L$401,$X391)))</f>
        <v/>
      </c>
      <c r="M391" s="7">
        <f>IF($X391="","",IF(INDEX('Per Invoice'!M$2:M$401,$X391)="","",INDEX('Per Invoice'!M$2:M$401,$X391)))</f>
        <v/>
      </c>
      <c r="N391">
        <f>IF($X391="","",IF(INDEX('Per Invoice'!N$2:N$401,$X391)="","",INDEX('Per Invoice'!N$2:N$401,$X391)))</f>
        <v/>
      </c>
      <c r="O391" s="7">
        <f>IF($X391="","",IF(INDEX('Per Invoice'!O$2:O$401,$X391)="","",INDEX('Per Invoice'!O$2:O$401,$X391)))</f>
        <v/>
      </c>
      <c r="P391" s="7">
        <f>IF($X391="","",IF(INDEX('Per Invoice'!P$2:P$401,$X391)="","",INDEX('Per Invoice'!P$2:P$401,$X391)))</f>
        <v/>
      </c>
      <c r="Q391">
        <f>IF($X391="","",IF(INDEX('Per Invoice'!Q$2:Q$401,$X391)="","",INDEX('Per Invoice'!Q$2:Q$401,$X391)))</f>
        <v/>
      </c>
      <c r="R391" s="7">
        <f>IF($X391="","",IF(INDEX('Per Invoice'!R$2:R$401,$X391)="","",INDEX('Per Invoice'!R$2:R$401,$X391)))</f>
        <v/>
      </c>
      <c r="S391" s="7">
        <f>IF($X391="","",IF(INDEX('Per Invoice'!S$2:S$401,$X391)="","",INDEX('Per Invoice'!S$2:S$401,$X391)))</f>
        <v/>
      </c>
      <c r="T391" s="7">
        <f>IF($X391="","",IF(INDEX('Per Invoice'!T$2:T$401,$X391)="","",INDEX('Per Invoice'!T$2:T$401,$X391)))</f>
        <v/>
      </c>
      <c r="U391" s="7">
        <f>IF($X391="","",IF(INDEX('Per Invoice'!U$2:U$401,$X391)="","",INDEX('Per Invoice'!U$2:U$401,$X391)))</f>
        <v/>
      </c>
      <c r="V391" s="7">
        <f>IF($X391="","",IF(INDEX('Per Invoice'!V$2:V$401,$X391)="","",INDEX('Per Invoice'!V$2:V$401,$X391)))</f>
        <v/>
      </c>
      <c r="W391" s="7">
        <f>IF($X391="","",IF(INDEX('Per Invoice'!W$2:W$401,$X391)="","",INDEX('Per Invoice'!W$2:W$401,$X391)))</f>
        <v/>
      </c>
      <c r="X391" s="16">
        <f>IFERROR(MATCH(Settings!$C$33&amp;"|"&amp;ROWS($X$2:$X391),'Per Invoice'!$Y$2:$Y$401,0),"")</f>
        <v/>
      </c>
    </row>
    <row r="392">
      <c r="A392">
        <f>IF($X392="","",IF(INDEX('Per Invoice'!A$2:A$401,$X392)="","",INDEX('Per Invoice'!A$2:A$401,$X392)))</f>
        <v/>
      </c>
      <c r="B392">
        <f>IF($X392="","",IF(INDEX('Per Invoice'!B$2:B$401,$X392)="","",INDEX('Per Invoice'!B$2:B$401,$X392)))</f>
        <v/>
      </c>
      <c r="C392">
        <f>IF($X392="","",IF(INDEX('Per Invoice'!C$2:C$401,$X392)="","",INDEX('Per Invoice'!C$2:C$401,$X392)))</f>
        <v/>
      </c>
      <c r="D392">
        <f>IF($X392="","",IF(INDEX('Per Invoice'!D$2:D$401,$X392)="","",INDEX('Per Invoice'!D$2:D$401,$X392)))</f>
        <v/>
      </c>
      <c r="E392">
        <f>IF($X392="","",IF(INDEX('Per Invoice'!E$2:E$401,$X392)="","",INDEX('Per Invoice'!E$2:E$401,$X392)))</f>
        <v/>
      </c>
      <c r="F392">
        <f>IF($X392="","",IF(INDEX('Per Invoice'!F$2:F$401,$X392)="","",INDEX('Per Invoice'!F$2:F$401,$X392)))</f>
        <v/>
      </c>
      <c r="G392">
        <f>IF($X392="","",IF(INDEX('Per Invoice'!G$2:G$401,$X392)="","",INDEX('Per Invoice'!G$2:G$401,$X392)))</f>
        <v/>
      </c>
      <c r="H392">
        <f>IF($X392="","",IF(INDEX('Per Invoice'!H$2:H$401,$X392)="","",INDEX('Per Invoice'!H$2:H$401,$X392)))</f>
        <v/>
      </c>
      <c r="I392">
        <f>IF($X392="","",IF(INDEX('Per Invoice'!I$2:I$401,$X392)="","",INDEX('Per Invoice'!I$2:I$401,$X392)))</f>
        <v/>
      </c>
      <c r="J392">
        <f>IF($X392="","",IF(INDEX('Per Invoice'!J$2:J$401,$X392)="","",INDEX('Per Invoice'!J$2:J$401,$X392)))</f>
        <v/>
      </c>
      <c r="K392" s="14">
        <f>IF($X392="","",IF(INDEX('Per Invoice'!K$2:K$401,$X392)="","",INDEX('Per Invoice'!K$2:K$401,$X392)))</f>
        <v/>
      </c>
      <c r="L392">
        <f>IF($X392="","",IF(INDEX('Per Invoice'!L$2:L$401,$X392)="","",INDEX('Per Invoice'!L$2:L$401,$X392)))</f>
        <v/>
      </c>
      <c r="M392" s="7">
        <f>IF($X392="","",IF(INDEX('Per Invoice'!M$2:M$401,$X392)="","",INDEX('Per Invoice'!M$2:M$401,$X392)))</f>
        <v/>
      </c>
      <c r="N392">
        <f>IF($X392="","",IF(INDEX('Per Invoice'!N$2:N$401,$X392)="","",INDEX('Per Invoice'!N$2:N$401,$X392)))</f>
        <v/>
      </c>
      <c r="O392" s="7">
        <f>IF($X392="","",IF(INDEX('Per Invoice'!O$2:O$401,$X392)="","",INDEX('Per Invoice'!O$2:O$401,$X392)))</f>
        <v/>
      </c>
      <c r="P392" s="7">
        <f>IF($X392="","",IF(INDEX('Per Invoice'!P$2:P$401,$X392)="","",INDEX('Per Invoice'!P$2:P$401,$X392)))</f>
        <v/>
      </c>
      <c r="Q392">
        <f>IF($X392="","",IF(INDEX('Per Invoice'!Q$2:Q$401,$X392)="","",INDEX('Per Invoice'!Q$2:Q$401,$X392)))</f>
        <v/>
      </c>
      <c r="R392" s="7">
        <f>IF($X392="","",IF(INDEX('Per Invoice'!R$2:R$401,$X392)="","",INDEX('Per Invoice'!R$2:R$401,$X392)))</f>
        <v/>
      </c>
      <c r="S392" s="7">
        <f>IF($X392="","",IF(INDEX('Per Invoice'!S$2:S$401,$X392)="","",INDEX('Per Invoice'!S$2:S$401,$X392)))</f>
        <v/>
      </c>
      <c r="T392" s="7">
        <f>IF($X392="","",IF(INDEX('Per Invoice'!T$2:T$401,$X392)="","",INDEX('Per Invoice'!T$2:T$401,$X392)))</f>
        <v/>
      </c>
      <c r="U392" s="7">
        <f>IF($X392="","",IF(INDEX('Per Invoice'!U$2:U$401,$X392)="","",INDEX('Per Invoice'!U$2:U$401,$X392)))</f>
        <v/>
      </c>
      <c r="V392" s="7">
        <f>IF($X392="","",IF(INDEX('Per Invoice'!V$2:V$401,$X392)="","",INDEX('Per Invoice'!V$2:V$401,$X392)))</f>
        <v/>
      </c>
      <c r="W392" s="7">
        <f>IF($X392="","",IF(INDEX('Per Invoice'!W$2:W$401,$X392)="","",INDEX('Per Invoice'!W$2:W$401,$X392)))</f>
        <v/>
      </c>
      <c r="X392" s="16">
        <f>IFERROR(MATCH(Settings!$C$33&amp;"|"&amp;ROWS($X$2:$X392),'Per Invoice'!$Y$2:$Y$401,0),"")</f>
        <v/>
      </c>
    </row>
    <row r="393">
      <c r="A393">
        <f>IF($X393="","",IF(INDEX('Per Invoice'!A$2:A$401,$X393)="","",INDEX('Per Invoice'!A$2:A$401,$X393)))</f>
        <v/>
      </c>
      <c r="B393">
        <f>IF($X393="","",IF(INDEX('Per Invoice'!B$2:B$401,$X393)="","",INDEX('Per Invoice'!B$2:B$401,$X393)))</f>
        <v/>
      </c>
      <c r="C393">
        <f>IF($X393="","",IF(INDEX('Per Invoice'!C$2:C$401,$X393)="","",INDEX('Per Invoice'!C$2:C$401,$X393)))</f>
        <v/>
      </c>
      <c r="D393">
        <f>IF($X393="","",IF(INDEX('Per Invoice'!D$2:D$401,$X393)="","",INDEX('Per Invoice'!D$2:D$401,$X393)))</f>
        <v/>
      </c>
      <c r="E393">
        <f>IF($X393="","",IF(INDEX('Per Invoice'!E$2:E$401,$X393)="","",INDEX('Per Invoice'!E$2:E$401,$X393)))</f>
        <v/>
      </c>
      <c r="F393">
        <f>IF($X393="","",IF(INDEX('Per Invoice'!F$2:F$401,$X393)="","",INDEX('Per Invoice'!F$2:F$401,$X393)))</f>
        <v/>
      </c>
      <c r="G393">
        <f>IF($X393="","",IF(INDEX('Per Invoice'!G$2:G$401,$X393)="","",INDEX('Per Invoice'!G$2:G$401,$X393)))</f>
        <v/>
      </c>
      <c r="H393">
        <f>IF($X393="","",IF(INDEX('Per Invoice'!H$2:H$401,$X393)="","",INDEX('Per Invoice'!H$2:H$401,$X393)))</f>
        <v/>
      </c>
      <c r="I393">
        <f>IF($X393="","",IF(INDEX('Per Invoice'!I$2:I$401,$X393)="","",INDEX('Per Invoice'!I$2:I$401,$X393)))</f>
        <v/>
      </c>
      <c r="J393">
        <f>IF($X393="","",IF(INDEX('Per Invoice'!J$2:J$401,$X393)="","",INDEX('Per Invoice'!J$2:J$401,$X393)))</f>
        <v/>
      </c>
      <c r="K393" s="14">
        <f>IF($X393="","",IF(INDEX('Per Invoice'!K$2:K$401,$X393)="","",INDEX('Per Invoice'!K$2:K$401,$X393)))</f>
        <v/>
      </c>
      <c r="L393">
        <f>IF($X393="","",IF(INDEX('Per Invoice'!L$2:L$401,$X393)="","",INDEX('Per Invoice'!L$2:L$401,$X393)))</f>
        <v/>
      </c>
      <c r="M393" s="7">
        <f>IF($X393="","",IF(INDEX('Per Invoice'!M$2:M$401,$X393)="","",INDEX('Per Invoice'!M$2:M$401,$X393)))</f>
        <v/>
      </c>
      <c r="N393">
        <f>IF($X393="","",IF(INDEX('Per Invoice'!N$2:N$401,$X393)="","",INDEX('Per Invoice'!N$2:N$401,$X393)))</f>
        <v/>
      </c>
      <c r="O393" s="7">
        <f>IF($X393="","",IF(INDEX('Per Invoice'!O$2:O$401,$X393)="","",INDEX('Per Invoice'!O$2:O$401,$X393)))</f>
        <v/>
      </c>
      <c r="P393" s="7">
        <f>IF($X393="","",IF(INDEX('Per Invoice'!P$2:P$401,$X393)="","",INDEX('Per Invoice'!P$2:P$401,$X393)))</f>
        <v/>
      </c>
      <c r="Q393">
        <f>IF($X393="","",IF(INDEX('Per Invoice'!Q$2:Q$401,$X393)="","",INDEX('Per Invoice'!Q$2:Q$401,$X393)))</f>
        <v/>
      </c>
      <c r="R393" s="7">
        <f>IF($X393="","",IF(INDEX('Per Invoice'!R$2:R$401,$X393)="","",INDEX('Per Invoice'!R$2:R$401,$X393)))</f>
        <v/>
      </c>
      <c r="S393" s="7">
        <f>IF($X393="","",IF(INDEX('Per Invoice'!S$2:S$401,$X393)="","",INDEX('Per Invoice'!S$2:S$401,$X393)))</f>
        <v/>
      </c>
      <c r="T393" s="7">
        <f>IF($X393="","",IF(INDEX('Per Invoice'!T$2:T$401,$X393)="","",INDEX('Per Invoice'!T$2:T$401,$X393)))</f>
        <v/>
      </c>
      <c r="U393" s="7">
        <f>IF($X393="","",IF(INDEX('Per Invoice'!U$2:U$401,$X393)="","",INDEX('Per Invoice'!U$2:U$401,$X393)))</f>
        <v/>
      </c>
      <c r="V393" s="7">
        <f>IF($X393="","",IF(INDEX('Per Invoice'!V$2:V$401,$X393)="","",INDEX('Per Invoice'!V$2:V$401,$X393)))</f>
        <v/>
      </c>
      <c r="W393" s="7">
        <f>IF($X393="","",IF(INDEX('Per Invoice'!W$2:W$401,$X393)="","",INDEX('Per Invoice'!W$2:W$401,$X393)))</f>
        <v/>
      </c>
      <c r="X393" s="16">
        <f>IFERROR(MATCH(Settings!$C$33&amp;"|"&amp;ROWS($X$2:$X393),'Per Invoice'!$Y$2:$Y$401,0),"")</f>
        <v/>
      </c>
    </row>
    <row r="394">
      <c r="A394">
        <f>IF($X394="","",IF(INDEX('Per Invoice'!A$2:A$401,$X394)="","",INDEX('Per Invoice'!A$2:A$401,$X394)))</f>
        <v/>
      </c>
      <c r="B394">
        <f>IF($X394="","",IF(INDEX('Per Invoice'!B$2:B$401,$X394)="","",INDEX('Per Invoice'!B$2:B$401,$X394)))</f>
        <v/>
      </c>
      <c r="C394">
        <f>IF($X394="","",IF(INDEX('Per Invoice'!C$2:C$401,$X394)="","",INDEX('Per Invoice'!C$2:C$401,$X394)))</f>
        <v/>
      </c>
      <c r="D394">
        <f>IF($X394="","",IF(INDEX('Per Invoice'!D$2:D$401,$X394)="","",INDEX('Per Invoice'!D$2:D$401,$X394)))</f>
        <v/>
      </c>
      <c r="E394">
        <f>IF($X394="","",IF(INDEX('Per Invoice'!E$2:E$401,$X394)="","",INDEX('Per Invoice'!E$2:E$401,$X394)))</f>
        <v/>
      </c>
      <c r="F394">
        <f>IF($X394="","",IF(INDEX('Per Invoice'!F$2:F$401,$X394)="","",INDEX('Per Invoice'!F$2:F$401,$X394)))</f>
        <v/>
      </c>
      <c r="G394">
        <f>IF($X394="","",IF(INDEX('Per Invoice'!G$2:G$401,$X394)="","",INDEX('Per Invoice'!G$2:G$401,$X394)))</f>
        <v/>
      </c>
      <c r="H394">
        <f>IF($X394="","",IF(INDEX('Per Invoice'!H$2:H$401,$X394)="","",INDEX('Per Invoice'!H$2:H$401,$X394)))</f>
        <v/>
      </c>
      <c r="I394">
        <f>IF($X394="","",IF(INDEX('Per Invoice'!I$2:I$401,$X394)="","",INDEX('Per Invoice'!I$2:I$401,$X394)))</f>
        <v/>
      </c>
      <c r="J394">
        <f>IF($X394="","",IF(INDEX('Per Invoice'!J$2:J$401,$X394)="","",INDEX('Per Invoice'!J$2:J$401,$X394)))</f>
        <v/>
      </c>
      <c r="K394" s="14">
        <f>IF($X394="","",IF(INDEX('Per Invoice'!K$2:K$401,$X394)="","",INDEX('Per Invoice'!K$2:K$401,$X394)))</f>
        <v/>
      </c>
      <c r="L394">
        <f>IF($X394="","",IF(INDEX('Per Invoice'!L$2:L$401,$X394)="","",INDEX('Per Invoice'!L$2:L$401,$X394)))</f>
        <v/>
      </c>
      <c r="M394" s="7">
        <f>IF($X394="","",IF(INDEX('Per Invoice'!M$2:M$401,$X394)="","",INDEX('Per Invoice'!M$2:M$401,$X394)))</f>
        <v/>
      </c>
      <c r="N394">
        <f>IF($X394="","",IF(INDEX('Per Invoice'!N$2:N$401,$X394)="","",INDEX('Per Invoice'!N$2:N$401,$X394)))</f>
        <v/>
      </c>
      <c r="O394" s="7">
        <f>IF($X394="","",IF(INDEX('Per Invoice'!O$2:O$401,$X394)="","",INDEX('Per Invoice'!O$2:O$401,$X394)))</f>
        <v/>
      </c>
      <c r="P394" s="7">
        <f>IF($X394="","",IF(INDEX('Per Invoice'!P$2:P$401,$X394)="","",INDEX('Per Invoice'!P$2:P$401,$X394)))</f>
        <v/>
      </c>
      <c r="Q394">
        <f>IF($X394="","",IF(INDEX('Per Invoice'!Q$2:Q$401,$X394)="","",INDEX('Per Invoice'!Q$2:Q$401,$X394)))</f>
        <v/>
      </c>
      <c r="R394" s="7">
        <f>IF($X394="","",IF(INDEX('Per Invoice'!R$2:R$401,$X394)="","",INDEX('Per Invoice'!R$2:R$401,$X394)))</f>
        <v/>
      </c>
      <c r="S394" s="7">
        <f>IF($X394="","",IF(INDEX('Per Invoice'!S$2:S$401,$X394)="","",INDEX('Per Invoice'!S$2:S$401,$X394)))</f>
        <v/>
      </c>
      <c r="T394" s="7">
        <f>IF($X394="","",IF(INDEX('Per Invoice'!T$2:T$401,$X394)="","",INDEX('Per Invoice'!T$2:T$401,$X394)))</f>
        <v/>
      </c>
      <c r="U394" s="7">
        <f>IF($X394="","",IF(INDEX('Per Invoice'!U$2:U$401,$X394)="","",INDEX('Per Invoice'!U$2:U$401,$X394)))</f>
        <v/>
      </c>
      <c r="V394" s="7">
        <f>IF($X394="","",IF(INDEX('Per Invoice'!V$2:V$401,$X394)="","",INDEX('Per Invoice'!V$2:V$401,$X394)))</f>
        <v/>
      </c>
      <c r="W394" s="7">
        <f>IF($X394="","",IF(INDEX('Per Invoice'!W$2:W$401,$X394)="","",INDEX('Per Invoice'!W$2:W$401,$X394)))</f>
        <v/>
      </c>
      <c r="X394" s="16">
        <f>IFERROR(MATCH(Settings!$C$33&amp;"|"&amp;ROWS($X$2:$X394),'Per Invoice'!$Y$2:$Y$401,0),"")</f>
        <v/>
      </c>
    </row>
    <row r="395">
      <c r="A395">
        <f>IF($X395="","",IF(INDEX('Per Invoice'!A$2:A$401,$X395)="","",INDEX('Per Invoice'!A$2:A$401,$X395)))</f>
        <v/>
      </c>
      <c r="B395">
        <f>IF($X395="","",IF(INDEX('Per Invoice'!B$2:B$401,$X395)="","",INDEX('Per Invoice'!B$2:B$401,$X395)))</f>
        <v/>
      </c>
      <c r="C395">
        <f>IF($X395="","",IF(INDEX('Per Invoice'!C$2:C$401,$X395)="","",INDEX('Per Invoice'!C$2:C$401,$X395)))</f>
        <v/>
      </c>
      <c r="D395">
        <f>IF($X395="","",IF(INDEX('Per Invoice'!D$2:D$401,$X395)="","",INDEX('Per Invoice'!D$2:D$401,$X395)))</f>
        <v/>
      </c>
      <c r="E395">
        <f>IF($X395="","",IF(INDEX('Per Invoice'!E$2:E$401,$X395)="","",INDEX('Per Invoice'!E$2:E$401,$X395)))</f>
        <v/>
      </c>
      <c r="F395">
        <f>IF($X395="","",IF(INDEX('Per Invoice'!F$2:F$401,$X395)="","",INDEX('Per Invoice'!F$2:F$401,$X395)))</f>
        <v/>
      </c>
      <c r="G395">
        <f>IF($X395="","",IF(INDEX('Per Invoice'!G$2:G$401,$X395)="","",INDEX('Per Invoice'!G$2:G$401,$X395)))</f>
        <v/>
      </c>
      <c r="H395">
        <f>IF($X395="","",IF(INDEX('Per Invoice'!H$2:H$401,$X395)="","",INDEX('Per Invoice'!H$2:H$401,$X395)))</f>
        <v/>
      </c>
      <c r="I395">
        <f>IF($X395="","",IF(INDEX('Per Invoice'!I$2:I$401,$X395)="","",INDEX('Per Invoice'!I$2:I$401,$X395)))</f>
        <v/>
      </c>
      <c r="J395">
        <f>IF($X395="","",IF(INDEX('Per Invoice'!J$2:J$401,$X395)="","",INDEX('Per Invoice'!J$2:J$401,$X395)))</f>
        <v/>
      </c>
      <c r="K395" s="14">
        <f>IF($X395="","",IF(INDEX('Per Invoice'!K$2:K$401,$X395)="","",INDEX('Per Invoice'!K$2:K$401,$X395)))</f>
        <v/>
      </c>
      <c r="L395">
        <f>IF($X395="","",IF(INDEX('Per Invoice'!L$2:L$401,$X395)="","",INDEX('Per Invoice'!L$2:L$401,$X395)))</f>
        <v/>
      </c>
      <c r="M395" s="7">
        <f>IF($X395="","",IF(INDEX('Per Invoice'!M$2:M$401,$X395)="","",INDEX('Per Invoice'!M$2:M$401,$X395)))</f>
        <v/>
      </c>
      <c r="N395">
        <f>IF($X395="","",IF(INDEX('Per Invoice'!N$2:N$401,$X395)="","",INDEX('Per Invoice'!N$2:N$401,$X395)))</f>
        <v/>
      </c>
      <c r="O395" s="7">
        <f>IF($X395="","",IF(INDEX('Per Invoice'!O$2:O$401,$X395)="","",INDEX('Per Invoice'!O$2:O$401,$X395)))</f>
        <v/>
      </c>
      <c r="P395" s="7">
        <f>IF($X395="","",IF(INDEX('Per Invoice'!P$2:P$401,$X395)="","",INDEX('Per Invoice'!P$2:P$401,$X395)))</f>
        <v/>
      </c>
      <c r="Q395">
        <f>IF($X395="","",IF(INDEX('Per Invoice'!Q$2:Q$401,$X395)="","",INDEX('Per Invoice'!Q$2:Q$401,$X395)))</f>
        <v/>
      </c>
      <c r="R395" s="7">
        <f>IF($X395="","",IF(INDEX('Per Invoice'!R$2:R$401,$X395)="","",INDEX('Per Invoice'!R$2:R$401,$X395)))</f>
        <v/>
      </c>
      <c r="S395" s="7">
        <f>IF($X395="","",IF(INDEX('Per Invoice'!S$2:S$401,$X395)="","",INDEX('Per Invoice'!S$2:S$401,$X395)))</f>
        <v/>
      </c>
      <c r="T395" s="7">
        <f>IF($X395="","",IF(INDEX('Per Invoice'!T$2:T$401,$X395)="","",INDEX('Per Invoice'!T$2:T$401,$X395)))</f>
        <v/>
      </c>
      <c r="U395" s="7">
        <f>IF($X395="","",IF(INDEX('Per Invoice'!U$2:U$401,$X395)="","",INDEX('Per Invoice'!U$2:U$401,$X395)))</f>
        <v/>
      </c>
      <c r="V395" s="7">
        <f>IF($X395="","",IF(INDEX('Per Invoice'!V$2:V$401,$X395)="","",INDEX('Per Invoice'!V$2:V$401,$X395)))</f>
        <v/>
      </c>
      <c r="W395" s="7">
        <f>IF($X395="","",IF(INDEX('Per Invoice'!W$2:W$401,$X395)="","",INDEX('Per Invoice'!W$2:W$401,$X395)))</f>
        <v/>
      </c>
      <c r="X395" s="16">
        <f>IFERROR(MATCH(Settings!$C$33&amp;"|"&amp;ROWS($X$2:$X395),'Per Invoice'!$Y$2:$Y$401,0),"")</f>
        <v/>
      </c>
    </row>
    <row r="396">
      <c r="A396">
        <f>IF($X396="","",IF(INDEX('Per Invoice'!A$2:A$401,$X396)="","",INDEX('Per Invoice'!A$2:A$401,$X396)))</f>
        <v/>
      </c>
      <c r="B396">
        <f>IF($X396="","",IF(INDEX('Per Invoice'!B$2:B$401,$X396)="","",INDEX('Per Invoice'!B$2:B$401,$X396)))</f>
        <v/>
      </c>
      <c r="C396">
        <f>IF($X396="","",IF(INDEX('Per Invoice'!C$2:C$401,$X396)="","",INDEX('Per Invoice'!C$2:C$401,$X396)))</f>
        <v/>
      </c>
      <c r="D396">
        <f>IF($X396="","",IF(INDEX('Per Invoice'!D$2:D$401,$X396)="","",INDEX('Per Invoice'!D$2:D$401,$X396)))</f>
        <v/>
      </c>
      <c r="E396">
        <f>IF($X396="","",IF(INDEX('Per Invoice'!E$2:E$401,$X396)="","",INDEX('Per Invoice'!E$2:E$401,$X396)))</f>
        <v/>
      </c>
      <c r="F396">
        <f>IF($X396="","",IF(INDEX('Per Invoice'!F$2:F$401,$X396)="","",INDEX('Per Invoice'!F$2:F$401,$X396)))</f>
        <v/>
      </c>
      <c r="G396">
        <f>IF($X396="","",IF(INDEX('Per Invoice'!G$2:G$401,$X396)="","",INDEX('Per Invoice'!G$2:G$401,$X396)))</f>
        <v/>
      </c>
      <c r="H396">
        <f>IF($X396="","",IF(INDEX('Per Invoice'!H$2:H$401,$X396)="","",INDEX('Per Invoice'!H$2:H$401,$X396)))</f>
        <v/>
      </c>
      <c r="I396">
        <f>IF($X396="","",IF(INDEX('Per Invoice'!I$2:I$401,$X396)="","",INDEX('Per Invoice'!I$2:I$401,$X396)))</f>
        <v/>
      </c>
      <c r="J396">
        <f>IF($X396="","",IF(INDEX('Per Invoice'!J$2:J$401,$X396)="","",INDEX('Per Invoice'!J$2:J$401,$X396)))</f>
        <v/>
      </c>
      <c r="K396" s="14">
        <f>IF($X396="","",IF(INDEX('Per Invoice'!K$2:K$401,$X396)="","",INDEX('Per Invoice'!K$2:K$401,$X396)))</f>
        <v/>
      </c>
      <c r="L396">
        <f>IF($X396="","",IF(INDEX('Per Invoice'!L$2:L$401,$X396)="","",INDEX('Per Invoice'!L$2:L$401,$X396)))</f>
        <v/>
      </c>
      <c r="M396" s="7">
        <f>IF($X396="","",IF(INDEX('Per Invoice'!M$2:M$401,$X396)="","",INDEX('Per Invoice'!M$2:M$401,$X396)))</f>
        <v/>
      </c>
      <c r="N396">
        <f>IF($X396="","",IF(INDEX('Per Invoice'!N$2:N$401,$X396)="","",INDEX('Per Invoice'!N$2:N$401,$X396)))</f>
        <v/>
      </c>
      <c r="O396" s="7">
        <f>IF($X396="","",IF(INDEX('Per Invoice'!O$2:O$401,$X396)="","",INDEX('Per Invoice'!O$2:O$401,$X396)))</f>
        <v/>
      </c>
      <c r="P396" s="7">
        <f>IF($X396="","",IF(INDEX('Per Invoice'!P$2:P$401,$X396)="","",INDEX('Per Invoice'!P$2:P$401,$X396)))</f>
        <v/>
      </c>
      <c r="Q396">
        <f>IF($X396="","",IF(INDEX('Per Invoice'!Q$2:Q$401,$X396)="","",INDEX('Per Invoice'!Q$2:Q$401,$X396)))</f>
        <v/>
      </c>
      <c r="R396" s="7">
        <f>IF($X396="","",IF(INDEX('Per Invoice'!R$2:R$401,$X396)="","",INDEX('Per Invoice'!R$2:R$401,$X396)))</f>
        <v/>
      </c>
      <c r="S396" s="7">
        <f>IF($X396="","",IF(INDEX('Per Invoice'!S$2:S$401,$X396)="","",INDEX('Per Invoice'!S$2:S$401,$X396)))</f>
        <v/>
      </c>
      <c r="T396" s="7">
        <f>IF($X396="","",IF(INDEX('Per Invoice'!T$2:T$401,$X396)="","",INDEX('Per Invoice'!T$2:T$401,$X396)))</f>
        <v/>
      </c>
      <c r="U396" s="7">
        <f>IF($X396="","",IF(INDEX('Per Invoice'!U$2:U$401,$X396)="","",INDEX('Per Invoice'!U$2:U$401,$X396)))</f>
        <v/>
      </c>
      <c r="V396" s="7">
        <f>IF($X396="","",IF(INDEX('Per Invoice'!V$2:V$401,$X396)="","",INDEX('Per Invoice'!V$2:V$401,$X396)))</f>
        <v/>
      </c>
      <c r="W396" s="7">
        <f>IF($X396="","",IF(INDEX('Per Invoice'!W$2:W$401,$X396)="","",INDEX('Per Invoice'!W$2:W$401,$X396)))</f>
        <v/>
      </c>
      <c r="X396" s="16">
        <f>IFERROR(MATCH(Settings!$C$33&amp;"|"&amp;ROWS($X$2:$X396),'Per Invoice'!$Y$2:$Y$401,0),"")</f>
        <v/>
      </c>
    </row>
    <row r="397">
      <c r="A397">
        <f>IF($X397="","",IF(INDEX('Per Invoice'!A$2:A$401,$X397)="","",INDEX('Per Invoice'!A$2:A$401,$X397)))</f>
        <v/>
      </c>
      <c r="B397">
        <f>IF($X397="","",IF(INDEX('Per Invoice'!B$2:B$401,$X397)="","",INDEX('Per Invoice'!B$2:B$401,$X397)))</f>
        <v/>
      </c>
      <c r="C397">
        <f>IF($X397="","",IF(INDEX('Per Invoice'!C$2:C$401,$X397)="","",INDEX('Per Invoice'!C$2:C$401,$X397)))</f>
        <v/>
      </c>
      <c r="D397">
        <f>IF($X397="","",IF(INDEX('Per Invoice'!D$2:D$401,$X397)="","",INDEX('Per Invoice'!D$2:D$401,$X397)))</f>
        <v/>
      </c>
      <c r="E397">
        <f>IF($X397="","",IF(INDEX('Per Invoice'!E$2:E$401,$X397)="","",INDEX('Per Invoice'!E$2:E$401,$X397)))</f>
        <v/>
      </c>
      <c r="F397">
        <f>IF($X397="","",IF(INDEX('Per Invoice'!F$2:F$401,$X397)="","",INDEX('Per Invoice'!F$2:F$401,$X397)))</f>
        <v/>
      </c>
      <c r="G397">
        <f>IF($X397="","",IF(INDEX('Per Invoice'!G$2:G$401,$X397)="","",INDEX('Per Invoice'!G$2:G$401,$X397)))</f>
        <v/>
      </c>
      <c r="H397">
        <f>IF($X397="","",IF(INDEX('Per Invoice'!H$2:H$401,$X397)="","",INDEX('Per Invoice'!H$2:H$401,$X397)))</f>
        <v/>
      </c>
      <c r="I397">
        <f>IF($X397="","",IF(INDEX('Per Invoice'!I$2:I$401,$X397)="","",INDEX('Per Invoice'!I$2:I$401,$X397)))</f>
        <v/>
      </c>
      <c r="J397">
        <f>IF($X397="","",IF(INDEX('Per Invoice'!J$2:J$401,$X397)="","",INDEX('Per Invoice'!J$2:J$401,$X397)))</f>
        <v/>
      </c>
      <c r="K397" s="14">
        <f>IF($X397="","",IF(INDEX('Per Invoice'!K$2:K$401,$X397)="","",INDEX('Per Invoice'!K$2:K$401,$X397)))</f>
        <v/>
      </c>
      <c r="L397">
        <f>IF($X397="","",IF(INDEX('Per Invoice'!L$2:L$401,$X397)="","",INDEX('Per Invoice'!L$2:L$401,$X397)))</f>
        <v/>
      </c>
      <c r="M397" s="7">
        <f>IF($X397="","",IF(INDEX('Per Invoice'!M$2:M$401,$X397)="","",INDEX('Per Invoice'!M$2:M$401,$X397)))</f>
        <v/>
      </c>
      <c r="N397">
        <f>IF($X397="","",IF(INDEX('Per Invoice'!N$2:N$401,$X397)="","",INDEX('Per Invoice'!N$2:N$401,$X397)))</f>
        <v/>
      </c>
      <c r="O397" s="7">
        <f>IF($X397="","",IF(INDEX('Per Invoice'!O$2:O$401,$X397)="","",INDEX('Per Invoice'!O$2:O$401,$X397)))</f>
        <v/>
      </c>
      <c r="P397" s="7">
        <f>IF($X397="","",IF(INDEX('Per Invoice'!P$2:P$401,$X397)="","",INDEX('Per Invoice'!P$2:P$401,$X397)))</f>
        <v/>
      </c>
      <c r="Q397">
        <f>IF($X397="","",IF(INDEX('Per Invoice'!Q$2:Q$401,$X397)="","",INDEX('Per Invoice'!Q$2:Q$401,$X397)))</f>
        <v/>
      </c>
      <c r="R397" s="7">
        <f>IF($X397="","",IF(INDEX('Per Invoice'!R$2:R$401,$X397)="","",INDEX('Per Invoice'!R$2:R$401,$X397)))</f>
        <v/>
      </c>
      <c r="S397" s="7">
        <f>IF($X397="","",IF(INDEX('Per Invoice'!S$2:S$401,$X397)="","",INDEX('Per Invoice'!S$2:S$401,$X397)))</f>
        <v/>
      </c>
      <c r="T397" s="7">
        <f>IF($X397="","",IF(INDEX('Per Invoice'!T$2:T$401,$X397)="","",INDEX('Per Invoice'!T$2:T$401,$X397)))</f>
        <v/>
      </c>
      <c r="U397" s="7">
        <f>IF($X397="","",IF(INDEX('Per Invoice'!U$2:U$401,$X397)="","",INDEX('Per Invoice'!U$2:U$401,$X397)))</f>
        <v/>
      </c>
      <c r="V397" s="7">
        <f>IF($X397="","",IF(INDEX('Per Invoice'!V$2:V$401,$X397)="","",INDEX('Per Invoice'!V$2:V$401,$X397)))</f>
        <v/>
      </c>
      <c r="W397" s="7">
        <f>IF($X397="","",IF(INDEX('Per Invoice'!W$2:W$401,$X397)="","",INDEX('Per Invoice'!W$2:W$401,$X397)))</f>
        <v/>
      </c>
      <c r="X397" s="16">
        <f>IFERROR(MATCH(Settings!$C$33&amp;"|"&amp;ROWS($X$2:$X397),'Per Invoice'!$Y$2:$Y$401,0),"")</f>
        <v/>
      </c>
    </row>
    <row r="398">
      <c r="A398">
        <f>IF($X398="","",IF(INDEX('Per Invoice'!A$2:A$401,$X398)="","",INDEX('Per Invoice'!A$2:A$401,$X398)))</f>
        <v/>
      </c>
      <c r="B398">
        <f>IF($X398="","",IF(INDEX('Per Invoice'!B$2:B$401,$X398)="","",INDEX('Per Invoice'!B$2:B$401,$X398)))</f>
        <v/>
      </c>
      <c r="C398">
        <f>IF($X398="","",IF(INDEX('Per Invoice'!C$2:C$401,$X398)="","",INDEX('Per Invoice'!C$2:C$401,$X398)))</f>
        <v/>
      </c>
      <c r="D398">
        <f>IF($X398="","",IF(INDEX('Per Invoice'!D$2:D$401,$X398)="","",INDEX('Per Invoice'!D$2:D$401,$X398)))</f>
        <v/>
      </c>
      <c r="E398">
        <f>IF($X398="","",IF(INDEX('Per Invoice'!E$2:E$401,$X398)="","",INDEX('Per Invoice'!E$2:E$401,$X398)))</f>
        <v/>
      </c>
      <c r="F398">
        <f>IF($X398="","",IF(INDEX('Per Invoice'!F$2:F$401,$X398)="","",INDEX('Per Invoice'!F$2:F$401,$X398)))</f>
        <v/>
      </c>
      <c r="G398">
        <f>IF($X398="","",IF(INDEX('Per Invoice'!G$2:G$401,$X398)="","",INDEX('Per Invoice'!G$2:G$401,$X398)))</f>
        <v/>
      </c>
      <c r="H398">
        <f>IF($X398="","",IF(INDEX('Per Invoice'!H$2:H$401,$X398)="","",INDEX('Per Invoice'!H$2:H$401,$X398)))</f>
        <v/>
      </c>
      <c r="I398">
        <f>IF($X398="","",IF(INDEX('Per Invoice'!I$2:I$401,$X398)="","",INDEX('Per Invoice'!I$2:I$401,$X398)))</f>
        <v/>
      </c>
      <c r="J398">
        <f>IF($X398="","",IF(INDEX('Per Invoice'!J$2:J$401,$X398)="","",INDEX('Per Invoice'!J$2:J$401,$X398)))</f>
        <v/>
      </c>
      <c r="K398" s="14">
        <f>IF($X398="","",IF(INDEX('Per Invoice'!K$2:K$401,$X398)="","",INDEX('Per Invoice'!K$2:K$401,$X398)))</f>
        <v/>
      </c>
      <c r="L398">
        <f>IF($X398="","",IF(INDEX('Per Invoice'!L$2:L$401,$X398)="","",INDEX('Per Invoice'!L$2:L$401,$X398)))</f>
        <v/>
      </c>
      <c r="M398" s="7">
        <f>IF($X398="","",IF(INDEX('Per Invoice'!M$2:M$401,$X398)="","",INDEX('Per Invoice'!M$2:M$401,$X398)))</f>
        <v/>
      </c>
      <c r="N398">
        <f>IF($X398="","",IF(INDEX('Per Invoice'!N$2:N$401,$X398)="","",INDEX('Per Invoice'!N$2:N$401,$X398)))</f>
        <v/>
      </c>
      <c r="O398" s="7">
        <f>IF($X398="","",IF(INDEX('Per Invoice'!O$2:O$401,$X398)="","",INDEX('Per Invoice'!O$2:O$401,$X398)))</f>
        <v/>
      </c>
      <c r="P398" s="7">
        <f>IF($X398="","",IF(INDEX('Per Invoice'!P$2:P$401,$X398)="","",INDEX('Per Invoice'!P$2:P$401,$X398)))</f>
        <v/>
      </c>
      <c r="Q398">
        <f>IF($X398="","",IF(INDEX('Per Invoice'!Q$2:Q$401,$X398)="","",INDEX('Per Invoice'!Q$2:Q$401,$X398)))</f>
        <v/>
      </c>
      <c r="R398" s="7">
        <f>IF($X398="","",IF(INDEX('Per Invoice'!R$2:R$401,$X398)="","",INDEX('Per Invoice'!R$2:R$401,$X398)))</f>
        <v/>
      </c>
      <c r="S398" s="7">
        <f>IF($X398="","",IF(INDEX('Per Invoice'!S$2:S$401,$X398)="","",INDEX('Per Invoice'!S$2:S$401,$X398)))</f>
        <v/>
      </c>
      <c r="T398" s="7">
        <f>IF($X398="","",IF(INDEX('Per Invoice'!T$2:T$401,$X398)="","",INDEX('Per Invoice'!T$2:T$401,$X398)))</f>
        <v/>
      </c>
      <c r="U398" s="7">
        <f>IF($X398="","",IF(INDEX('Per Invoice'!U$2:U$401,$X398)="","",INDEX('Per Invoice'!U$2:U$401,$X398)))</f>
        <v/>
      </c>
      <c r="V398" s="7">
        <f>IF($X398="","",IF(INDEX('Per Invoice'!V$2:V$401,$X398)="","",INDEX('Per Invoice'!V$2:V$401,$X398)))</f>
        <v/>
      </c>
      <c r="W398" s="7">
        <f>IF($X398="","",IF(INDEX('Per Invoice'!W$2:W$401,$X398)="","",INDEX('Per Invoice'!W$2:W$401,$X398)))</f>
        <v/>
      </c>
      <c r="X398" s="16">
        <f>IFERROR(MATCH(Settings!$C$33&amp;"|"&amp;ROWS($X$2:$X398),'Per Invoice'!$Y$2:$Y$401,0),"")</f>
        <v/>
      </c>
    </row>
    <row r="399">
      <c r="A399">
        <f>IF($X399="","",IF(INDEX('Per Invoice'!A$2:A$401,$X399)="","",INDEX('Per Invoice'!A$2:A$401,$X399)))</f>
        <v/>
      </c>
      <c r="B399">
        <f>IF($X399="","",IF(INDEX('Per Invoice'!B$2:B$401,$X399)="","",INDEX('Per Invoice'!B$2:B$401,$X399)))</f>
        <v/>
      </c>
      <c r="C399">
        <f>IF($X399="","",IF(INDEX('Per Invoice'!C$2:C$401,$X399)="","",INDEX('Per Invoice'!C$2:C$401,$X399)))</f>
        <v/>
      </c>
      <c r="D399">
        <f>IF($X399="","",IF(INDEX('Per Invoice'!D$2:D$401,$X399)="","",INDEX('Per Invoice'!D$2:D$401,$X399)))</f>
        <v/>
      </c>
      <c r="E399">
        <f>IF($X399="","",IF(INDEX('Per Invoice'!E$2:E$401,$X399)="","",INDEX('Per Invoice'!E$2:E$401,$X399)))</f>
        <v/>
      </c>
      <c r="F399">
        <f>IF($X399="","",IF(INDEX('Per Invoice'!F$2:F$401,$X399)="","",INDEX('Per Invoice'!F$2:F$401,$X399)))</f>
        <v/>
      </c>
      <c r="G399">
        <f>IF($X399="","",IF(INDEX('Per Invoice'!G$2:G$401,$X399)="","",INDEX('Per Invoice'!G$2:G$401,$X399)))</f>
        <v/>
      </c>
      <c r="H399">
        <f>IF($X399="","",IF(INDEX('Per Invoice'!H$2:H$401,$X399)="","",INDEX('Per Invoice'!H$2:H$401,$X399)))</f>
        <v/>
      </c>
      <c r="I399">
        <f>IF($X399="","",IF(INDEX('Per Invoice'!I$2:I$401,$X399)="","",INDEX('Per Invoice'!I$2:I$401,$X399)))</f>
        <v/>
      </c>
      <c r="J399">
        <f>IF($X399="","",IF(INDEX('Per Invoice'!J$2:J$401,$X399)="","",INDEX('Per Invoice'!J$2:J$401,$X399)))</f>
        <v/>
      </c>
      <c r="K399" s="14">
        <f>IF($X399="","",IF(INDEX('Per Invoice'!K$2:K$401,$X399)="","",INDEX('Per Invoice'!K$2:K$401,$X399)))</f>
        <v/>
      </c>
      <c r="L399">
        <f>IF($X399="","",IF(INDEX('Per Invoice'!L$2:L$401,$X399)="","",INDEX('Per Invoice'!L$2:L$401,$X399)))</f>
        <v/>
      </c>
      <c r="M399" s="7">
        <f>IF($X399="","",IF(INDEX('Per Invoice'!M$2:M$401,$X399)="","",INDEX('Per Invoice'!M$2:M$401,$X399)))</f>
        <v/>
      </c>
      <c r="N399">
        <f>IF($X399="","",IF(INDEX('Per Invoice'!N$2:N$401,$X399)="","",INDEX('Per Invoice'!N$2:N$401,$X399)))</f>
        <v/>
      </c>
      <c r="O399" s="7">
        <f>IF($X399="","",IF(INDEX('Per Invoice'!O$2:O$401,$X399)="","",INDEX('Per Invoice'!O$2:O$401,$X399)))</f>
        <v/>
      </c>
      <c r="P399" s="7">
        <f>IF($X399="","",IF(INDEX('Per Invoice'!P$2:P$401,$X399)="","",INDEX('Per Invoice'!P$2:P$401,$X399)))</f>
        <v/>
      </c>
      <c r="Q399">
        <f>IF($X399="","",IF(INDEX('Per Invoice'!Q$2:Q$401,$X399)="","",INDEX('Per Invoice'!Q$2:Q$401,$X399)))</f>
        <v/>
      </c>
      <c r="R399" s="7">
        <f>IF($X399="","",IF(INDEX('Per Invoice'!R$2:R$401,$X399)="","",INDEX('Per Invoice'!R$2:R$401,$X399)))</f>
        <v/>
      </c>
      <c r="S399" s="7">
        <f>IF($X399="","",IF(INDEX('Per Invoice'!S$2:S$401,$X399)="","",INDEX('Per Invoice'!S$2:S$401,$X399)))</f>
        <v/>
      </c>
      <c r="T399" s="7">
        <f>IF($X399="","",IF(INDEX('Per Invoice'!T$2:T$401,$X399)="","",INDEX('Per Invoice'!T$2:T$401,$X399)))</f>
        <v/>
      </c>
      <c r="U399" s="7">
        <f>IF($X399="","",IF(INDEX('Per Invoice'!U$2:U$401,$X399)="","",INDEX('Per Invoice'!U$2:U$401,$X399)))</f>
        <v/>
      </c>
      <c r="V399" s="7">
        <f>IF($X399="","",IF(INDEX('Per Invoice'!V$2:V$401,$X399)="","",INDEX('Per Invoice'!V$2:V$401,$X399)))</f>
        <v/>
      </c>
      <c r="W399" s="7">
        <f>IF($X399="","",IF(INDEX('Per Invoice'!W$2:W$401,$X399)="","",INDEX('Per Invoice'!W$2:W$401,$X399)))</f>
        <v/>
      </c>
      <c r="X399" s="16">
        <f>IFERROR(MATCH(Settings!$C$33&amp;"|"&amp;ROWS($X$2:$X399),'Per Invoice'!$Y$2:$Y$401,0),"")</f>
        <v/>
      </c>
    </row>
    <row r="400">
      <c r="A400">
        <f>IF($X400="","",IF(INDEX('Per Invoice'!A$2:A$401,$X400)="","",INDEX('Per Invoice'!A$2:A$401,$X400)))</f>
        <v/>
      </c>
      <c r="B400">
        <f>IF($X400="","",IF(INDEX('Per Invoice'!B$2:B$401,$X400)="","",INDEX('Per Invoice'!B$2:B$401,$X400)))</f>
        <v/>
      </c>
      <c r="C400">
        <f>IF($X400="","",IF(INDEX('Per Invoice'!C$2:C$401,$X400)="","",INDEX('Per Invoice'!C$2:C$401,$X400)))</f>
        <v/>
      </c>
      <c r="D400">
        <f>IF($X400="","",IF(INDEX('Per Invoice'!D$2:D$401,$X400)="","",INDEX('Per Invoice'!D$2:D$401,$X400)))</f>
        <v/>
      </c>
      <c r="E400">
        <f>IF($X400="","",IF(INDEX('Per Invoice'!E$2:E$401,$X400)="","",INDEX('Per Invoice'!E$2:E$401,$X400)))</f>
        <v/>
      </c>
      <c r="F400">
        <f>IF($X400="","",IF(INDEX('Per Invoice'!F$2:F$401,$X400)="","",INDEX('Per Invoice'!F$2:F$401,$X400)))</f>
        <v/>
      </c>
      <c r="G400">
        <f>IF($X400="","",IF(INDEX('Per Invoice'!G$2:G$401,$X400)="","",INDEX('Per Invoice'!G$2:G$401,$X400)))</f>
        <v/>
      </c>
      <c r="H400">
        <f>IF($X400="","",IF(INDEX('Per Invoice'!H$2:H$401,$X400)="","",INDEX('Per Invoice'!H$2:H$401,$X400)))</f>
        <v/>
      </c>
      <c r="I400">
        <f>IF($X400="","",IF(INDEX('Per Invoice'!I$2:I$401,$X400)="","",INDEX('Per Invoice'!I$2:I$401,$X400)))</f>
        <v/>
      </c>
      <c r="J400">
        <f>IF($X400="","",IF(INDEX('Per Invoice'!J$2:J$401,$X400)="","",INDEX('Per Invoice'!J$2:J$401,$X400)))</f>
        <v/>
      </c>
      <c r="K400" s="14">
        <f>IF($X400="","",IF(INDEX('Per Invoice'!K$2:K$401,$X400)="","",INDEX('Per Invoice'!K$2:K$401,$X400)))</f>
        <v/>
      </c>
      <c r="L400">
        <f>IF($X400="","",IF(INDEX('Per Invoice'!L$2:L$401,$X400)="","",INDEX('Per Invoice'!L$2:L$401,$X400)))</f>
        <v/>
      </c>
      <c r="M400" s="7">
        <f>IF($X400="","",IF(INDEX('Per Invoice'!M$2:M$401,$X400)="","",INDEX('Per Invoice'!M$2:M$401,$X400)))</f>
        <v/>
      </c>
      <c r="N400">
        <f>IF($X400="","",IF(INDEX('Per Invoice'!N$2:N$401,$X400)="","",INDEX('Per Invoice'!N$2:N$401,$X400)))</f>
        <v/>
      </c>
      <c r="O400" s="7">
        <f>IF($X400="","",IF(INDEX('Per Invoice'!O$2:O$401,$X400)="","",INDEX('Per Invoice'!O$2:O$401,$X400)))</f>
        <v/>
      </c>
      <c r="P400" s="7">
        <f>IF($X400="","",IF(INDEX('Per Invoice'!P$2:P$401,$X400)="","",INDEX('Per Invoice'!P$2:P$401,$X400)))</f>
        <v/>
      </c>
      <c r="Q400">
        <f>IF($X400="","",IF(INDEX('Per Invoice'!Q$2:Q$401,$X400)="","",INDEX('Per Invoice'!Q$2:Q$401,$X400)))</f>
        <v/>
      </c>
      <c r="R400" s="7">
        <f>IF($X400="","",IF(INDEX('Per Invoice'!R$2:R$401,$X400)="","",INDEX('Per Invoice'!R$2:R$401,$X400)))</f>
        <v/>
      </c>
      <c r="S400" s="7">
        <f>IF($X400="","",IF(INDEX('Per Invoice'!S$2:S$401,$X400)="","",INDEX('Per Invoice'!S$2:S$401,$X400)))</f>
        <v/>
      </c>
      <c r="T400" s="7">
        <f>IF($X400="","",IF(INDEX('Per Invoice'!T$2:T$401,$X400)="","",INDEX('Per Invoice'!T$2:T$401,$X400)))</f>
        <v/>
      </c>
      <c r="U400" s="7">
        <f>IF($X400="","",IF(INDEX('Per Invoice'!U$2:U$401,$X400)="","",INDEX('Per Invoice'!U$2:U$401,$X400)))</f>
        <v/>
      </c>
      <c r="V400" s="7">
        <f>IF($X400="","",IF(INDEX('Per Invoice'!V$2:V$401,$X400)="","",INDEX('Per Invoice'!V$2:V$401,$X400)))</f>
        <v/>
      </c>
      <c r="W400" s="7">
        <f>IF($X400="","",IF(INDEX('Per Invoice'!W$2:W$401,$X400)="","",INDEX('Per Invoice'!W$2:W$401,$X400)))</f>
        <v/>
      </c>
      <c r="X400" s="16">
        <f>IFERROR(MATCH(Settings!$C$33&amp;"|"&amp;ROWS($X$2:$X400),'Per Invoice'!$Y$2:$Y$401,0),"")</f>
        <v/>
      </c>
    </row>
    <row r="401">
      <c r="A401">
        <f>IF($X401="","",IF(INDEX('Per Invoice'!A$2:A$401,$X401)="","",INDEX('Per Invoice'!A$2:A$401,$X401)))</f>
        <v/>
      </c>
      <c r="B401">
        <f>IF($X401="","",IF(INDEX('Per Invoice'!B$2:B$401,$X401)="","",INDEX('Per Invoice'!B$2:B$401,$X401)))</f>
        <v/>
      </c>
      <c r="C401">
        <f>IF($X401="","",IF(INDEX('Per Invoice'!C$2:C$401,$X401)="","",INDEX('Per Invoice'!C$2:C$401,$X401)))</f>
        <v/>
      </c>
      <c r="D401">
        <f>IF($X401="","",IF(INDEX('Per Invoice'!D$2:D$401,$X401)="","",INDEX('Per Invoice'!D$2:D$401,$X401)))</f>
        <v/>
      </c>
      <c r="E401">
        <f>IF($X401="","",IF(INDEX('Per Invoice'!E$2:E$401,$X401)="","",INDEX('Per Invoice'!E$2:E$401,$X401)))</f>
        <v/>
      </c>
      <c r="F401">
        <f>IF($X401="","",IF(INDEX('Per Invoice'!F$2:F$401,$X401)="","",INDEX('Per Invoice'!F$2:F$401,$X401)))</f>
        <v/>
      </c>
      <c r="G401">
        <f>IF($X401="","",IF(INDEX('Per Invoice'!G$2:G$401,$X401)="","",INDEX('Per Invoice'!G$2:G$401,$X401)))</f>
        <v/>
      </c>
      <c r="H401">
        <f>IF($X401="","",IF(INDEX('Per Invoice'!H$2:H$401,$X401)="","",INDEX('Per Invoice'!H$2:H$401,$X401)))</f>
        <v/>
      </c>
      <c r="I401">
        <f>IF($X401="","",IF(INDEX('Per Invoice'!I$2:I$401,$X401)="","",INDEX('Per Invoice'!I$2:I$401,$X401)))</f>
        <v/>
      </c>
      <c r="J401">
        <f>IF($X401="","",IF(INDEX('Per Invoice'!J$2:J$401,$X401)="","",INDEX('Per Invoice'!J$2:J$401,$X401)))</f>
        <v/>
      </c>
      <c r="K401" s="14">
        <f>IF($X401="","",IF(INDEX('Per Invoice'!K$2:K$401,$X401)="","",INDEX('Per Invoice'!K$2:K$401,$X401)))</f>
        <v/>
      </c>
      <c r="L401">
        <f>IF($X401="","",IF(INDEX('Per Invoice'!L$2:L$401,$X401)="","",INDEX('Per Invoice'!L$2:L$401,$X401)))</f>
        <v/>
      </c>
      <c r="M401" s="7">
        <f>IF($X401="","",IF(INDEX('Per Invoice'!M$2:M$401,$X401)="","",INDEX('Per Invoice'!M$2:M$401,$X401)))</f>
        <v/>
      </c>
      <c r="N401">
        <f>IF($X401="","",IF(INDEX('Per Invoice'!N$2:N$401,$X401)="","",INDEX('Per Invoice'!N$2:N$401,$X401)))</f>
        <v/>
      </c>
      <c r="O401" s="7">
        <f>IF($X401="","",IF(INDEX('Per Invoice'!O$2:O$401,$X401)="","",INDEX('Per Invoice'!O$2:O$401,$X401)))</f>
        <v/>
      </c>
      <c r="P401" s="7">
        <f>IF($X401="","",IF(INDEX('Per Invoice'!P$2:P$401,$X401)="","",INDEX('Per Invoice'!P$2:P$401,$X401)))</f>
        <v/>
      </c>
      <c r="Q401">
        <f>IF($X401="","",IF(INDEX('Per Invoice'!Q$2:Q$401,$X401)="","",INDEX('Per Invoice'!Q$2:Q$401,$X401)))</f>
        <v/>
      </c>
      <c r="R401" s="7">
        <f>IF($X401="","",IF(INDEX('Per Invoice'!R$2:R$401,$X401)="","",INDEX('Per Invoice'!R$2:R$401,$X401)))</f>
        <v/>
      </c>
      <c r="S401" s="7">
        <f>IF($X401="","",IF(INDEX('Per Invoice'!S$2:S$401,$X401)="","",INDEX('Per Invoice'!S$2:S$401,$X401)))</f>
        <v/>
      </c>
      <c r="T401" s="7">
        <f>IF($X401="","",IF(INDEX('Per Invoice'!T$2:T$401,$X401)="","",INDEX('Per Invoice'!T$2:T$401,$X401)))</f>
        <v/>
      </c>
      <c r="U401" s="7">
        <f>IF($X401="","",IF(INDEX('Per Invoice'!U$2:U$401,$X401)="","",INDEX('Per Invoice'!U$2:U$401,$X401)))</f>
        <v/>
      </c>
      <c r="V401" s="7">
        <f>IF($X401="","",IF(INDEX('Per Invoice'!V$2:V$401,$X401)="","",INDEX('Per Invoice'!V$2:V$401,$X401)))</f>
        <v/>
      </c>
      <c r="W401" s="7">
        <f>IF($X401="","",IF(INDEX('Per Invoice'!W$2:W$401,$X401)="","",INDEX('Per Invoice'!W$2:W$401,$X401)))</f>
        <v/>
      </c>
      <c r="X401" s="16">
        <f>IFERROR(MATCH(Settings!$C$33&amp;"|"&amp;ROWS($X$2:$X401),'Per Invoice'!$Y$2:$Y$401,0),"")</f>
        <v/>
      </c>
    </row>
  </sheetData>
  <autoFilter ref="A1:X4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2026-10-12T13:28:34Z</dcterms:created>
  <dcterms:modified xmlns:dcterms="http://purl.org/dc/terms/" xmlns:xsi="http://www.w3.org/2001/XMLSchema-instance" xsi:type="dcterms:W3CDTF">2026-10-12T13:28:35Z</dcterms:modified>
</cp:coreProperties>
</file>